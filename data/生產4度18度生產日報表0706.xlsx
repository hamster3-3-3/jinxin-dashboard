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worksheets/sheet7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1508" yWindow="-12" windowWidth="11544" windowHeight="9216" tabRatio="881" firstSheet="12" activeTab="17"/>
  </bookViews>
  <sheets>
    <sheet name="0701" sheetId="389" r:id="rId1"/>
    <sheet name="晉欣18度C0701" sheetId="392" r:id="rId2"/>
    <sheet name="晉欣4度C0701" sheetId="394" r:id="rId3"/>
    <sheet name="0702" sheetId="395" r:id="rId4"/>
    <sheet name="晉欣18度C0702" sheetId="396" r:id="rId5"/>
    <sheet name="晉欣4度C0702" sheetId="397" r:id="rId6"/>
    <sheet name="0703" sheetId="404" r:id="rId7"/>
    <sheet name="晉欣18度C0703" sheetId="398" r:id="rId8"/>
    <sheet name="晉欣4度C0703" sheetId="401" r:id="rId9"/>
    <sheet name="0704" sheetId="405" r:id="rId10"/>
    <sheet name="晉欣18度C0704" sheetId="399" r:id="rId11"/>
    <sheet name="晉欣4度C0704" sheetId="402" r:id="rId12"/>
    <sheet name="0705" sheetId="406" r:id="rId13"/>
    <sheet name="晉欣18度C0705" sheetId="400" r:id="rId14"/>
    <sheet name="晉欣4度C0705" sheetId="403" r:id="rId15"/>
    <sheet name="0706" sheetId="409" r:id="rId16"/>
    <sheet name="晉欣18度C0706" sheetId="408" r:id="rId17"/>
    <sheet name="晉欣4度C0706" sheetId="407" r:id="rId18"/>
  </sheets>
  <definedNames>
    <definedName name="_xlnm._FilterDatabase" localSheetId="0" hidden="1">'0701'!$B$10:$Q$25</definedName>
    <definedName name="_xlnm._FilterDatabase" localSheetId="3" hidden="1">'0702'!$B$10:$Q$25</definedName>
    <definedName name="_xlnm._FilterDatabase" localSheetId="6" hidden="1">'0703'!$B$10:$Q$25</definedName>
    <definedName name="_xlnm._FilterDatabase" localSheetId="9" hidden="1">'0704'!$B$10:$Q$25</definedName>
    <definedName name="_xlnm._FilterDatabase" localSheetId="12" hidden="1">'0705'!$B$10:$Q$25</definedName>
    <definedName name="_xlnm._FilterDatabase" localSheetId="15" hidden="1">'0706'!$B$10:$Q$25</definedName>
    <definedName name="_xlnm._FilterDatabase" localSheetId="1" hidden="1">晉欣18度C0701!$A$4:$R$124</definedName>
    <definedName name="_xlnm._FilterDatabase" localSheetId="4" hidden="1">晉欣18度C0702!$A$4:$R$124</definedName>
    <definedName name="_xlnm._FilterDatabase" localSheetId="7" hidden="1">晉欣18度C0703!$A$4:$R$124</definedName>
    <definedName name="_xlnm._FilterDatabase" localSheetId="10" hidden="1">晉欣18度C0704!$A$4:$R$124</definedName>
    <definedName name="_xlnm._FilterDatabase" localSheetId="13" hidden="1">晉欣18度C0705!$A$4:$R$124</definedName>
    <definedName name="_xlnm._FilterDatabase" localSheetId="16" hidden="1">晉欣18度C0706!$A$4:$R$124</definedName>
    <definedName name="_xlnm._FilterDatabase" localSheetId="2" hidden="1">晉欣4度C0701!$A$4:$AJ$173</definedName>
    <definedName name="_xlnm._FilterDatabase" localSheetId="5" hidden="1">晉欣4度C0702!$A$4:$AJ$173</definedName>
    <definedName name="_xlnm._FilterDatabase" localSheetId="8" hidden="1">晉欣4度C0703!$A$4:$AJ$173</definedName>
    <definedName name="_xlnm._FilterDatabase" localSheetId="11" hidden="1">晉欣4度C0704!$A$4:$AJ$173</definedName>
    <definedName name="_xlnm._FilterDatabase" localSheetId="14" hidden="1">晉欣4度C0705!$A$4:$AJ$173</definedName>
    <definedName name="_xlnm._FilterDatabase" localSheetId="17" hidden="1">晉欣4度C0706!$A$4:$AJ$173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2" i="409" l="1"/>
  <c r="L32" i="409"/>
  <c r="K32" i="409"/>
  <c r="J32" i="409"/>
  <c r="L8" i="409" s="1"/>
  <c r="I32" i="409"/>
  <c r="H32" i="409"/>
  <c r="G32" i="409"/>
  <c r="F32" i="409"/>
  <c r="E32" i="409"/>
  <c r="D32" i="409"/>
  <c r="Q15" i="409"/>
  <c r="P15" i="409"/>
  <c r="O15" i="409"/>
  <c r="N15" i="409"/>
  <c r="M15" i="409"/>
  <c r="L15" i="409"/>
  <c r="K15" i="409"/>
  <c r="J15" i="409"/>
  <c r="I15" i="409"/>
  <c r="H15" i="409"/>
  <c r="G15" i="409"/>
  <c r="F15" i="409"/>
  <c r="E15" i="409"/>
  <c r="D15" i="409"/>
  <c r="H8" i="409" s="1"/>
  <c r="J8" i="409"/>
  <c r="L7" i="409"/>
  <c r="J7" i="409"/>
  <c r="H7" i="409"/>
  <c r="F7" i="409"/>
  <c r="L6" i="409"/>
  <c r="J6" i="409"/>
  <c r="H6" i="409"/>
  <c r="F6" i="409"/>
  <c r="J124" i="408"/>
  <c r="H123" i="408"/>
  <c r="H122" i="408"/>
  <c r="H121" i="408"/>
  <c r="H120" i="408"/>
  <c r="H119" i="408"/>
  <c r="P118" i="408"/>
  <c r="K118" i="408" s="1"/>
  <c r="L118" i="408" s="1"/>
  <c r="H118" i="408"/>
  <c r="P117" i="408"/>
  <c r="K117" i="408"/>
  <c r="L117" i="408" s="1"/>
  <c r="H117" i="408"/>
  <c r="P116" i="408"/>
  <c r="K116" i="408" s="1"/>
  <c r="L116" i="408" s="1"/>
  <c r="H116" i="408"/>
  <c r="P115" i="408"/>
  <c r="K115" i="408"/>
  <c r="L115" i="408" s="1"/>
  <c r="H115" i="408"/>
  <c r="P114" i="408"/>
  <c r="K114" i="408" s="1"/>
  <c r="L114" i="408" s="1"/>
  <c r="H114" i="408"/>
  <c r="P113" i="408"/>
  <c r="K113" i="408"/>
  <c r="L113" i="408" s="1"/>
  <c r="H113" i="408"/>
  <c r="P112" i="408"/>
  <c r="K112" i="408" s="1"/>
  <c r="H112" i="408"/>
  <c r="J111" i="408"/>
  <c r="H110" i="408"/>
  <c r="H109" i="408"/>
  <c r="H108" i="408"/>
  <c r="H107" i="408"/>
  <c r="H106" i="408"/>
  <c r="P105" i="408"/>
  <c r="K105" i="408" s="1"/>
  <c r="L105" i="408" s="1"/>
  <c r="H105" i="408"/>
  <c r="P104" i="408"/>
  <c r="K104" i="408"/>
  <c r="L104" i="408" s="1"/>
  <c r="H104" i="408"/>
  <c r="P103" i="408"/>
  <c r="K103" i="408" s="1"/>
  <c r="L103" i="408" s="1"/>
  <c r="H103" i="408"/>
  <c r="P102" i="408"/>
  <c r="K102" i="408"/>
  <c r="L102" i="408" s="1"/>
  <c r="H102" i="408"/>
  <c r="P101" i="408"/>
  <c r="K101" i="408" s="1"/>
  <c r="H101" i="408"/>
  <c r="J100" i="408"/>
  <c r="H99" i="408"/>
  <c r="H98" i="408"/>
  <c r="H97" i="408"/>
  <c r="H96" i="408"/>
  <c r="H95" i="408"/>
  <c r="P94" i="408"/>
  <c r="K94" i="408" s="1"/>
  <c r="L94" i="408" s="1"/>
  <c r="H94" i="408"/>
  <c r="P93" i="408"/>
  <c r="K93" i="408"/>
  <c r="L93" i="408" s="1"/>
  <c r="H93" i="408"/>
  <c r="P92" i="408"/>
  <c r="K92" i="408" s="1"/>
  <c r="H92" i="408"/>
  <c r="J91" i="408"/>
  <c r="H90" i="408"/>
  <c r="H89" i="408"/>
  <c r="H88" i="408"/>
  <c r="H87" i="408"/>
  <c r="H86" i="408"/>
  <c r="H85" i="408"/>
  <c r="H84" i="408"/>
  <c r="H83" i="408"/>
  <c r="P82" i="408"/>
  <c r="K82" i="408" s="1"/>
  <c r="H82" i="408"/>
  <c r="L81" i="408"/>
  <c r="K81" i="408"/>
  <c r="J81" i="408"/>
  <c r="H80" i="408"/>
  <c r="H79" i="408"/>
  <c r="H78" i="408"/>
  <c r="H77" i="408"/>
  <c r="H76" i="408"/>
  <c r="J75" i="408"/>
  <c r="H74" i="408"/>
  <c r="H73" i="408"/>
  <c r="H72" i="408"/>
  <c r="H71" i="408"/>
  <c r="P70" i="408"/>
  <c r="K70" i="408" s="1"/>
  <c r="L70" i="408" s="1"/>
  <c r="H70" i="408"/>
  <c r="P69" i="408"/>
  <c r="L69" i="408"/>
  <c r="K69" i="408"/>
  <c r="H69" i="408"/>
  <c r="P68" i="408"/>
  <c r="K68" i="408" s="1"/>
  <c r="L68" i="408" s="1"/>
  <c r="H68" i="408"/>
  <c r="P67" i="408"/>
  <c r="L67" i="408"/>
  <c r="K67" i="408"/>
  <c r="H67" i="408"/>
  <c r="P66" i="408"/>
  <c r="K66" i="408" s="1"/>
  <c r="L66" i="408" s="1"/>
  <c r="H66" i="408"/>
  <c r="P65" i="408"/>
  <c r="L65" i="408"/>
  <c r="L75" i="408" s="1"/>
  <c r="K65" i="408"/>
  <c r="H65" i="408"/>
  <c r="J64" i="408"/>
  <c r="H63" i="408"/>
  <c r="H62" i="408"/>
  <c r="H61" i="408"/>
  <c r="H60" i="408"/>
  <c r="P59" i="408"/>
  <c r="K59" i="408" s="1"/>
  <c r="L59" i="408" s="1"/>
  <c r="H59" i="408"/>
  <c r="P58" i="408"/>
  <c r="L58" i="408"/>
  <c r="K58" i="408"/>
  <c r="H58" i="408"/>
  <c r="P57" i="408"/>
  <c r="K57" i="408" s="1"/>
  <c r="L57" i="408" s="1"/>
  <c r="H57" i="408"/>
  <c r="P56" i="408"/>
  <c r="L56" i="408"/>
  <c r="K56" i="408"/>
  <c r="H56" i="408"/>
  <c r="P55" i="408"/>
  <c r="K55" i="408" s="1"/>
  <c r="L55" i="408" s="1"/>
  <c r="H55" i="408"/>
  <c r="P54" i="408"/>
  <c r="L54" i="408"/>
  <c r="K54" i="408"/>
  <c r="H54" i="408"/>
  <c r="P53" i="408"/>
  <c r="K53" i="408" s="1"/>
  <c r="L53" i="408" s="1"/>
  <c r="H53" i="408"/>
  <c r="P52" i="408"/>
  <c r="L52" i="408"/>
  <c r="K52" i="408"/>
  <c r="K64" i="408" s="1"/>
  <c r="H52" i="408"/>
  <c r="H50" i="408"/>
  <c r="H49" i="408"/>
  <c r="H47" i="408"/>
  <c r="H46" i="408"/>
  <c r="H45" i="408"/>
  <c r="H44" i="408"/>
  <c r="H43" i="408"/>
  <c r="H42" i="408"/>
  <c r="H41" i="408"/>
  <c r="H40" i="408"/>
  <c r="H39" i="408"/>
  <c r="J38" i="408"/>
  <c r="H37" i="408"/>
  <c r="H36" i="408"/>
  <c r="H35" i="408"/>
  <c r="H34" i="408"/>
  <c r="H33" i="408"/>
  <c r="H32" i="408"/>
  <c r="H31" i="408"/>
  <c r="H30" i="408"/>
  <c r="H29" i="408"/>
  <c r="P28" i="408"/>
  <c r="K28" i="408" s="1"/>
  <c r="L28" i="408" s="1"/>
  <c r="H28" i="408"/>
  <c r="P27" i="408"/>
  <c r="K27" i="408"/>
  <c r="L27" i="408" s="1"/>
  <c r="H27" i="408"/>
  <c r="P26" i="408"/>
  <c r="K26" i="408" s="1"/>
  <c r="L26" i="408" s="1"/>
  <c r="H26" i="408"/>
  <c r="P25" i="408"/>
  <c r="K25" i="408"/>
  <c r="K38" i="408" s="1"/>
  <c r="H25" i="408"/>
  <c r="J24" i="408"/>
  <c r="H23" i="408"/>
  <c r="H22" i="408"/>
  <c r="H21" i="408"/>
  <c r="H20" i="408"/>
  <c r="P19" i="408"/>
  <c r="K19" i="408" s="1"/>
  <c r="L19" i="408" s="1"/>
  <c r="H19" i="408"/>
  <c r="P18" i="408"/>
  <c r="K18" i="408"/>
  <c r="L18" i="408" s="1"/>
  <c r="H18" i="408"/>
  <c r="P17" i="408"/>
  <c r="K17" i="408" s="1"/>
  <c r="H17" i="408"/>
  <c r="J16" i="408"/>
  <c r="I1" i="408" s="1"/>
  <c r="H15" i="408"/>
  <c r="H14" i="408"/>
  <c r="H13" i="408"/>
  <c r="H12" i="408"/>
  <c r="H11" i="408"/>
  <c r="H10" i="408"/>
  <c r="H9" i="408"/>
  <c r="H8" i="408"/>
  <c r="P7" i="408"/>
  <c r="K7" i="408"/>
  <c r="L7" i="408" s="1"/>
  <c r="H7" i="408"/>
  <c r="P6" i="408"/>
  <c r="K6" i="408" s="1"/>
  <c r="L6" i="408" s="1"/>
  <c r="H6" i="408"/>
  <c r="P5" i="408"/>
  <c r="K5" i="408"/>
  <c r="K16" i="408" s="1"/>
  <c r="H5" i="408"/>
  <c r="I2" i="408"/>
  <c r="E1" i="408"/>
  <c r="F8" i="409" l="1"/>
  <c r="L64" i="408"/>
  <c r="K24" i="408"/>
  <c r="L17" i="408"/>
  <c r="L24" i="408" s="1"/>
  <c r="K75" i="408"/>
  <c r="L112" i="408"/>
  <c r="L124" i="408" s="1"/>
  <c r="K124" i="408"/>
  <c r="K91" i="408"/>
  <c r="L82" i="408"/>
  <c r="L91" i="408" s="1"/>
  <c r="G1" i="408"/>
  <c r="G2" i="408" s="1"/>
  <c r="L92" i="408"/>
  <c r="L100" i="408" s="1"/>
  <c r="K100" i="408"/>
  <c r="L101" i="408"/>
  <c r="L111" i="408" s="1"/>
  <c r="K111" i="408"/>
  <c r="L5" i="408"/>
  <c r="L16" i="408" s="1"/>
  <c r="L25" i="408"/>
  <c r="L38" i="408" s="1"/>
  <c r="E2" i="408" l="1"/>
  <c r="AE173" i="407" l="1"/>
  <c r="AD173" i="407"/>
  <c r="AA173" i="407"/>
  <c r="Z173" i="407"/>
  <c r="M173" i="407"/>
  <c r="W172" i="407"/>
  <c r="H172" i="407"/>
  <c r="W171" i="407"/>
  <c r="H171" i="407"/>
  <c r="AG170" i="407"/>
  <c r="AF170" i="407"/>
  <c r="W170" i="407"/>
  <c r="H170" i="407"/>
  <c r="AG169" i="407"/>
  <c r="AF169" i="407"/>
  <c r="W169" i="407"/>
  <c r="H169" i="407"/>
  <c r="AG168" i="407"/>
  <c r="AF168" i="407"/>
  <c r="W168" i="407"/>
  <c r="H168" i="407"/>
  <c r="AG167" i="407"/>
  <c r="AF167" i="407"/>
  <c r="W167" i="407"/>
  <c r="H167" i="407"/>
  <c r="W166" i="407"/>
  <c r="N166" i="407"/>
  <c r="AG166" i="407" s="1"/>
  <c r="P166" i="407"/>
  <c r="H166" i="407"/>
  <c r="W165" i="407"/>
  <c r="P165" i="407"/>
  <c r="N165" i="407"/>
  <c r="O165" i="407" s="1"/>
  <c r="H165" i="407"/>
  <c r="W164" i="407"/>
  <c r="N164" i="407"/>
  <c r="AG164" i="407" s="1"/>
  <c r="P164" i="407"/>
  <c r="H164" i="407"/>
  <c r="W163" i="407"/>
  <c r="P163" i="407"/>
  <c r="N163" i="407"/>
  <c r="O163" i="407" s="1"/>
  <c r="H163" i="407"/>
  <c r="W162" i="407"/>
  <c r="P162" i="407"/>
  <c r="N162" i="407"/>
  <c r="AG162" i="407" s="1"/>
  <c r="H162" i="407"/>
  <c r="W161" i="407"/>
  <c r="P161" i="407"/>
  <c r="N161" i="407"/>
  <c r="AF161" i="407" s="1"/>
  <c r="P173" i="407"/>
  <c r="H161" i="407"/>
  <c r="AE160" i="407"/>
  <c r="AD160" i="407"/>
  <c r="AA160" i="407"/>
  <c r="Z160" i="407"/>
  <c r="M160" i="407"/>
  <c r="P160" i="407" s="1"/>
  <c r="W159" i="407"/>
  <c r="H159" i="407"/>
  <c r="W158" i="407"/>
  <c r="H158" i="407"/>
  <c r="W157" i="407"/>
  <c r="H157" i="407"/>
  <c r="W156" i="407"/>
  <c r="H156" i="407"/>
  <c r="W155" i="407"/>
  <c r="P155" i="407"/>
  <c r="N155" i="407"/>
  <c r="O155" i="407" s="1"/>
  <c r="H155" i="407"/>
  <c r="W154" i="407"/>
  <c r="P154" i="407"/>
  <c r="N154" i="407"/>
  <c r="AG154" i="407" s="1"/>
  <c r="H154" i="407"/>
  <c r="W153" i="407"/>
  <c r="P153" i="407"/>
  <c r="N153" i="407"/>
  <c r="O153" i="407" s="1"/>
  <c r="H153" i="407"/>
  <c r="W152" i="407"/>
  <c r="P152" i="407"/>
  <c r="N152" i="407"/>
  <c r="AG152" i="407" s="1"/>
  <c r="H152" i="407"/>
  <c r="W151" i="407"/>
  <c r="P151" i="407"/>
  <c r="N151" i="407"/>
  <c r="O151" i="407" s="1"/>
  <c r="H151" i="407"/>
  <c r="W150" i="407"/>
  <c r="P150" i="407"/>
  <c r="N150" i="407"/>
  <c r="AG150" i="407" s="1"/>
  <c r="H150" i="407"/>
  <c r="W149" i="407"/>
  <c r="P149" i="407"/>
  <c r="N149" i="407"/>
  <c r="O149" i="407" s="1"/>
  <c r="H149" i="407"/>
  <c r="W148" i="407"/>
  <c r="P148" i="407"/>
  <c r="N148" i="407"/>
  <c r="N160" i="407" s="1"/>
  <c r="H148" i="407"/>
  <c r="AE147" i="407"/>
  <c r="AD147" i="407"/>
  <c r="AA147" i="407"/>
  <c r="Z147" i="407"/>
  <c r="W147" i="407"/>
  <c r="M147" i="407"/>
  <c r="W146" i="407"/>
  <c r="H146" i="407"/>
  <c r="AG145" i="407"/>
  <c r="AF145" i="407"/>
  <c r="W145" i="407"/>
  <c r="AG144" i="407"/>
  <c r="AF144" i="407"/>
  <c r="W144" i="407"/>
  <c r="W143" i="407"/>
  <c r="N143" i="407" s="1"/>
  <c r="P143" i="407"/>
  <c r="H143" i="407"/>
  <c r="W142" i="407"/>
  <c r="N142" i="407" s="1"/>
  <c r="H142" i="407"/>
  <c r="W141" i="407"/>
  <c r="N141" i="407" s="1"/>
  <c r="P141" i="407"/>
  <c r="H141" i="407"/>
  <c r="W140" i="407"/>
  <c r="N140" i="407" s="1"/>
  <c r="H140" i="407"/>
  <c r="W139" i="407"/>
  <c r="N139" i="407" s="1"/>
  <c r="P139" i="407"/>
  <c r="H139" i="407"/>
  <c r="W138" i="407"/>
  <c r="N138" i="407" s="1"/>
  <c r="H138" i="407"/>
  <c r="W137" i="407"/>
  <c r="N137" i="407" s="1"/>
  <c r="P137" i="407"/>
  <c r="H137" i="407"/>
  <c r="W136" i="407"/>
  <c r="N136" i="407" s="1"/>
  <c r="H136" i="407"/>
  <c r="W135" i="407"/>
  <c r="N135" i="407" s="1"/>
  <c r="O135" i="407"/>
  <c r="H135" i="407"/>
  <c r="AE134" i="407"/>
  <c r="AD134" i="407"/>
  <c r="AA134" i="407"/>
  <c r="Z134" i="407"/>
  <c r="M134" i="407"/>
  <c r="P134" i="407" s="1"/>
  <c r="W133" i="407"/>
  <c r="H133" i="407"/>
  <c r="W132" i="407"/>
  <c r="H132" i="407"/>
  <c r="AG131" i="407"/>
  <c r="AF131" i="407"/>
  <c r="W131" i="407"/>
  <c r="H131" i="407"/>
  <c r="AG130" i="407"/>
  <c r="AF130" i="407"/>
  <c r="W130" i="407"/>
  <c r="H130" i="407"/>
  <c r="AG129" i="407"/>
  <c r="W129" i="407"/>
  <c r="O129" i="407"/>
  <c r="N129" i="407"/>
  <c r="AF129" i="407" s="1"/>
  <c r="P129" i="407"/>
  <c r="H129" i="407"/>
  <c r="W128" i="407"/>
  <c r="N128" i="407" s="1"/>
  <c r="AG128" i="407" s="1"/>
  <c r="P128" i="407"/>
  <c r="H128" i="407"/>
  <c r="W127" i="407"/>
  <c r="N127" i="407"/>
  <c r="AF127" i="407" s="1"/>
  <c r="P127" i="407"/>
  <c r="H127" i="407"/>
  <c r="W126" i="407"/>
  <c r="N126" i="407" s="1"/>
  <c r="AG126" i="407" s="1"/>
  <c r="O126" i="407"/>
  <c r="AF126" i="407"/>
  <c r="P126" i="407"/>
  <c r="H126" i="407"/>
  <c r="AG125" i="407"/>
  <c r="W125" i="407"/>
  <c r="O125" i="407"/>
  <c r="N125" i="407"/>
  <c r="AF125" i="407" s="1"/>
  <c r="P125" i="407"/>
  <c r="H125" i="407"/>
  <c r="AG124" i="407"/>
  <c r="W124" i="407"/>
  <c r="N124" i="407" s="1"/>
  <c r="AF124" i="407" s="1"/>
  <c r="H124" i="407"/>
  <c r="W123" i="407"/>
  <c r="N123" i="407"/>
  <c r="P123" i="407"/>
  <c r="H123" i="407"/>
  <c r="W122" i="407"/>
  <c r="N122" i="407" s="1"/>
  <c r="P122" i="407"/>
  <c r="H122" i="407"/>
  <c r="AE121" i="407"/>
  <c r="AD121" i="407"/>
  <c r="AA121" i="407"/>
  <c r="Z121" i="407"/>
  <c r="W121" i="407"/>
  <c r="M121" i="407"/>
  <c r="AG120" i="407"/>
  <c r="AF120" i="407"/>
  <c r="W120" i="407"/>
  <c r="H120" i="407"/>
  <c r="AG119" i="407"/>
  <c r="AF119" i="407"/>
  <c r="W119" i="407"/>
  <c r="H119" i="407"/>
  <c r="AG118" i="407"/>
  <c r="AF118" i="407"/>
  <c r="W118" i="407"/>
  <c r="H118" i="407"/>
  <c r="AG117" i="407"/>
  <c r="AF117" i="407"/>
  <c r="W117" i="407"/>
  <c r="H117" i="407"/>
  <c r="W116" i="407"/>
  <c r="N116" i="407" s="1"/>
  <c r="P116" i="407"/>
  <c r="H116" i="407"/>
  <c r="AG115" i="407"/>
  <c r="W115" i="407"/>
  <c r="P115" i="407"/>
  <c r="N115" i="407"/>
  <c r="O115" i="407" s="1"/>
  <c r="AF115" i="407"/>
  <c r="H115" i="407"/>
  <c r="W114" i="407"/>
  <c r="N114" i="407" s="1"/>
  <c r="P114" i="407"/>
  <c r="H114" i="407"/>
  <c r="AG113" i="407"/>
  <c r="W113" i="407"/>
  <c r="P113" i="407"/>
  <c r="N113" i="407"/>
  <c r="O113" i="407" s="1"/>
  <c r="AF113" i="407"/>
  <c r="H113" i="407"/>
  <c r="W112" i="407"/>
  <c r="N112" i="407" s="1"/>
  <c r="P112" i="407"/>
  <c r="H112" i="407"/>
  <c r="AG111" i="407"/>
  <c r="W111" i="407"/>
  <c r="P111" i="407"/>
  <c r="N111" i="407"/>
  <c r="O111" i="407" s="1"/>
  <c r="AF111" i="407"/>
  <c r="H111" i="407"/>
  <c r="W110" i="407"/>
  <c r="N110" i="407" s="1"/>
  <c r="P110" i="407"/>
  <c r="H110" i="407"/>
  <c r="W109" i="407"/>
  <c r="O109" i="407"/>
  <c r="N109" i="407"/>
  <c r="P121" i="407"/>
  <c r="H109" i="407"/>
  <c r="AE108" i="407"/>
  <c r="AD108" i="407"/>
  <c r="AA108" i="407"/>
  <c r="Z108" i="407"/>
  <c r="W108" i="407"/>
  <c r="M108" i="407"/>
  <c r="W107" i="407"/>
  <c r="H107" i="407"/>
  <c r="AG106" i="407"/>
  <c r="AF106" i="407"/>
  <c r="W106" i="407"/>
  <c r="H106" i="407"/>
  <c r="W105" i="407"/>
  <c r="N105" i="407" s="1"/>
  <c r="P105" i="407"/>
  <c r="H105" i="407"/>
  <c r="W104" i="407"/>
  <c r="N104" i="407"/>
  <c r="AG104" i="407" s="1"/>
  <c r="H104" i="407"/>
  <c r="W103" i="407"/>
  <c r="N103" i="407" s="1"/>
  <c r="P103" i="407"/>
  <c r="H103" i="407"/>
  <c r="W102" i="407"/>
  <c r="N102" i="407"/>
  <c r="AG102" i="407" s="1"/>
  <c r="H102" i="407"/>
  <c r="W101" i="407"/>
  <c r="N101" i="407" s="1"/>
  <c r="P101" i="407"/>
  <c r="H101" i="407"/>
  <c r="W100" i="407"/>
  <c r="N100" i="407"/>
  <c r="AG100" i="407" s="1"/>
  <c r="H100" i="407"/>
  <c r="W99" i="407"/>
  <c r="N99" i="407" s="1"/>
  <c r="P99" i="407"/>
  <c r="H99" i="407"/>
  <c r="W98" i="407"/>
  <c r="N98" i="407"/>
  <c r="H98" i="407"/>
  <c r="W97" i="407"/>
  <c r="N97" i="407" s="1"/>
  <c r="P97" i="407"/>
  <c r="H97" i="407"/>
  <c r="W96" i="407"/>
  <c r="N96" i="407" s="1"/>
  <c r="P96" i="407"/>
  <c r="H96" i="407"/>
  <c r="AE95" i="407"/>
  <c r="AD95" i="407"/>
  <c r="AA95" i="407"/>
  <c r="Z95" i="407"/>
  <c r="M95" i="407"/>
  <c r="AG94" i="407"/>
  <c r="AF94" i="407"/>
  <c r="W94" i="407"/>
  <c r="H94" i="407"/>
  <c r="AG93" i="407"/>
  <c r="AF93" i="407"/>
  <c r="W93" i="407"/>
  <c r="H93" i="407"/>
  <c r="AG92" i="407"/>
  <c r="AF92" i="407"/>
  <c r="W92" i="407"/>
  <c r="H92" i="407"/>
  <c r="AG91" i="407"/>
  <c r="AF91" i="407"/>
  <c r="W91" i="407"/>
  <c r="H91" i="407"/>
  <c r="W90" i="407"/>
  <c r="N90" i="407" s="1"/>
  <c r="H90" i="407"/>
  <c r="AG89" i="407"/>
  <c r="AF89" i="407"/>
  <c r="W89" i="407"/>
  <c r="N89" i="407" s="1"/>
  <c r="O89" i="407" s="1"/>
  <c r="Q89" i="407"/>
  <c r="P89" i="407"/>
  <c r="H89" i="407"/>
  <c r="W88" i="407"/>
  <c r="O88" i="407"/>
  <c r="N88" i="407"/>
  <c r="H88" i="407"/>
  <c r="AG87" i="407"/>
  <c r="AF87" i="407"/>
  <c r="W87" i="407"/>
  <c r="N87" i="407" s="1"/>
  <c r="O87" i="407" s="1"/>
  <c r="Q87" i="407" s="1"/>
  <c r="P87" i="407"/>
  <c r="H87" i="407"/>
  <c r="W86" i="407"/>
  <c r="N86" i="407"/>
  <c r="H86" i="407"/>
  <c r="W85" i="407"/>
  <c r="N85" i="407" s="1"/>
  <c r="AF85" i="407" s="1"/>
  <c r="P85" i="407"/>
  <c r="H85" i="407"/>
  <c r="W84" i="407"/>
  <c r="N84" i="407"/>
  <c r="O84" i="407" s="1"/>
  <c r="H84" i="407"/>
  <c r="W83" i="407"/>
  <c r="N83" i="407"/>
  <c r="AF83" i="407" s="1"/>
  <c r="H83" i="407"/>
  <c r="AE82" i="407"/>
  <c r="AD82" i="407"/>
  <c r="AA82" i="407"/>
  <c r="Z82" i="407"/>
  <c r="M82" i="407"/>
  <c r="W81" i="407"/>
  <c r="AG80" i="407"/>
  <c r="AF80" i="407"/>
  <c r="W80" i="407"/>
  <c r="H80" i="407"/>
  <c r="AG79" i="407"/>
  <c r="AF79" i="407"/>
  <c r="W79" i="407"/>
  <c r="H79" i="407"/>
  <c r="AG78" i="407"/>
  <c r="AF78" i="407"/>
  <c r="W78" i="407"/>
  <c r="H78" i="407"/>
  <c r="AG77" i="407"/>
  <c r="AF77" i="407"/>
  <c r="W77" i="407"/>
  <c r="H77" i="407"/>
  <c r="AG76" i="407"/>
  <c r="AF76" i="407"/>
  <c r="W76" i="407"/>
  <c r="H76" i="407"/>
  <c r="W75" i="407"/>
  <c r="N75" i="407"/>
  <c r="O75" i="407" s="1"/>
  <c r="AF75" i="407"/>
  <c r="P75" i="407"/>
  <c r="H75" i="407"/>
  <c r="W74" i="407"/>
  <c r="N74" i="407"/>
  <c r="AG74" i="407" s="1"/>
  <c r="P74" i="407"/>
  <c r="H74" i="407"/>
  <c r="AG73" i="407"/>
  <c r="W73" i="407"/>
  <c r="P73" i="407"/>
  <c r="N73" i="407"/>
  <c r="O73" i="407" s="1"/>
  <c r="AF73" i="407"/>
  <c r="H73" i="407"/>
  <c r="W72" i="407"/>
  <c r="N72" i="407" s="1"/>
  <c r="P72" i="407"/>
  <c r="H72" i="407"/>
  <c r="AG71" i="407"/>
  <c r="W71" i="407"/>
  <c r="N71" i="407"/>
  <c r="AF71" i="407" s="1"/>
  <c r="P71" i="407"/>
  <c r="H71" i="407"/>
  <c r="W70" i="407"/>
  <c r="N70" i="407" s="1"/>
  <c r="P70" i="407"/>
  <c r="P82" i="407"/>
  <c r="H70" i="407"/>
  <c r="AE69" i="407"/>
  <c r="AD69" i="407"/>
  <c r="AA69" i="407"/>
  <c r="Z69" i="407"/>
  <c r="W69" i="407"/>
  <c r="M69" i="407"/>
  <c r="W68" i="407"/>
  <c r="H68" i="407"/>
  <c r="AG67" i="407"/>
  <c r="AF67" i="407"/>
  <c r="W67" i="407"/>
  <c r="H67" i="407"/>
  <c r="AG66" i="407"/>
  <c r="AF66" i="407"/>
  <c r="W66" i="407"/>
  <c r="H66" i="407"/>
  <c r="AG65" i="407"/>
  <c r="AF65" i="407"/>
  <c r="W65" i="407"/>
  <c r="H65" i="407"/>
  <c r="AG64" i="407"/>
  <c r="AF64" i="407"/>
  <c r="W64" i="407"/>
  <c r="H64" i="407"/>
  <c r="AG63" i="407"/>
  <c r="AF63" i="407"/>
  <c r="W63" i="407"/>
  <c r="H63" i="407"/>
  <c r="AG62" i="407"/>
  <c r="AF62" i="407"/>
  <c r="W62" i="407"/>
  <c r="H62" i="407"/>
  <c r="W61" i="407"/>
  <c r="N61" i="407" s="1"/>
  <c r="P61" i="407"/>
  <c r="H61" i="407"/>
  <c r="W60" i="407"/>
  <c r="N60" i="407"/>
  <c r="AG60" i="407" s="1"/>
  <c r="P60" i="407"/>
  <c r="H60" i="407"/>
  <c r="W59" i="407"/>
  <c r="N59" i="407" s="1"/>
  <c r="P59" i="407"/>
  <c r="H59" i="407"/>
  <c r="W58" i="407"/>
  <c r="N58" i="407"/>
  <c r="AG58" i="407" s="1"/>
  <c r="P58" i="407"/>
  <c r="H58" i="407"/>
  <c r="AF57" i="407"/>
  <c r="W57" i="407"/>
  <c r="P57" i="407"/>
  <c r="N57" i="407"/>
  <c r="H57" i="407"/>
  <c r="AE56" i="407"/>
  <c r="AD56" i="407"/>
  <c r="AA56" i="407"/>
  <c r="Z56" i="407"/>
  <c r="W56" i="407"/>
  <c r="M56" i="407"/>
  <c r="W55" i="407"/>
  <c r="H55" i="407"/>
  <c r="AG54" i="407"/>
  <c r="AF54" i="407"/>
  <c r="W54" i="407"/>
  <c r="H54" i="407"/>
  <c r="AG53" i="407"/>
  <c r="AF53" i="407"/>
  <c r="W53" i="407"/>
  <c r="H53" i="407"/>
  <c r="AG52" i="407"/>
  <c r="AF52" i="407"/>
  <c r="W52" i="407"/>
  <c r="H52" i="407"/>
  <c r="AG51" i="407"/>
  <c r="AF51" i="407"/>
  <c r="W51" i="407"/>
  <c r="H51" i="407"/>
  <c r="W50" i="407"/>
  <c r="N50" i="407" s="1"/>
  <c r="P50" i="407"/>
  <c r="H50" i="407"/>
  <c r="W49" i="407"/>
  <c r="N49" i="407"/>
  <c r="AG49" i="407" s="1"/>
  <c r="P49" i="407"/>
  <c r="H49" i="407"/>
  <c r="W48" i="407"/>
  <c r="N48" i="407" s="1"/>
  <c r="P48" i="407"/>
  <c r="H48" i="407"/>
  <c r="W47" i="407"/>
  <c r="N47" i="407"/>
  <c r="AG47" i="407" s="1"/>
  <c r="H47" i="407"/>
  <c r="W46" i="407"/>
  <c r="N46" i="407" s="1"/>
  <c r="P46" i="407"/>
  <c r="H46" i="407"/>
  <c r="W45" i="407"/>
  <c r="N45" i="407"/>
  <c r="AG45" i="407" s="1"/>
  <c r="H45" i="407"/>
  <c r="W44" i="407"/>
  <c r="N44" i="407"/>
  <c r="AG44" i="407" s="1"/>
  <c r="P56" i="407"/>
  <c r="H44" i="407"/>
  <c r="AE43" i="407"/>
  <c r="AD43" i="407"/>
  <c r="AA43" i="407"/>
  <c r="Z43" i="407"/>
  <c r="M43" i="407"/>
  <c r="W42" i="407"/>
  <c r="H42" i="407"/>
  <c r="W41" i="407"/>
  <c r="AG40" i="407"/>
  <c r="AF40" i="407"/>
  <c r="W40" i="407"/>
  <c r="H40" i="407"/>
  <c r="AG39" i="407"/>
  <c r="AF39" i="407"/>
  <c r="W39" i="407"/>
  <c r="H39" i="407"/>
  <c r="W38" i="407"/>
  <c r="N38" i="407" s="1"/>
  <c r="H38" i="407"/>
  <c r="W37" i="407"/>
  <c r="N37" i="407" s="1"/>
  <c r="H37" i="407"/>
  <c r="W36" i="407"/>
  <c r="N36" i="407" s="1"/>
  <c r="H36" i="407"/>
  <c r="W35" i="407"/>
  <c r="N35" i="407" s="1"/>
  <c r="H35" i="407"/>
  <c r="W34" i="407"/>
  <c r="N34" i="407" s="1"/>
  <c r="H34" i="407"/>
  <c r="W33" i="407"/>
  <c r="N33" i="407" s="1"/>
  <c r="P33" i="407"/>
  <c r="H33" i="407"/>
  <c r="W32" i="407"/>
  <c r="N32" i="407" s="1"/>
  <c r="H32" i="407"/>
  <c r="W31" i="407"/>
  <c r="N31" i="407" s="1"/>
  <c r="O31" i="407" s="1"/>
  <c r="H31" i="407"/>
  <c r="AE30" i="407"/>
  <c r="AD30" i="407"/>
  <c r="AA30" i="407"/>
  <c r="Z30" i="407"/>
  <c r="M30" i="407"/>
  <c r="AF29" i="407"/>
  <c r="W29" i="407"/>
  <c r="H29" i="407"/>
  <c r="AG28" i="407"/>
  <c r="AF28" i="407"/>
  <c r="W28" i="407"/>
  <c r="H28" i="407"/>
  <c r="AG27" i="407"/>
  <c r="AF27" i="407"/>
  <c r="W27" i="407"/>
  <c r="H27" i="407"/>
  <c r="AG26" i="407"/>
  <c r="AF26" i="407"/>
  <c r="W26" i="407"/>
  <c r="H26" i="407"/>
  <c r="AG25" i="407"/>
  <c r="AF25" i="407"/>
  <c r="W25" i="407"/>
  <c r="H25" i="407"/>
  <c r="W24" i="407"/>
  <c r="N24" i="407"/>
  <c r="P24" i="407"/>
  <c r="H24" i="407"/>
  <c r="W23" i="407"/>
  <c r="N23" i="407"/>
  <c r="O23" i="407" s="1"/>
  <c r="R23" i="407"/>
  <c r="AG23" i="407"/>
  <c r="P23" i="407"/>
  <c r="H23" i="407"/>
  <c r="W22" i="407"/>
  <c r="N22" i="407" s="1"/>
  <c r="P22" i="407"/>
  <c r="H22" i="407"/>
  <c r="AG21" i="407"/>
  <c r="W21" i="407"/>
  <c r="P21" i="407"/>
  <c r="N21" i="407"/>
  <c r="O21" i="407" s="1"/>
  <c r="AF21" i="407"/>
  <c r="H21" i="407"/>
  <c r="W20" i="407"/>
  <c r="N20" i="407" s="1"/>
  <c r="P20" i="407"/>
  <c r="H20" i="407"/>
  <c r="AG19" i="407"/>
  <c r="W19" i="407"/>
  <c r="P19" i="407"/>
  <c r="N19" i="407"/>
  <c r="O19" i="407" s="1"/>
  <c r="AF19" i="407"/>
  <c r="H19" i="407"/>
  <c r="W18" i="407"/>
  <c r="N18" i="407" s="1"/>
  <c r="P18" i="407"/>
  <c r="H18" i="407"/>
  <c r="AE17" i="407"/>
  <c r="AD17" i="407"/>
  <c r="AA17" i="407"/>
  <c r="Z17" i="407"/>
  <c r="W17" i="407"/>
  <c r="M17" i="407"/>
  <c r="AG16" i="407"/>
  <c r="AF16" i="407"/>
  <c r="W16" i="407"/>
  <c r="H16" i="407"/>
  <c r="AG15" i="407"/>
  <c r="AF15" i="407"/>
  <c r="W15" i="407"/>
  <c r="H15" i="407"/>
  <c r="AG14" i="407"/>
  <c r="AF14" i="407"/>
  <c r="W14" i="407"/>
  <c r="H14" i="407"/>
  <c r="AG13" i="407"/>
  <c r="AF13" i="407"/>
  <c r="W13" i="407"/>
  <c r="H13" i="407"/>
  <c r="AG12" i="407"/>
  <c r="AF12" i="407"/>
  <c r="W12" i="407"/>
  <c r="H12" i="407"/>
  <c r="W11" i="407"/>
  <c r="P11" i="407"/>
  <c r="N11" i="407"/>
  <c r="AG11" i="407" s="1"/>
  <c r="H11" i="407"/>
  <c r="W10" i="407"/>
  <c r="N10" i="407" s="1"/>
  <c r="P10" i="407"/>
  <c r="H10" i="407"/>
  <c r="W9" i="407"/>
  <c r="P9" i="407"/>
  <c r="N9" i="407"/>
  <c r="AG9" i="407" s="1"/>
  <c r="H9" i="407"/>
  <c r="W8" i="407"/>
  <c r="N8" i="407" s="1"/>
  <c r="P8" i="407"/>
  <c r="H8" i="407"/>
  <c r="W7" i="407"/>
  <c r="P7" i="407"/>
  <c r="N7" i="407"/>
  <c r="AG7" i="407" s="1"/>
  <c r="H7" i="407"/>
  <c r="W6" i="407"/>
  <c r="N6" i="407" s="1"/>
  <c r="P6" i="407"/>
  <c r="H6" i="407"/>
  <c r="W5" i="407"/>
  <c r="N5" i="407" s="1"/>
  <c r="H5" i="407"/>
  <c r="AE2" i="407"/>
  <c r="AD2" i="407"/>
  <c r="AA2" i="407"/>
  <c r="Z2" i="407"/>
  <c r="I2" i="407"/>
  <c r="I1" i="407"/>
  <c r="E1" i="407"/>
  <c r="N118" i="394"/>
  <c r="O118" i="394"/>
  <c r="Q118" i="394" s="1"/>
  <c r="G1" i="407" l="1"/>
  <c r="G2" i="407" s="1"/>
  <c r="Q19" i="407"/>
  <c r="R19" i="407"/>
  <c r="O22" i="407"/>
  <c r="AG22" i="407"/>
  <c r="AF22" i="407"/>
  <c r="O8" i="407"/>
  <c r="AF8" i="407"/>
  <c r="AG8" i="407"/>
  <c r="O10" i="407"/>
  <c r="AG10" i="407"/>
  <c r="AF10" i="407"/>
  <c r="O20" i="407"/>
  <c r="AG20" i="407"/>
  <c r="AF20" i="407"/>
  <c r="O6" i="407"/>
  <c r="AG6" i="407"/>
  <c r="AF6" i="407"/>
  <c r="P17" i="407"/>
  <c r="N30" i="407"/>
  <c r="O18" i="407"/>
  <c r="AG18" i="407"/>
  <c r="AF18" i="407"/>
  <c r="P30" i="407"/>
  <c r="N17" i="407"/>
  <c r="O5" i="407"/>
  <c r="AG5" i="407"/>
  <c r="AF5" i="407"/>
  <c r="Q21" i="407"/>
  <c r="R21" i="407"/>
  <c r="P5" i="407"/>
  <c r="O7" i="407"/>
  <c r="O9" i="407"/>
  <c r="O11" i="407"/>
  <c r="AG24" i="407"/>
  <c r="O32" i="407"/>
  <c r="AG32" i="407"/>
  <c r="AF32" i="407"/>
  <c r="AG35" i="407"/>
  <c r="AF35" i="407"/>
  <c r="O35" i="407"/>
  <c r="O70" i="407"/>
  <c r="N82" i="407"/>
  <c r="AG70" i="407"/>
  <c r="AF70" i="407"/>
  <c r="R73" i="407"/>
  <c r="Q73" i="407"/>
  <c r="AF7" i="407"/>
  <c r="AF9" i="407"/>
  <c r="AF11" i="407"/>
  <c r="AF23" i="407"/>
  <c r="O24" i="407"/>
  <c r="AF24" i="407"/>
  <c r="O36" i="407"/>
  <c r="AG36" i="407"/>
  <c r="AF36" i="407"/>
  <c r="P69" i="407"/>
  <c r="Q23" i="407"/>
  <c r="P43" i="407"/>
  <c r="P31" i="407"/>
  <c r="N43" i="407"/>
  <c r="AG31" i="407"/>
  <c r="AF31" i="407"/>
  <c r="AG33" i="407"/>
  <c r="AF33" i="407"/>
  <c r="O33" i="407"/>
  <c r="AG37" i="407"/>
  <c r="AF37" i="407"/>
  <c r="O37" i="407"/>
  <c r="AF46" i="407"/>
  <c r="O46" i="407"/>
  <c r="AG46" i="407"/>
  <c r="AF48" i="407"/>
  <c r="O48" i="407"/>
  <c r="AG48" i="407"/>
  <c r="N69" i="407"/>
  <c r="O59" i="407"/>
  <c r="AG59" i="407"/>
  <c r="AF59" i="407"/>
  <c r="AG72" i="407"/>
  <c r="AF72" i="407"/>
  <c r="O72" i="407"/>
  <c r="AG90" i="407"/>
  <c r="AF90" i="407"/>
  <c r="O90" i="407"/>
  <c r="O34" i="407"/>
  <c r="AG34" i="407"/>
  <c r="AF34" i="407"/>
  <c r="O38" i="407"/>
  <c r="AG38" i="407"/>
  <c r="AF38" i="407"/>
  <c r="AF50" i="407"/>
  <c r="O50" i="407"/>
  <c r="AG50" i="407"/>
  <c r="O61" i="407"/>
  <c r="AG61" i="407"/>
  <c r="AF61" i="407"/>
  <c r="R75" i="407"/>
  <c r="Q75" i="407"/>
  <c r="R84" i="407"/>
  <c r="Q84" i="407"/>
  <c r="P32" i="407"/>
  <c r="P34" i="407"/>
  <c r="P36" i="407"/>
  <c r="P38" i="407"/>
  <c r="O44" i="407"/>
  <c r="O45" i="407"/>
  <c r="O47" i="407"/>
  <c r="O49" i="407"/>
  <c r="AG57" i="407"/>
  <c r="O74" i="407"/>
  <c r="AG75" i="407"/>
  <c r="P83" i="407"/>
  <c r="P84" i="407"/>
  <c r="AF84" i="407"/>
  <c r="AG85" i="407"/>
  <c r="P86" i="407"/>
  <c r="R89" i="407"/>
  <c r="O97" i="407"/>
  <c r="AG97" i="407"/>
  <c r="AF101" i="407"/>
  <c r="O101" i="407"/>
  <c r="AG101" i="407"/>
  <c r="N121" i="407"/>
  <c r="O110" i="407"/>
  <c r="AG110" i="407"/>
  <c r="AF110" i="407"/>
  <c r="Q115" i="407"/>
  <c r="R115" i="407"/>
  <c r="P44" i="407"/>
  <c r="P45" i="407"/>
  <c r="AF45" i="407"/>
  <c r="P47" i="407"/>
  <c r="AF47" i="407"/>
  <c r="AF49" i="407"/>
  <c r="O57" i="407"/>
  <c r="O58" i="407"/>
  <c r="O60" i="407"/>
  <c r="AF74" i="407"/>
  <c r="AG84" i="407"/>
  <c r="R87" i="407"/>
  <c r="AG88" i="407"/>
  <c r="AF88" i="407"/>
  <c r="AF97" i="407"/>
  <c r="AF103" i="407"/>
  <c r="O103" i="407"/>
  <c r="AG103" i="407"/>
  <c r="P108" i="407"/>
  <c r="R109" i="407"/>
  <c r="Q113" i="407"/>
  <c r="R113" i="407"/>
  <c r="O116" i="407"/>
  <c r="AG116" i="407"/>
  <c r="AF116" i="407"/>
  <c r="O122" i="407"/>
  <c r="N134" i="407"/>
  <c r="AG122" i="407"/>
  <c r="AF122" i="407"/>
  <c r="P35" i="407"/>
  <c r="P37" i="407"/>
  <c r="AF44" i="407"/>
  <c r="N56" i="407"/>
  <c r="AF58" i="407"/>
  <c r="AF60" i="407"/>
  <c r="O71" i="407"/>
  <c r="N95" i="407"/>
  <c r="AG83" i="407"/>
  <c r="AG86" i="407"/>
  <c r="AF86" i="407"/>
  <c r="Q88" i="407"/>
  <c r="P90" i="407"/>
  <c r="O96" i="407"/>
  <c r="AG96" i="407"/>
  <c r="N108" i="407"/>
  <c r="AF96" i="407"/>
  <c r="AF105" i="407"/>
  <c r="O105" i="407"/>
  <c r="AG105" i="407"/>
  <c r="Q111" i="407"/>
  <c r="R111" i="407"/>
  <c r="O114" i="407"/>
  <c r="AG114" i="407"/>
  <c r="AF114" i="407"/>
  <c r="O83" i="407"/>
  <c r="O85" i="407"/>
  <c r="O86" i="407"/>
  <c r="P88" i="407"/>
  <c r="R88" i="407"/>
  <c r="P95" i="407"/>
  <c r="AG98" i="407"/>
  <c r="AF98" i="407"/>
  <c r="O98" i="407"/>
  <c r="AF99" i="407"/>
  <c r="O99" i="407"/>
  <c r="AG99" i="407"/>
  <c r="O112" i="407"/>
  <c r="AG112" i="407"/>
  <c r="AF112" i="407"/>
  <c r="O100" i="407"/>
  <c r="O102" i="407"/>
  <c r="O104" i="407"/>
  <c r="P109" i="407"/>
  <c r="O121" i="407"/>
  <c r="O124" i="407"/>
  <c r="O127" i="407"/>
  <c r="AG127" i="407"/>
  <c r="P135" i="407"/>
  <c r="P147" i="407"/>
  <c r="AG135" i="407"/>
  <c r="AF135" i="407"/>
  <c r="N147" i="407"/>
  <c r="AF137" i="407"/>
  <c r="O137" i="407"/>
  <c r="AG137" i="407"/>
  <c r="AG140" i="407"/>
  <c r="AF140" i="407"/>
  <c r="O140" i="407"/>
  <c r="R165" i="407"/>
  <c r="Q165" i="407"/>
  <c r="P98" i="407"/>
  <c r="P100" i="407"/>
  <c r="AF100" i="407"/>
  <c r="P102" i="407"/>
  <c r="AF102" i="407"/>
  <c r="P104" i="407"/>
  <c r="AF104" i="407"/>
  <c r="Q109" i="407"/>
  <c r="AF109" i="407"/>
  <c r="AF123" i="407"/>
  <c r="P124" i="407"/>
  <c r="R129" i="407"/>
  <c r="AG138" i="407"/>
  <c r="AF138" i="407"/>
  <c r="O138" i="407"/>
  <c r="AF143" i="407"/>
  <c r="O143" i="407"/>
  <c r="AG143" i="407"/>
  <c r="R163" i="407"/>
  <c r="Q163" i="407"/>
  <c r="AG109" i="407"/>
  <c r="O123" i="407"/>
  <c r="AG123" i="407"/>
  <c r="Q125" i="407"/>
  <c r="Q126" i="407"/>
  <c r="O128" i="407"/>
  <c r="AF128" i="407"/>
  <c r="R135" i="407"/>
  <c r="AG136" i="407"/>
  <c r="AF136" i="407"/>
  <c r="O136" i="407"/>
  <c r="AF141" i="407"/>
  <c r="O141" i="407"/>
  <c r="AG141" i="407"/>
  <c r="R125" i="407"/>
  <c r="AF139" i="407"/>
  <c r="O139" i="407"/>
  <c r="AG139" i="407"/>
  <c r="AG142" i="407"/>
  <c r="AF142" i="407"/>
  <c r="O142" i="407"/>
  <c r="R149" i="407"/>
  <c r="Q149" i="407"/>
  <c r="R151" i="407"/>
  <c r="Q151" i="407"/>
  <c r="R153" i="407"/>
  <c r="Q153" i="407"/>
  <c r="R155" i="407"/>
  <c r="Q155" i="407"/>
  <c r="AF149" i="407"/>
  <c r="AF151" i="407"/>
  <c r="AF153" i="407"/>
  <c r="AF155" i="407"/>
  <c r="AG160" i="407"/>
  <c r="AH148" i="407" s="1"/>
  <c r="AG161" i="407"/>
  <c r="AF163" i="407"/>
  <c r="AF165" i="407"/>
  <c r="P136" i="407"/>
  <c r="P138" i="407"/>
  <c r="P140" i="407"/>
  <c r="P142" i="407"/>
  <c r="AF148" i="407"/>
  <c r="AG149" i="407"/>
  <c r="O150" i="407"/>
  <c r="AG151" i="407"/>
  <c r="O152" i="407"/>
  <c r="AG153" i="407"/>
  <c r="O154" i="407"/>
  <c r="AG155" i="407"/>
  <c r="O161" i="407"/>
  <c r="O162" i="407"/>
  <c r="AG163" i="407"/>
  <c r="O164" i="407"/>
  <c r="AG165" i="407"/>
  <c r="O166" i="407"/>
  <c r="N173" i="407"/>
  <c r="AG148" i="407"/>
  <c r="AF150" i="407"/>
  <c r="AF152" i="407"/>
  <c r="AF154" i="407"/>
  <c r="AF162" i="407"/>
  <c r="AF164" i="407"/>
  <c r="AF166" i="407"/>
  <c r="O148" i="407"/>
  <c r="R118" i="394"/>
  <c r="Q166" i="407" l="1"/>
  <c r="R166" i="407"/>
  <c r="Q162" i="407"/>
  <c r="R162" i="407"/>
  <c r="R142" i="407"/>
  <c r="Q142" i="407"/>
  <c r="R139" i="407"/>
  <c r="Q139" i="407"/>
  <c r="R143" i="407"/>
  <c r="Q143" i="407"/>
  <c r="R104" i="407"/>
  <c r="Q104" i="407"/>
  <c r="Q86" i="407"/>
  <c r="R86" i="407"/>
  <c r="Q60" i="407"/>
  <c r="R60" i="407"/>
  <c r="R97" i="407"/>
  <c r="Q97" i="407"/>
  <c r="R74" i="407"/>
  <c r="Q74" i="407"/>
  <c r="R47" i="407"/>
  <c r="Q47" i="407"/>
  <c r="AG69" i="407"/>
  <c r="AH57" i="407" s="1"/>
  <c r="Q69" i="407"/>
  <c r="AF69" i="407"/>
  <c r="Q35" i="407"/>
  <c r="R35" i="407"/>
  <c r="Q9" i="407"/>
  <c r="R9" i="407"/>
  <c r="Q31" i="407"/>
  <c r="AG17" i="407"/>
  <c r="AH5" i="407" s="1"/>
  <c r="AF17" i="407"/>
  <c r="O30" i="407"/>
  <c r="Q18" i="407"/>
  <c r="R18" i="407"/>
  <c r="R20" i="407"/>
  <c r="Q20" i="407"/>
  <c r="Q161" i="407"/>
  <c r="O173" i="407"/>
  <c r="R161" i="407"/>
  <c r="Q152" i="407"/>
  <c r="R152" i="407"/>
  <c r="R141" i="407"/>
  <c r="Q141" i="407"/>
  <c r="R140" i="407"/>
  <c r="Q140" i="407"/>
  <c r="R137" i="407"/>
  <c r="Q137" i="407"/>
  <c r="R121" i="407"/>
  <c r="S109" i="407" s="1"/>
  <c r="Q121" i="407"/>
  <c r="R102" i="407"/>
  <c r="Q102" i="407"/>
  <c r="R112" i="407"/>
  <c r="Q112" i="407"/>
  <c r="Q98" i="407"/>
  <c r="R98" i="407"/>
  <c r="R85" i="407"/>
  <c r="Q85" i="407"/>
  <c r="AG108" i="407"/>
  <c r="AH96" i="407" s="1"/>
  <c r="AF108" i="407"/>
  <c r="AF134" i="407"/>
  <c r="AG134" i="407"/>
  <c r="AH122" i="407" s="1"/>
  <c r="R116" i="407"/>
  <c r="Q116" i="407"/>
  <c r="Q58" i="407"/>
  <c r="R58" i="407"/>
  <c r="R101" i="407"/>
  <c r="Q101" i="407"/>
  <c r="R45" i="407"/>
  <c r="Q45" i="407"/>
  <c r="R61" i="407"/>
  <c r="Q61" i="407"/>
  <c r="R46" i="407"/>
  <c r="Q46" i="407"/>
  <c r="Q24" i="407"/>
  <c r="R24" i="407"/>
  <c r="R32" i="407"/>
  <c r="Q32" i="407"/>
  <c r="R7" i="407"/>
  <c r="Q7" i="407"/>
  <c r="R31" i="407"/>
  <c r="AF30" i="407"/>
  <c r="AG30" i="407"/>
  <c r="AH18" i="407" s="1"/>
  <c r="R6" i="407"/>
  <c r="Q6" i="407"/>
  <c r="R22" i="407"/>
  <c r="Q22" i="407"/>
  <c r="R148" i="407"/>
  <c r="Q148" i="407"/>
  <c r="O160" i="407"/>
  <c r="Q164" i="407"/>
  <c r="R164" i="407"/>
  <c r="AF160" i="407"/>
  <c r="R126" i="407"/>
  <c r="O147" i="407"/>
  <c r="R128" i="407"/>
  <c r="Q128" i="407"/>
  <c r="R138" i="407"/>
  <c r="Q138" i="407"/>
  <c r="R127" i="407"/>
  <c r="Q127" i="407"/>
  <c r="R100" i="407"/>
  <c r="Q100" i="407"/>
  <c r="O95" i="407"/>
  <c r="R83" i="407"/>
  <c r="Q83" i="407"/>
  <c r="R114" i="407"/>
  <c r="Q114" i="407"/>
  <c r="R105" i="407"/>
  <c r="Q105" i="407"/>
  <c r="AG95" i="407"/>
  <c r="AH83" i="407" s="1"/>
  <c r="AF95" i="407"/>
  <c r="AG56" i="407"/>
  <c r="AH44" i="407" s="1"/>
  <c r="Q56" i="407"/>
  <c r="AF56" i="407"/>
  <c r="O134" i="407"/>
  <c r="R122" i="407"/>
  <c r="Q122" i="407"/>
  <c r="Q57" i="407"/>
  <c r="O69" i="407"/>
  <c r="R69" i="407" s="1"/>
  <c r="S57" i="407" s="1"/>
  <c r="R57" i="407"/>
  <c r="R110" i="407"/>
  <c r="Q110" i="407"/>
  <c r="O56" i="407"/>
  <c r="R56" i="407" s="1"/>
  <c r="S44" i="407" s="1"/>
  <c r="R44" i="407"/>
  <c r="Q44" i="407"/>
  <c r="R34" i="407"/>
  <c r="Q34" i="407"/>
  <c r="R72" i="407"/>
  <c r="Q72" i="407"/>
  <c r="R48" i="407"/>
  <c r="Q48" i="407"/>
  <c r="Q33" i="407"/>
  <c r="R33" i="407"/>
  <c r="AG82" i="407"/>
  <c r="AH70" i="407" s="1"/>
  <c r="AF82" i="407"/>
  <c r="Q82" i="407"/>
  <c r="O43" i="407"/>
  <c r="R43" i="407" s="1"/>
  <c r="S31" i="407" s="1"/>
  <c r="R8" i="407"/>
  <c r="Q8" i="407"/>
  <c r="AG173" i="407"/>
  <c r="AH161" i="407" s="1"/>
  <c r="AF173" i="407"/>
  <c r="Q154" i="407"/>
  <c r="R154" i="407"/>
  <c r="Q150" i="407"/>
  <c r="R150" i="407"/>
  <c r="R136" i="407"/>
  <c r="Q136" i="407"/>
  <c r="Q135" i="407"/>
  <c r="Q123" i="407"/>
  <c r="R123" i="407"/>
  <c r="AG147" i="407"/>
  <c r="AH135" i="407" s="1"/>
  <c r="AF147" i="407"/>
  <c r="R124" i="407"/>
  <c r="Q124" i="407"/>
  <c r="R99" i="407"/>
  <c r="Q99" i="407"/>
  <c r="Q129" i="407"/>
  <c r="O108" i="407"/>
  <c r="R96" i="407"/>
  <c r="Q96" i="407"/>
  <c r="R71" i="407"/>
  <c r="Q71" i="407"/>
  <c r="R103" i="407"/>
  <c r="Q103" i="407"/>
  <c r="AG121" i="407"/>
  <c r="AH109" i="407" s="1"/>
  <c r="AF121" i="407"/>
  <c r="R49" i="407"/>
  <c r="Q49" i="407"/>
  <c r="R50" i="407"/>
  <c r="Q50" i="407"/>
  <c r="R38" i="407"/>
  <c r="Q38" i="407"/>
  <c r="Q90" i="407"/>
  <c r="R90" i="407"/>
  <c r="R59" i="407"/>
  <c r="Q59" i="407"/>
  <c r="Q37" i="407"/>
  <c r="R37" i="407"/>
  <c r="AF43" i="407"/>
  <c r="Q43" i="407"/>
  <c r="AG43" i="407"/>
  <c r="AH31" i="407" s="1"/>
  <c r="R36" i="407"/>
  <c r="Q36" i="407"/>
  <c r="O82" i="407"/>
  <c r="R82" i="407" s="1"/>
  <c r="S70" i="407" s="1"/>
  <c r="R70" i="407"/>
  <c r="Q70" i="407"/>
  <c r="Q11" i="407"/>
  <c r="R11" i="407"/>
  <c r="R5" i="407"/>
  <c r="Q5" i="407"/>
  <c r="O17" i="407"/>
  <c r="R10" i="407"/>
  <c r="Q10" i="407"/>
  <c r="Q147" i="407" l="1"/>
  <c r="R147" i="407"/>
  <c r="S135" i="407" s="1"/>
  <c r="R173" i="407"/>
  <c r="S161" i="407" s="1"/>
  <c r="Q173" i="407"/>
  <c r="Q134" i="407"/>
  <c r="R134" i="407"/>
  <c r="S122" i="407" s="1"/>
  <c r="R160" i="407"/>
  <c r="S148" i="407" s="1"/>
  <c r="Q160" i="407"/>
  <c r="Q108" i="407"/>
  <c r="R108" i="407"/>
  <c r="S96" i="407" s="1"/>
  <c r="R17" i="407"/>
  <c r="S5" i="407" s="1"/>
  <c r="Q17" i="407"/>
  <c r="E2" i="407"/>
  <c r="R30" i="407"/>
  <c r="S18" i="407" s="1"/>
  <c r="Q30" i="407"/>
  <c r="R95" i="407"/>
  <c r="S83" i="407" s="1"/>
  <c r="Q95" i="407"/>
  <c r="M32" i="406" l="1"/>
  <c r="L32" i="406"/>
  <c r="K32" i="406"/>
  <c r="J32" i="406"/>
  <c r="I32" i="406"/>
  <c r="H32" i="406"/>
  <c r="G32" i="406"/>
  <c r="F32" i="406"/>
  <c r="E32" i="406"/>
  <c r="D32" i="406"/>
  <c r="J8" i="406" s="1"/>
  <c r="Q15" i="406"/>
  <c r="P15" i="406"/>
  <c r="O15" i="406"/>
  <c r="N15" i="406"/>
  <c r="M15" i="406"/>
  <c r="L15" i="406"/>
  <c r="K15" i="406"/>
  <c r="J15" i="406"/>
  <c r="I15" i="406"/>
  <c r="H15" i="406"/>
  <c r="G15" i="406"/>
  <c r="F15" i="406"/>
  <c r="H8" i="406" s="1"/>
  <c r="E15" i="406"/>
  <c r="D15" i="406"/>
  <c r="L7" i="406"/>
  <c r="J7" i="406"/>
  <c r="H7" i="406"/>
  <c r="F7" i="406"/>
  <c r="L6" i="406"/>
  <c r="J6" i="406"/>
  <c r="H6" i="406"/>
  <c r="F6" i="406"/>
  <c r="M32" i="405"/>
  <c r="L32" i="405"/>
  <c r="K32" i="405"/>
  <c r="J32" i="405"/>
  <c r="I32" i="405"/>
  <c r="H32" i="405"/>
  <c r="G32" i="405"/>
  <c r="F32" i="405"/>
  <c r="E32" i="405"/>
  <c r="D32" i="405"/>
  <c r="Q15" i="405"/>
  <c r="P15" i="405"/>
  <c r="O15" i="405"/>
  <c r="N15" i="405"/>
  <c r="M15" i="405"/>
  <c r="L15" i="405"/>
  <c r="K15" i="405"/>
  <c r="J15" i="405"/>
  <c r="I15" i="405"/>
  <c r="H15" i="405"/>
  <c r="G15" i="405"/>
  <c r="F15" i="405"/>
  <c r="H8" i="405" s="1"/>
  <c r="E15" i="405"/>
  <c r="D15" i="405"/>
  <c r="J8" i="405"/>
  <c r="L7" i="405"/>
  <c r="J7" i="405"/>
  <c r="H7" i="405"/>
  <c r="F7" i="405"/>
  <c r="L6" i="405"/>
  <c r="J6" i="405"/>
  <c r="H6" i="405"/>
  <c r="F6" i="405"/>
  <c r="M32" i="404"/>
  <c r="L32" i="404"/>
  <c r="K32" i="404"/>
  <c r="J32" i="404"/>
  <c r="I32" i="404"/>
  <c r="H32" i="404"/>
  <c r="G32" i="404"/>
  <c r="F32" i="404"/>
  <c r="E32" i="404"/>
  <c r="D32" i="404"/>
  <c r="Q15" i="404"/>
  <c r="P15" i="404"/>
  <c r="O15" i="404"/>
  <c r="N15" i="404"/>
  <c r="M15" i="404"/>
  <c r="L15" i="404"/>
  <c r="K15" i="404"/>
  <c r="J15" i="404"/>
  <c r="I15" i="404"/>
  <c r="H15" i="404"/>
  <c r="G15" i="404"/>
  <c r="F15" i="404"/>
  <c r="E15" i="404"/>
  <c r="D15" i="404"/>
  <c r="H8" i="404" s="1"/>
  <c r="J8" i="404"/>
  <c r="L7" i="404"/>
  <c r="J7" i="404"/>
  <c r="H7" i="404"/>
  <c r="F7" i="404"/>
  <c r="L6" i="404"/>
  <c r="J6" i="404"/>
  <c r="H6" i="404"/>
  <c r="F6" i="404"/>
  <c r="AE173" i="403"/>
  <c r="AD173" i="403"/>
  <c r="AA173" i="403"/>
  <c r="Z173" i="403"/>
  <c r="M173" i="403"/>
  <c r="W172" i="403"/>
  <c r="H172" i="403"/>
  <c r="W171" i="403"/>
  <c r="H171" i="403"/>
  <c r="AG170" i="403"/>
  <c r="AF170" i="403"/>
  <c r="W170" i="403"/>
  <c r="H170" i="403"/>
  <c r="AG169" i="403"/>
  <c r="AF169" i="403"/>
  <c r="W169" i="403"/>
  <c r="H169" i="403"/>
  <c r="AG168" i="403"/>
  <c r="AF168" i="403"/>
  <c r="W168" i="403"/>
  <c r="H168" i="403"/>
  <c r="AG167" i="403"/>
  <c r="AF167" i="403"/>
  <c r="W167" i="403"/>
  <c r="H167" i="403"/>
  <c r="AG166" i="403"/>
  <c r="AF166" i="403"/>
  <c r="W166" i="403"/>
  <c r="H166" i="403"/>
  <c r="W165" i="403"/>
  <c r="N165" i="403" s="1"/>
  <c r="P165" i="403"/>
  <c r="H165" i="403"/>
  <c r="W164" i="403"/>
  <c r="N164" i="403"/>
  <c r="AG164" i="403" s="1"/>
  <c r="H164" i="403"/>
  <c r="W163" i="403"/>
  <c r="P163" i="403"/>
  <c r="N163" i="403"/>
  <c r="O163" i="403" s="1"/>
  <c r="AG163" i="403"/>
  <c r="H163" i="403"/>
  <c r="W162" i="403"/>
  <c r="N162" i="403"/>
  <c r="AG162" i="403" s="1"/>
  <c r="P162" i="403"/>
  <c r="H162" i="403"/>
  <c r="W161" i="403"/>
  <c r="N161" i="403"/>
  <c r="AF161" i="403" s="1"/>
  <c r="P161" i="403"/>
  <c r="H161" i="403"/>
  <c r="AE160" i="403"/>
  <c r="AD160" i="403"/>
  <c r="AA160" i="403"/>
  <c r="Z160" i="403"/>
  <c r="M160" i="403"/>
  <c r="W159" i="403"/>
  <c r="H159" i="403"/>
  <c r="W158" i="403"/>
  <c r="H158" i="403"/>
  <c r="W157" i="403"/>
  <c r="H157" i="403"/>
  <c r="W156" i="403"/>
  <c r="H156" i="403"/>
  <c r="W155" i="403"/>
  <c r="H155" i="403"/>
  <c r="W154" i="403"/>
  <c r="N154" i="403"/>
  <c r="O154" i="403" s="1"/>
  <c r="P154" i="403"/>
  <c r="H154" i="403"/>
  <c r="W153" i="403"/>
  <c r="P153" i="403"/>
  <c r="N153" i="403"/>
  <c r="AG153" i="403" s="1"/>
  <c r="H153" i="403"/>
  <c r="W152" i="403"/>
  <c r="P152" i="403"/>
  <c r="N152" i="403"/>
  <c r="O152" i="403" s="1"/>
  <c r="H152" i="403"/>
  <c r="W151" i="403"/>
  <c r="P151" i="403"/>
  <c r="N151" i="403"/>
  <c r="AG151" i="403" s="1"/>
  <c r="H151" i="403"/>
  <c r="W150" i="403"/>
  <c r="P150" i="403"/>
  <c r="N150" i="403"/>
  <c r="O150" i="403" s="1"/>
  <c r="H150" i="403"/>
  <c r="W149" i="403"/>
  <c r="P149" i="403"/>
  <c r="N149" i="403"/>
  <c r="AG149" i="403" s="1"/>
  <c r="H149" i="403"/>
  <c r="W148" i="403"/>
  <c r="N148" i="403" s="1"/>
  <c r="P148" i="403"/>
  <c r="H148" i="403"/>
  <c r="AE147" i="403"/>
  <c r="AD147" i="403"/>
  <c r="AA147" i="403"/>
  <c r="Z147" i="403"/>
  <c r="W147" i="403"/>
  <c r="M147" i="403"/>
  <c r="W146" i="403"/>
  <c r="H146" i="403"/>
  <c r="AG145" i="403"/>
  <c r="AF145" i="403"/>
  <c r="W145" i="403"/>
  <c r="AG144" i="403"/>
  <c r="AF144" i="403"/>
  <c r="W144" i="403"/>
  <c r="AG143" i="403"/>
  <c r="W143" i="403"/>
  <c r="N143" i="403"/>
  <c r="AF143" i="403" s="1"/>
  <c r="P143" i="403"/>
  <c r="H143" i="403"/>
  <c r="W142" i="403"/>
  <c r="N142" i="403" s="1"/>
  <c r="P142" i="403"/>
  <c r="H142" i="403"/>
  <c r="AG141" i="403"/>
  <c r="W141" i="403"/>
  <c r="N141" i="403"/>
  <c r="AF141" i="403" s="1"/>
  <c r="P141" i="403"/>
  <c r="H141" i="403"/>
  <c r="W140" i="403"/>
  <c r="N140" i="403" s="1"/>
  <c r="P140" i="403"/>
  <c r="H140" i="403"/>
  <c r="AG139" i="403"/>
  <c r="W139" i="403"/>
  <c r="N139" i="403"/>
  <c r="AF139" i="403" s="1"/>
  <c r="P139" i="403"/>
  <c r="H139" i="403"/>
  <c r="W138" i="403"/>
  <c r="N138" i="403" s="1"/>
  <c r="P138" i="403"/>
  <c r="H138" i="403"/>
  <c r="AG137" i="403"/>
  <c r="W137" i="403"/>
  <c r="N137" i="403"/>
  <c r="AF137" i="403" s="1"/>
  <c r="P137" i="403"/>
  <c r="H137" i="403"/>
  <c r="W136" i="403"/>
  <c r="N136" i="403" s="1"/>
  <c r="P136" i="403"/>
  <c r="H136" i="403"/>
  <c r="W135" i="403"/>
  <c r="N135" i="403" s="1"/>
  <c r="P135" i="403"/>
  <c r="H135" i="403"/>
  <c r="AE134" i="403"/>
  <c r="AD134" i="403"/>
  <c r="AA134" i="403"/>
  <c r="Z134" i="403"/>
  <c r="M134" i="403"/>
  <c r="W133" i="403"/>
  <c r="H133" i="403"/>
  <c r="W132" i="403"/>
  <c r="H132" i="403"/>
  <c r="AG131" i="403"/>
  <c r="AF131" i="403"/>
  <c r="W131" i="403"/>
  <c r="H131" i="403"/>
  <c r="AG130" i="403"/>
  <c r="AF130" i="403"/>
  <c r="W130" i="403"/>
  <c r="H130" i="403"/>
  <c r="W129" i="403"/>
  <c r="N129" i="403"/>
  <c r="AG129" i="403" s="1"/>
  <c r="P129" i="403"/>
  <c r="H129" i="403"/>
  <c r="W128" i="403"/>
  <c r="N128" i="403" s="1"/>
  <c r="P128" i="403"/>
  <c r="H128" i="403"/>
  <c r="W127" i="403"/>
  <c r="N127" i="403"/>
  <c r="P127" i="403"/>
  <c r="H127" i="403"/>
  <c r="W126" i="403"/>
  <c r="N126" i="403" s="1"/>
  <c r="P126" i="403"/>
  <c r="H126" i="403"/>
  <c r="W125" i="403"/>
  <c r="N125" i="403"/>
  <c r="P125" i="403"/>
  <c r="H125" i="403"/>
  <c r="W124" i="403"/>
  <c r="N124" i="403" s="1"/>
  <c r="P124" i="403"/>
  <c r="H124" i="403"/>
  <c r="W123" i="403"/>
  <c r="N123" i="403"/>
  <c r="H123" i="403"/>
  <c r="W122" i="403"/>
  <c r="N122" i="403"/>
  <c r="H122" i="403"/>
  <c r="AE121" i="403"/>
  <c r="AD121" i="403"/>
  <c r="AA121" i="403"/>
  <c r="Z121" i="403"/>
  <c r="W121" i="403"/>
  <c r="M121" i="403"/>
  <c r="AG120" i="403"/>
  <c r="AF120" i="403"/>
  <c r="W120" i="403"/>
  <c r="H120" i="403"/>
  <c r="AG119" i="403"/>
  <c r="AF119" i="403"/>
  <c r="W119" i="403"/>
  <c r="H119" i="403"/>
  <c r="AG118" i="403"/>
  <c r="AF118" i="403"/>
  <c r="W118" i="403"/>
  <c r="H118" i="403"/>
  <c r="AF117" i="403"/>
  <c r="W117" i="403"/>
  <c r="N117" i="403" s="1"/>
  <c r="P117" i="403"/>
  <c r="H117" i="403"/>
  <c r="W116" i="403"/>
  <c r="N116" i="403"/>
  <c r="H116" i="403"/>
  <c r="W115" i="403"/>
  <c r="N115" i="403" s="1"/>
  <c r="P115" i="403"/>
  <c r="H115" i="403"/>
  <c r="W114" i="403"/>
  <c r="N114" i="403"/>
  <c r="H114" i="403"/>
  <c r="AF113" i="403"/>
  <c r="W113" i="403"/>
  <c r="N113" i="403" s="1"/>
  <c r="P113" i="403"/>
  <c r="H113" i="403"/>
  <c r="W112" i="403"/>
  <c r="N112" i="403"/>
  <c r="H112" i="403"/>
  <c r="W111" i="403"/>
  <c r="N111" i="403" s="1"/>
  <c r="P111" i="403"/>
  <c r="H111" i="403"/>
  <c r="W110" i="403"/>
  <c r="N110" i="403"/>
  <c r="H110" i="403"/>
  <c r="AG109" i="403"/>
  <c r="W109" i="403"/>
  <c r="N109" i="403"/>
  <c r="P121" i="403"/>
  <c r="H109" i="403"/>
  <c r="AE108" i="403"/>
  <c r="AD108" i="403"/>
  <c r="AA108" i="403"/>
  <c r="Z108" i="403"/>
  <c r="W108" i="403"/>
  <c r="M108" i="403"/>
  <c r="W107" i="403"/>
  <c r="H107" i="403"/>
  <c r="AG106" i="403"/>
  <c r="AF106" i="403"/>
  <c r="W106" i="403"/>
  <c r="H106" i="403"/>
  <c r="AG105" i="403"/>
  <c r="AF105" i="403"/>
  <c r="W105" i="403"/>
  <c r="H105" i="403"/>
  <c r="AG104" i="403"/>
  <c r="AF104" i="403"/>
  <c r="W104" i="403"/>
  <c r="H104" i="403"/>
  <c r="W103" i="403"/>
  <c r="N103" i="403" s="1"/>
  <c r="P103" i="403"/>
  <c r="H103" i="403"/>
  <c r="AG102" i="403"/>
  <c r="W102" i="403"/>
  <c r="P102" i="403"/>
  <c r="N102" i="403"/>
  <c r="H102" i="403"/>
  <c r="W101" i="403"/>
  <c r="N101" i="403" s="1"/>
  <c r="P101" i="403"/>
  <c r="O101" i="403"/>
  <c r="H101" i="403"/>
  <c r="W100" i="403"/>
  <c r="N100" i="403"/>
  <c r="P100" i="403"/>
  <c r="H100" i="403"/>
  <c r="W99" i="403"/>
  <c r="N99" i="403" s="1"/>
  <c r="P99" i="403"/>
  <c r="O99" i="403"/>
  <c r="H99" i="403"/>
  <c r="W98" i="403"/>
  <c r="P98" i="403"/>
  <c r="N98" i="403"/>
  <c r="H98" i="403"/>
  <c r="W97" i="403"/>
  <c r="N97" i="403" s="1"/>
  <c r="AG97" i="403" s="1"/>
  <c r="O97" i="403"/>
  <c r="P97" i="403"/>
  <c r="H97" i="403"/>
  <c r="W96" i="403"/>
  <c r="N96" i="403" s="1"/>
  <c r="O96" i="403"/>
  <c r="H96" i="403"/>
  <c r="AE95" i="403"/>
  <c r="AD95" i="403"/>
  <c r="AA95" i="403"/>
  <c r="Z95" i="403"/>
  <c r="M95" i="403"/>
  <c r="AG94" i="403"/>
  <c r="AF94" i="403"/>
  <c r="W94" i="403"/>
  <c r="H94" i="403"/>
  <c r="AG93" i="403"/>
  <c r="AF93" i="403"/>
  <c r="W93" i="403"/>
  <c r="H93" i="403"/>
  <c r="AG92" i="403"/>
  <c r="AF92" i="403"/>
  <c r="W92" i="403"/>
  <c r="H92" i="403"/>
  <c r="AG91" i="403"/>
  <c r="AF91" i="403"/>
  <c r="W91" i="403"/>
  <c r="H91" i="403"/>
  <c r="AG90" i="403"/>
  <c r="AF90" i="403"/>
  <c r="W90" i="403"/>
  <c r="H90" i="403"/>
  <c r="W89" i="403"/>
  <c r="N89" i="403" s="1"/>
  <c r="O89" i="403" s="1"/>
  <c r="P89" i="403"/>
  <c r="H89" i="403"/>
  <c r="AG88" i="403"/>
  <c r="W88" i="403"/>
  <c r="N88" i="403"/>
  <c r="P88" i="403"/>
  <c r="H88" i="403"/>
  <c r="W87" i="403"/>
  <c r="N87" i="403" s="1"/>
  <c r="P87" i="403"/>
  <c r="H87" i="403"/>
  <c r="W86" i="403"/>
  <c r="N86" i="403"/>
  <c r="P86" i="403"/>
  <c r="H86" i="403"/>
  <c r="W85" i="403"/>
  <c r="N85" i="403" s="1"/>
  <c r="AG85" i="403" s="1"/>
  <c r="P85" i="403"/>
  <c r="H85" i="403"/>
  <c r="W84" i="403"/>
  <c r="N84" i="403"/>
  <c r="P84" i="403"/>
  <c r="H84" i="403"/>
  <c r="W83" i="403"/>
  <c r="P83" i="403"/>
  <c r="N83" i="403"/>
  <c r="H83" i="403"/>
  <c r="AE82" i="403"/>
  <c r="AD82" i="403"/>
  <c r="AA82" i="403"/>
  <c r="Z82" i="403"/>
  <c r="M82" i="403"/>
  <c r="W81" i="403"/>
  <c r="AG80" i="403"/>
  <c r="AF80" i="403"/>
  <c r="W80" i="403"/>
  <c r="H80" i="403"/>
  <c r="AG79" i="403"/>
  <c r="AF79" i="403"/>
  <c r="W79" i="403"/>
  <c r="H79" i="403"/>
  <c r="AG78" i="403"/>
  <c r="AF78" i="403"/>
  <c r="W78" i="403"/>
  <c r="H78" i="403"/>
  <c r="AG77" i="403"/>
  <c r="AF77" i="403"/>
  <c r="W77" i="403"/>
  <c r="H77" i="403"/>
  <c r="AG76" i="403"/>
  <c r="AF76" i="403"/>
  <c r="W76" i="403"/>
  <c r="H76" i="403"/>
  <c r="W75" i="403"/>
  <c r="N75" i="403" s="1"/>
  <c r="P75" i="403"/>
  <c r="H75" i="403"/>
  <c r="AG74" i="403"/>
  <c r="AF74" i="403"/>
  <c r="W74" i="403"/>
  <c r="N74" i="403" s="1"/>
  <c r="O74" i="403"/>
  <c r="H74" i="403"/>
  <c r="W73" i="403"/>
  <c r="N73" i="403"/>
  <c r="AF73" i="403" s="1"/>
  <c r="P73" i="403"/>
  <c r="H73" i="403"/>
  <c r="W72" i="403"/>
  <c r="N72" i="403"/>
  <c r="H72" i="403"/>
  <c r="AF71" i="403"/>
  <c r="W71" i="403"/>
  <c r="N71" i="403" s="1"/>
  <c r="P71" i="403"/>
  <c r="H71" i="403"/>
  <c r="W70" i="403"/>
  <c r="N70" i="403" s="1"/>
  <c r="P70" i="403"/>
  <c r="H70" i="403"/>
  <c r="AE69" i="403"/>
  <c r="AD69" i="403"/>
  <c r="AA69" i="403"/>
  <c r="Z69" i="403"/>
  <c r="W69" i="403"/>
  <c r="M69" i="403"/>
  <c r="W68" i="403"/>
  <c r="H68" i="403"/>
  <c r="AG67" i="403"/>
  <c r="AF67" i="403"/>
  <c r="W67" i="403"/>
  <c r="H67" i="403"/>
  <c r="AG66" i="403"/>
  <c r="AF66" i="403"/>
  <c r="W66" i="403"/>
  <c r="H66" i="403"/>
  <c r="AG65" i="403"/>
  <c r="AF65" i="403"/>
  <c r="W65" i="403"/>
  <c r="H65" i="403"/>
  <c r="AG64" i="403"/>
  <c r="AF64" i="403"/>
  <c r="W64" i="403"/>
  <c r="H64" i="403"/>
  <c r="AG63" i="403"/>
  <c r="AF63" i="403"/>
  <c r="W63" i="403"/>
  <c r="H63" i="403"/>
  <c r="AG62" i="403"/>
  <c r="AF62" i="403"/>
  <c r="W62" i="403"/>
  <c r="H62" i="403"/>
  <c r="W61" i="403"/>
  <c r="N61" i="403" s="1"/>
  <c r="O61" i="403"/>
  <c r="P61" i="403"/>
  <c r="H61" i="403"/>
  <c r="AG60" i="403"/>
  <c r="W60" i="403"/>
  <c r="P60" i="403"/>
  <c r="N60" i="403"/>
  <c r="AF60" i="403" s="1"/>
  <c r="H60" i="403"/>
  <c r="W59" i="403"/>
  <c r="N59" i="403" s="1"/>
  <c r="O59" i="403" s="1"/>
  <c r="P59" i="403"/>
  <c r="H59" i="403"/>
  <c r="W58" i="403"/>
  <c r="P58" i="403"/>
  <c r="N58" i="403"/>
  <c r="AG58" i="403" s="1"/>
  <c r="H58" i="403"/>
  <c r="AF57" i="403"/>
  <c r="W57" i="403"/>
  <c r="P57" i="403"/>
  <c r="N57" i="403"/>
  <c r="O57" i="403" s="1"/>
  <c r="Q57" i="403" s="1"/>
  <c r="H57" i="403"/>
  <c r="AE56" i="403"/>
  <c r="AD56" i="403"/>
  <c r="AA56" i="403"/>
  <c r="Z56" i="403"/>
  <c r="W56" i="403"/>
  <c r="M56" i="403"/>
  <c r="W55" i="403"/>
  <c r="H55" i="403"/>
  <c r="AG54" i="403"/>
  <c r="AF54" i="403"/>
  <c r="W54" i="403"/>
  <c r="H54" i="403"/>
  <c r="AG53" i="403"/>
  <c r="AF53" i="403"/>
  <c r="W53" i="403"/>
  <c r="H53" i="403"/>
  <c r="AG52" i="403"/>
  <c r="AF52" i="403"/>
  <c r="W52" i="403"/>
  <c r="H52" i="403"/>
  <c r="AG51" i="403"/>
  <c r="AF51" i="403"/>
  <c r="W51" i="403"/>
  <c r="H51" i="403"/>
  <c r="AG50" i="403"/>
  <c r="W50" i="403"/>
  <c r="N50" i="403" s="1"/>
  <c r="O50" i="403" s="1"/>
  <c r="Q50" i="403" s="1"/>
  <c r="P50" i="403"/>
  <c r="H50" i="403"/>
  <c r="W49" i="403"/>
  <c r="N49" i="403" s="1"/>
  <c r="H49" i="403"/>
  <c r="AG48" i="403"/>
  <c r="AF48" i="403"/>
  <c r="W48" i="403"/>
  <c r="N48" i="403" s="1"/>
  <c r="O48" i="403" s="1"/>
  <c r="P48" i="403"/>
  <c r="Q48" i="403"/>
  <c r="H48" i="403"/>
  <c r="W47" i="403"/>
  <c r="N47" i="403"/>
  <c r="H47" i="403"/>
  <c r="W46" i="403"/>
  <c r="N46" i="403" s="1"/>
  <c r="O46" i="403" s="1"/>
  <c r="Q46" i="403" s="1"/>
  <c r="P46" i="403"/>
  <c r="H46" i="403"/>
  <c r="W45" i="403"/>
  <c r="N45" i="403" s="1"/>
  <c r="H45" i="403"/>
  <c r="W44" i="403"/>
  <c r="N44" i="403"/>
  <c r="H44" i="403"/>
  <c r="AE43" i="403"/>
  <c r="AD43" i="403"/>
  <c r="AA43" i="403"/>
  <c r="Z43" i="403"/>
  <c r="M43" i="403"/>
  <c r="W42" i="403"/>
  <c r="H42" i="403"/>
  <c r="W41" i="403"/>
  <c r="AG40" i="403"/>
  <c r="AF40" i="403"/>
  <c r="W40" i="403"/>
  <c r="H40" i="403"/>
  <c r="AG39" i="403"/>
  <c r="AF39" i="403"/>
  <c r="W39" i="403"/>
  <c r="H39" i="403"/>
  <c r="W38" i="403"/>
  <c r="N38" i="403" s="1"/>
  <c r="AG38" i="403" s="1"/>
  <c r="P38" i="403"/>
  <c r="H38" i="403"/>
  <c r="W37" i="403"/>
  <c r="N37" i="403"/>
  <c r="P37" i="403"/>
  <c r="H37" i="403"/>
  <c r="W36" i="403"/>
  <c r="N36" i="403" s="1"/>
  <c r="AG36" i="403" s="1"/>
  <c r="P36" i="403"/>
  <c r="H36" i="403"/>
  <c r="W35" i="403"/>
  <c r="N35" i="403"/>
  <c r="AF35" i="403" s="1"/>
  <c r="P35" i="403"/>
  <c r="H35" i="403"/>
  <c r="W34" i="403"/>
  <c r="N34" i="403" s="1"/>
  <c r="AG34" i="403" s="1"/>
  <c r="P34" i="403"/>
  <c r="H34" i="403"/>
  <c r="W33" i="403"/>
  <c r="N33" i="403"/>
  <c r="AF33" i="403" s="1"/>
  <c r="P33" i="403"/>
  <c r="H33" i="403"/>
  <c r="W32" i="403"/>
  <c r="N32" i="403"/>
  <c r="AF32" i="403" s="1"/>
  <c r="P32" i="403"/>
  <c r="H32" i="403"/>
  <c r="AF31" i="403"/>
  <c r="W31" i="403"/>
  <c r="O31" i="403"/>
  <c r="R31" i="403" s="1"/>
  <c r="N31" i="403"/>
  <c r="P31" i="403"/>
  <c r="H31" i="403"/>
  <c r="AE30" i="403"/>
  <c r="AD30" i="403"/>
  <c r="AA30" i="403"/>
  <c r="Z30" i="403"/>
  <c r="M30" i="403"/>
  <c r="AF29" i="403"/>
  <c r="W29" i="403"/>
  <c r="H29" i="403"/>
  <c r="AG28" i="403"/>
  <c r="AF28" i="403"/>
  <c r="W28" i="403"/>
  <c r="H28" i="403"/>
  <c r="AG27" i="403"/>
  <c r="AF27" i="403"/>
  <c r="W27" i="403"/>
  <c r="H27" i="403"/>
  <c r="AG26" i="403"/>
  <c r="AF26" i="403"/>
  <c r="W26" i="403"/>
  <c r="H26" i="403"/>
  <c r="AG25" i="403"/>
  <c r="AF25" i="403"/>
  <c r="W25" i="403"/>
  <c r="H25" i="403"/>
  <c r="AG24" i="403"/>
  <c r="AF24" i="403"/>
  <c r="W24" i="403"/>
  <c r="H24" i="403"/>
  <c r="W23" i="403"/>
  <c r="N23" i="403"/>
  <c r="AF23" i="403" s="1"/>
  <c r="P23" i="403"/>
  <c r="H23" i="403"/>
  <c r="W22" i="403"/>
  <c r="N22" i="403" s="1"/>
  <c r="P22" i="403"/>
  <c r="H22" i="403"/>
  <c r="W21" i="403"/>
  <c r="N21" i="403"/>
  <c r="AF21" i="403" s="1"/>
  <c r="P21" i="403"/>
  <c r="H21" i="403"/>
  <c r="W20" i="403"/>
  <c r="N20" i="403" s="1"/>
  <c r="P20" i="403"/>
  <c r="H20" i="403"/>
  <c r="W19" i="403"/>
  <c r="N19" i="403"/>
  <c r="AF19" i="403" s="1"/>
  <c r="P19" i="403"/>
  <c r="H19" i="403"/>
  <c r="W18" i="403"/>
  <c r="N18" i="403"/>
  <c r="O18" i="403" s="1"/>
  <c r="P18" i="403"/>
  <c r="H18" i="403"/>
  <c r="AE17" i="403"/>
  <c r="AD17" i="403"/>
  <c r="AA17" i="403"/>
  <c r="Z17" i="403"/>
  <c r="W17" i="403"/>
  <c r="M17" i="403"/>
  <c r="AG16" i="403"/>
  <c r="AF16" i="403"/>
  <c r="W16" i="403"/>
  <c r="H16" i="403"/>
  <c r="AG15" i="403"/>
  <c r="AF15" i="403"/>
  <c r="W15" i="403"/>
  <c r="H15" i="403"/>
  <c r="AG14" i="403"/>
  <c r="AF14" i="403"/>
  <c r="W14" i="403"/>
  <c r="H14" i="403"/>
  <c r="AG13" i="403"/>
  <c r="AF13" i="403"/>
  <c r="W13" i="403"/>
  <c r="H13" i="403"/>
  <c r="AG12" i="403"/>
  <c r="AF12" i="403"/>
  <c r="W12" i="403"/>
  <c r="H12" i="403"/>
  <c r="W11" i="403"/>
  <c r="N11" i="403" s="1"/>
  <c r="H11" i="403"/>
  <c r="W10" i="403"/>
  <c r="N10" i="403" s="1"/>
  <c r="P10" i="403"/>
  <c r="H10" i="403"/>
  <c r="W9" i="403"/>
  <c r="N9" i="403" s="1"/>
  <c r="H9" i="403"/>
  <c r="W8" i="403"/>
  <c r="N8" i="403" s="1"/>
  <c r="P8" i="403"/>
  <c r="H8" i="403"/>
  <c r="W7" i="403"/>
  <c r="N7" i="403" s="1"/>
  <c r="H7" i="403"/>
  <c r="W6" i="403"/>
  <c r="N6" i="403" s="1"/>
  <c r="P6" i="403"/>
  <c r="H6" i="403"/>
  <c r="W5" i="403"/>
  <c r="N5" i="403" s="1"/>
  <c r="P5" i="403"/>
  <c r="P17" i="403"/>
  <c r="H5" i="403"/>
  <c r="AE2" i="403"/>
  <c r="AD2" i="403"/>
  <c r="AA2" i="403"/>
  <c r="Z2" i="403"/>
  <c r="I2" i="403"/>
  <c r="I1" i="403"/>
  <c r="E1" i="403"/>
  <c r="AE173" i="402"/>
  <c r="AD173" i="402"/>
  <c r="AA173" i="402"/>
  <c r="Z173" i="402"/>
  <c r="M173" i="402"/>
  <c r="W172" i="402"/>
  <c r="H172" i="402"/>
  <c r="W171" i="402"/>
  <c r="H171" i="402"/>
  <c r="AG170" i="402"/>
  <c r="AF170" i="402"/>
  <c r="W170" i="402"/>
  <c r="H170" i="402"/>
  <c r="AG169" i="402"/>
  <c r="AF169" i="402"/>
  <c r="W169" i="402"/>
  <c r="H169" i="402"/>
  <c r="AG168" i="402"/>
  <c r="AF168" i="402"/>
  <c r="W168" i="402"/>
  <c r="H168" i="402"/>
  <c r="AG167" i="402"/>
  <c r="AF167" i="402"/>
  <c r="W167" i="402"/>
  <c r="H167" i="402"/>
  <c r="AG166" i="402"/>
  <c r="AF166" i="402"/>
  <c r="W166" i="402"/>
  <c r="H166" i="402"/>
  <c r="W165" i="402"/>
  <c r="N165" i="402" s="1"/>
  <c r="P165" i="402"/>
  <c r="H165" i="402"/>
  <c r="AG164" i="402"/>
  <c r="W164" i="402"/>
  <c r="P164" i="402"/>
  <c r="N164" i="402"/>
  <c r="O164" i="402" s="1"/>
  <c r="H164" i="402"/>
  <c r="W163" i="402"/>
  <c r="N163" i="402" s="1"/>
  <c r="P163" i="402"/>
  <c r="H163" i="402"/>
  <c r="AG162" i="402"/>
  <c r="W162" i="402"/>
  <c r="P162" i="402"/>
  <c r="N162" i="402"/>
  <c r="O162" i="402" s="1"/>
  <c r="H162" i="402"/>
  <c r="W161" i="402"/>
  <c r="N161" i="402" s="1"/>
  <c r="P161" i="402"/>
  <c r="P173" i="402"/>
  <c r="H161" i="402"/>
  <c r="AE160" i="402"/>
  <c r="AD160" i="402"/>
  <c r="AA160" i="402"/>
  <c r="Z160" i="402"/>
  <c r="M160" i="402"/>
  <c r="W159" i="402"/>
  <c r="H159" i="402"/>
  <c r="W158" i="402"/>
  <c r="H158" i="402"/>
  <c r="W157" i="402"/>
  <c r="H157" i="402"/>
  <c r="W156" i="402"/>
  <c r="H156" i="402"/>
  <c r="W155" i="402"/>
  <c r="H155" i="402"/>
  <c r="W154" i="402"/>
  <c r="N154" i="402"/>
  <c r="AG154" i="402" s="1"/>
  <c r="P154" i="402"/>
  <c r="H154" i="402"/>
  <c r="W153" i="402"/>
  <c r="P153" i="402"/>
  <c r="N153" i="402"/>
  <c r="O153" i="402" s="1"/>
  <c r="AG153" i="402"/>
  <c r="H153" i="402"/>
  <c r="W152" i="402"/>
  <c r="N152" i="402"/>
  <c r="AG152" i="402" s="1"/>
  <c r="P152" i="402"/>
  <c r="H152" i="402"/>
  <c r="W151" i="402"/>
  <c r="P151" i="402"/>
  <c r="N151" i="402"/>
  <c r="O151" i="402" s="1"/>
  <c r="AG151" i="402"/>
  <c r="H151" i="402"/>
  <c r="W150" i="402"/>
  <c r="N150" i="402"/>
  <c r="AG150" i="402" s="1"/>
  <c r="P150" i="402"/>
  <c r="H150" i="402"/>
  <c r="W149" i="402"/>
  <c r="P149" i="402"/>
  <c r="N149" i="402"/>
  <c r="O149" i="402" s="1"/>
  <c r="AG149" i="402"/>
  <c r="H149" i="402"/>
  <c r="W148" i="402"/>
  <c r="N148" i="402" s="1"/>
  <c r="P148" i="402"/>
  <c r="H148" i="402"/>
  <c r="AE147" i="402"/>
  <c r="AD147" i="402"/>
  <c r="AA147" i="402"/>
  <c r="Z147" i="402"/>
  <c r="W147" i="402"/>
  <c r="M147" i="402"/>
  <c r="W146" i="402"/>
  <c r="H146" i="402"/>
  <c r="AG145" i="402"/>
  <c r="AF145" i="402"/>
  <c r="W145" i="402"/>
  <c r="AG144" i="402"/>
  <c r="AF144" i="402"/>
  <c r="W144" i="402"/>
  <c r="AG143" i="402"/>
  <c r="W143" i="402"/>
  <c r="P143" i="402"/>
  <c r="N143" i="402"/>
  <c r="AF143" i="402" s="1"/>
  <c r="H143" i="402"/>
  <c r="W142" i="402"/>
  <c r="N142" i="402" s="1"/>
  <c r="P142" i="402"/>
  <c r="H142" i="402"/>
  <c r="AG141" i="402"/>
  <c r="W141" i="402"/>
  <c r="N141" i="402"/>
  <c r="AF141" i="402" s="1"/>
  <c r="P141" i="402"/>
  <c r="H141" i="402"/>
  <c r="W140" i="402"/>
  <c r="N140" i="402" s="1"/>
  <c r="P140" i="402"/>
  <c r="H140" i="402"/>
  <c r="AG139" i="402"/>
  <c r="W139" i="402"/>
  <c r="N139" i="402"/>
  <c r="AF139" i="402" s="1"/>
  <c r="P139" i="402"/>
  <c r="H139" i="402"/>
  <c r="W138" i="402"/>
  <c r="N138" i="402" s="1"/>
  <c r="P138" i="402"/>
  <c r="H138" i="402"/>
  <c r="AG137" i="402"/>
  <c r="W137" i="402"/>
  <c r="N137" i="402"/>
  <c r="AF137" i="402" s="1"/>
  <c r="P137" i="402"/>
  <c r="H137" i="402"/>
  <c r="W136" i="402"/>
  <c r="N136" i="402" s="1"/>
  <c r="P136" i="402"/>
  <c r="H136" i="402"/>
  <c r="W135" i="402"/>
  <c r="N135" i="402" s="1"/>
  <c r="P135" i="402"/>
  <c r="H135" i="402"/>
  <c r="AE134" i="402"/>
  <c r="AD134" i="402"/>
  <c r="AA134" i="402"/>
  <c r="Z134" i="402"/>
  <c r="M134" i="402"/>
  <c r="W133" i="402"/>
  <c r="H133" i="402"/>
  <c r="W132" i="402"/>
  <c r="H132" i="402"/>
  <c r="AG131" i="402"/>
  <c r="AF131" i="402"/>
  <c r="W131" i="402"/>
  <c r="H131" i="402"/>
  <c r="AG130" i="402"/>
  <c r="AF130" i="402"/>
  <c r="W130" i="402"/>
  <c r="H130" i="402"/>
  <c r="W129" i="402"/>
  <c r="N129" i="402"/>
  <c r="P129" i="402"/>
  <c r="H129" i="402"/>
  <c r="W128" i="402"/>
  <c r="N128" i="402" s="1"/>
  <c r="AF128" i="402" s="1"/>
  <c r="P128" i="402"/>
  <c r="O128" i="402"/>
  <c r="H128" i="402"/>
  <c r="W127" i="402"/>
  <c r="N127" i="402"/>
  <c r="P127" i="402"/>
  <c r="H127" i="402"/>
  <c r="AF126" i="402"/>
  <c r="W126" i="402"/>
  <c r="O126" i="402"/>
  <c r="N126" i="402"/>
  <c r="P126" i="402"/>
  <c r="H126" i="402"/>
  <c r="AG125" i="402"/>
  <c r="W125" i="402"/>
  <c r="N125" i="402"/>
  <c r="O125" i="402" s="1"/>
  <c r="P125" i="402"/>
  <c r="H125" i="402"/>
  <c r="W124" i="402"/>
  <c r="N124" i="402" s="1"/>
  <c r="P124" i="402"/>
  <c r="H124" i="402"/>
  <c r="AG123" i="402"/>
  <c r="W123" i="402"/>
  <c r="N123" i="402"/>
  <c r="O123" i="402" s="1"/>
  <c r="P123" i="402"/>
  <c r="H123" i="402"/>
  <c r="W122" i="402"/>
  <c r="N122" i="402" s="1"/>
  <c r="P122" i="402"/>
  <c r="H122" i="402"/>
  <c r="AE121" i="402"/>
  <c r="AD121" i="402"/>
  <c r="AA121" i="402"/>
  <c r="Z121" i="402"/>
  <c r="W121" i="402"/>
  <c r="M121" i="402"/>
  <c r="AG120" i="402"/>
  <c r="AF120" i="402"/>
  <c r="W120" i="402"/>
  <c r="H120" i="402"/>
  <c r="AG119" i="402"/>
  <c r="AF119" i="402"/>
  <c r="W119" i="402"/>
  <c r="H119" i="402"/>
  <c r="AG118" i="402"/>
  <c r="AF118" i="402"/>
  <c r="W118" i="402"/>
  <c r="H118" i="402"/>
  <c r="W117" i="402"/>
  <c r="P117" i="402"/>
  <c r="N117" i="402"/>
  <c r="AF117" i="402" s="1"/>
  <c r="H117" i="402"/>
  <c r="W116" i="402"/>
  <c r="P116" i="402"/>
  <c r="N116" i="402"/>
  <c r="AG116" i="402" s="1"/>
  <c r="H116" i="402"/>
  <c r="W115" i="402"/>
  <c r="P115" i="402"/>
  <c r="N115" i="402"/>
  <c r="AF115" i="402" s="1"/>
  <c r="H115" i="402"/>
  <c r="W114" i="402"/>
  <c r="N114" i="402"/>
  <c r="AG114" i="402" s="1"/>
  <c r="P114" i="402"/>
  <c r="H114" i="402"/>
  <c r="W113" i="402"/>
  <c r="N113" i="402"/>
  <c r="AF113" i="402" s="1"/>
  <c r="P113" i="402"/>
  <c r="H113" i="402"/>
  <c r="W112" i="402"/>
  <c r="N112" i="402"/>
  <c r="AG112" i="402" s="1"/>
  <c r="P112" i="402"/>
  <c r="H112" i="402"/>
  <c r="W111" i="402"/>
  <c r="P111" i="402"/>
  <c r="N111" i="402"/>
  <c r="AF111" i="402" s="1"/>
  <c r="H111" i="402"/>
  <c r="W110" i="402"/>
  <c r="N110" i="402"/>
  <c r="AG110" i="402" s="1"/>
  <c r="P110" i="402"/>
  <c r="H110" i="402"/>
  <c r="W109" i="402"/>
  <c r="N109" i="402" s="1"/>
  <c r="P109" i="402"/>
  <c r="H109" i="402"/>
  <c r="AE108" i="402"/>
  <c r="AD108" i="402"/>
  <c r="AA108" i="402"/>
  <c r="Z108" i="402"/>
  <c r="W108" i="402"/>
  <c r="M108" i="402"/>
  <c r="W107" i="402"/>
  <c r="H107" i="402"/>
  <c r="AG106" i="402"/>
  <c r="AF106" i="402"/>
  <c r="W106" i="402"/>
  <c r="H106" i="402"/>
  <c r="AG105" i="402"/>
  <c r="AF105" i="402"/>
  <c r="W105" i="402"/>
  <c r="H105" i="402"/>
  <c r="W104" i="402"/>
  <c r="N104" i="402"/>
  <c r="AG104" i="402" s="1"/>
  <c r="P104" i="402"/>
  <c r="H104" i="402"/>
  <c r="W103" i="402"/>
  <c r="P103" i="402"/>
  <c r="N103" i="402"/>
  <c r="O103" i="402" s="1"/>
  <c r="AG103" i="402"/>
  <c r="H103" i="402"/>
  <c r="W102" i="402"/>
  <c r="N102" i="402"/>
  <c r="AG102" i="402" s="1"/>
  <c r="P102" i="402"/>
  <c r="H102" i="402"/>
  <c r="AG101" i="402"/>
  <c r="W101" i="402"/>
  <c r="P101" i="402"/>
  <c r="N101" i="402"/>
  <c r="O101" i="402" s="1"/>
  <c r="AF101" i="402"/>
  <c r="H101" i="402"/>
  <c r="W100" i="402"/>
  <c r="N100" i="402" s="1"/>
  <c r="P100" i="402"/>
  <c r="H100" i="402"/>
  <c r="AG99" i="402"/>
  <c r="W99" i="402"/>
  <c r="P99" i="402"/>
  <c r="N99" i="402"/>
  <c r="O99" i="402" s="1"/>
  <c r="AF99" i="402"/>
  <c r="H99" i="402"/>
  <c r="W98" i="402"/>
  <c r="N98" i="402" s="1"/>
  <c r="P98" i="402"/>
  <c r="H98" i="402"/>
  <c r="AG97" i="402"/>
  <c r="W97" i="402"/>
  <c r="P97" i="402"/>
  <c r="N97" i="402"/>
  <c r="O97" i="402" s="1"/>
  <c r="AF97" i="402"/>
  <c r="H97" i="402"/>
  <c r="W96" i="402"/>
  <c r="N96" i="402" s="1"/>
  <c r="P96" i="402"/>
  <c r="H96" i="402"/>
  <c r="AE95" i="402"/>
  <c r="AD95" i="402"/>
  <c r="AA95" i="402"/>
  <c r="Z95" i="402"/>
  <c r="M95" i="402"/>
  <c r="AG94" i="402"/>
  <c r="AF94" i="402"/>
  <c r="W94" i="402"/>
  <c r="H94" i="402"/>
  <c r="AG93" i="402"/>
  <c r="AF93" i="402"/>
  <c r="W93" i="402"/>
  <c r="H93" i="402"/>
  <c r="AG92" i="402"/>
  <c r="AF92" i="402"/>
  <c r="W92" i="402"/>
  <c r="H92" i="402"/>
  <c r="AG91" i="402"/>
  <c r="AF91" i="402"/>
  <c r="W91" i="402"/>
  <c r="H91" i="402"/>
  <c r="AG90" i="402"/>
  <c r="AF90" i="402"/>
  <c r="W90" i="402"/>
  <c r="H90" i="402"/>
  <c r="W89" i="402"/>
  <c r="N89" i="402" s="1"/>
  <c r="P89" i="402"/>
  <c r="H89" i="402"/>
  <c r="W88" i="402"/>
  <c r="N88" i="402"/>
  <c r="AG88" i="402" s="1"/>
  <c r="P88" i="402"/>
  <c r="H88" i="402"/>
  <c r="W87" i="402"/>
  <c r="P87" i="402"/>
  <c r="N87" i="402"/>
  <c r="O87" i="402" s="1"/>
  <c r="AG87" i="402"/>
  <c r="H87" i="402"/>
  <c r="W86" i="402"/>
  <c r="N86" i="402"/>
  <c r="AG86" i="402" s="1"/>
  <c r="P86" i="402"/>
  <c r="H86" i="402"/>
  <c r="W85" i="402"/>
  <c r="P85" i="402"/>
  <c r="N85" i="402"/>
  <c r="O85" i="402" s="1"/>
  <c r="AG85" i="402"/>
  <c r="H85" i="402"/>
  <c r="W84" i="402"/>
  <c r="N84" i="402"/>
  <c r="AG84" i="402" s="1"/>
  <c r="H84" i="402"/>
  <c r="W83" i="402"/>
  <c r="N83" i="402"/>
  <c r="AF83" i="402" s="1"/>
  <c r="P83" i="402"/>
  <c r="H83" i="402"/>
  <c r="AE82" i="402"/>
  <c r="AD82" i="402"/>
  <c r="AA82" i="402"/>
  <c r="Z82" i="402"/>
  <c r="M82" i="402"/>
  <c r="W81" i="402"/>
  <c r="AG80" i="402"/>
  <c r="AF80" i="402"/>
  <c r="W80" i="402"/>
  <c r="H80" i="402"/>
  <c r="AG79" i="402"/>
  <c r="AF79" i="402"/>
  <c r="W79" i="402"/>
  <c r="H79" i="402"/>
  <c r="AG78" i="402"/>
  <c r="AF78" i="402"/>
  <c r="W78" i="402"/>
  <c r="H78" i="402"/>
  <c r="AG77" i="402"/>
  <c r="AF77" i="402"/>
  <c r="W77" i="402"/>
  <c r="H77" i="402"/>
  <c r="AG76" i="402"/>
  <c r="AF76" i="402"/>
  <c r="W76" i="402"/>
  <c r="H76" i="402"/>
  <c r="W75" i="402"/>
  <c r="N75" i="402" s="1"/>
  <c r="P75" i="402"/>
  <c r="H75" i="402"/>
  <c r="AG74" i="402"/>
  <c r="W74" i="402"/>
  <c r="N74" i="402"/>
  <c r="AF74" i="402" s="1"/>
  <c r="P74" i="402"/>
  <c r="H74" i="402"/>
  <c r="W73" i="402"/>
  <c r="N73" i="402" s="1"/>
  <c r="P73" i="402"/>
  <c r="H73" i="402"/>
  <c r="W72" i="402"/>
  <c r="N72" i="402"/>
  <c r="AF72" i="402" s="1"/>
  <c r="P72" i="402"/>
  <c r="H72" i="402"/>
  <c r="W71" i="402"/>
  <c r="N71" i="402" s="1"/>
  <c r="P71" i="402"/>
  <c r="H71" i="402"/>
  <c r="W70" i="402"/>
  <c r="N70" i="402" s="1"/>
  <c r="P82" i="402"/>
  <c r="H70" i="402"/>
  <c r="AE69" i="402"/>
  <c r="AD69" i="402"/>
  <c r="AA69" i="402"/>
  <c r="Z69" i="402"/>
  <c r="W69" i="402"/>
  <c r="M69" i="402"/>
  <c r="P69" i="402" s="1"/>
  <c r="W68" i="402"/>
  <c r="H68" i="402"/>
  <c r="AG67" i="402"/>
  <c r="AF67" i="402"/>
  <c r="W67" i="402"/>
  <c r="H67" i="402"/>
  <c r="AG66" i="402"/>
  <c r="AF66" i="402"/>
  <c r="W66" i="402"/>
  <c r="H66" i="402"/>
  <c r="AG65" i="402"/>
  <c r="AF65" i="402"/>
  <c r="W65" i="402"/>
  <c r="H65" i="402"/>
  <c r="AG64" i="402"/>
  <c r="AF64" i="402"/>
  <c r="W64" i="402"/>
  <c r="H64" i="402"/>
  <c r="AG63" i="402"/>
  <c r="AF63" i="402"/>
  <c r="W63" i="402"/>
  <c r="H63" i="402"/>
  <c r="AG62" i="402"/>
  <c r="AF62" i="402"/>
  <c r="W62" i="402"/>
  <c r="H62" i="402"/>
  <c r="W61" i="402"/>
  <c r="N61" i="402"/>
  <c r="AG61" i="402" s="1"/>
  <c r="P61" i="402"/>
  <c r="H61" i="402"/>
  <c r="W60" i="402"/>
  <c r="P60" i="402"/>
  <c r="N60" i="402"/>
  <c r="O60" i="402" s="1"/>
  <c r="H60" i="402"/>
  <c r="W59" i="402"/>
  <c r="N59" i="402"/>
  <c r="AG59" i="402" s="1"/>
  <c r="P59" i="402"/>
  <c r="H59" i="402"/>
  <c r="W58" i="402"/>
  <c r="P58" i="402"/>
  <c r="N58" i="402"/>
  <c r="O58" i="402" s="1"/>
  <c r="H58" i="402"/>
  <c r="W57" i="402"/>
  <c r="N57" i="402" s="1"/>
  <c r="P57" i="402"/>
  <c r="H57" i="402"/>
  <c r="AE56" i="402"/>
  <c r="AD56" i="402"/>
  <c r="AA56" i="402"/>
  <c r="Z56" i="402"/>
  <c r="W56" i="402"/>
  <c r="M56" i="402"/>
  <c r="W55" i="402"/>
  <c r="H55" i="402"/>
  <c r="AG54" i="402"/>
  <c r="AF54" i="402"/>
  <c r="W54" i="402"/>
  <c r="H54" i="402"/>
  <c r="AG53" i="402"/>
  <c r="AF53" i="402"/>
  <c r="W53" i="402"/>
  <c r="H53" i="402"/>
  <c r="AG52" i="402"/>
  <c r="AF52" i="402"/>
  <c r="W52" i="402"/>
  <c r="H52" i="402"/>
  <c r="AG51" i="402"/>
  <c r="AF51" i="402"/>
  <c r="W51" i="402"/>
  <c r="H51" i="402"/>
  <c r="W50" i="402"/>
  <c r="N50" i="402" s="1"/>
  <c r="P50" i="402"/>
  <c r="H50" i="402"/>
  <c r="AG49" i="402"/>
  <c r="W49" i="402"/>
  <c r="N49" i="402"/>
  <c r="AF49" i="402" s="1"/>
  <c r="P49" i="402"/>
  <c r="H49" i="402"/>
  <c r="W48" i="402"/>
  <c r="N48" i="402" s="1"/>
  <c r="P48" i="402"/>
  <c r="H48" i="402"/>
  <c r="W47" i="402"/>
  <c r="N47" i="402"/>
  <c r="AF47" i="402" s="1"/>
  <c r="P47" i="402"/>
  <c r="H47" i="402"/>
  <c r="W46" i="402"/>
  <c r="N46" i="402" s="1"/>
  <c r="P46" i="402"/>
  <c r="H46" i="402"/>
  <c r="W45" i="402"/>
  <c r="N45" i="402"/>
  <c r="AF45" i="402" s="1"/>
  <c r="P45" i="402"/>
  <c r="H45" i="402"/>
  <c r="W44" i="402"/>
  <c r="N44" i="402"/>
  <c r="O44" i="402" s="1"/>
  <c r="P44" i="402"/>
  <c r="H44" i="402"/>
  <c r="AE43" i="402"/>
  <c r="AD43" i="402"/>
  <c r="AA43" i="402"/>
  <c r="Z43" i="402"/>
  <c r="M43" i="402"/>
  <c r="W42" i="402"/>
  <c r="H42" i="402"/>
  <c r="W41" i="402"/>
  <c r="AG40" i="402"/>
  <c r="AF40" i="402"/>
  <c r="W40" i="402"/>
  <c r="H40" i="402"/>
  <c r="AG39" i="402"/>
  <c r="AF39" i="402"/>
  <c r="W39" i="402"/>
  <c r="H39" i="402"/>
  <c r="AG38" i="402"/>
  <c r="W38" i="402"/>
  <c r="N38" i="402"/>
  <c r="AF38" i="402" s="1"/>
  <c r="P38" i="402"/>
  <c r="H38" i="402"/>
  <c r="W37" i="402"/>
  <c r="N37" i="402" s="1"/>
  <c r="P37" i="402"/>
  <c r="H37" i="402"/>
  <c r="AG36" i="402"/>
  <c r="W36" i="402"/>
  <c r="N36" i="402"/>
  <c r="AF36" i="402" s="1"/>
  <c r="P36" i="402"/>
  <c r="H36" i="402"/>
  <c r="W35" i="402"/>
  <c r="N35" i="402" s="1"/>
  <c r="P35" i="402"/>
  <c r="H35" i="402"/>
  <c r="AG34" i="402"/>
  <c r="W34" i="402"/>
  <c r="N34" i="402"/>
  <c r="AF34" i="402" s="1"/>
  <c r="P34" i="402"/>
  <c r="H34" i="402"/>
  <c r="W33" i="402"/>
  <c r="N33" i="402" s="1"/>
  <c r="P33" i="402"/>
  <c r="H33" i="402"/>
  <c r="AG32" i="402"/>
  <c r="W32" i="402"/>
  <c r="N32" i="402"/>
  <c r="AF32" i="402" s="1"/>
  <c r="P32" i="402"/>
  <c r="H32" i="402"/>
  <c r="AF31" i="402"/>
  <c r="W31" i="402"/>
  <c r="O31" i="402"/>
  <c r="N31" i="402"/>
  <c r="H31" i="402"/>
  <c r="AE30" i="402"/>
  <c r="AD30" i="402"/>
  <c r="AA30" i="402"/>
  <c r="Z30" i="402"/>
  <c r="M30" i="402"/>
  <c r="AF29" i="402"/>
  <c r="W29" i="402"/>
  <c r="H29" i="402"/>
  <c r="AG28" i="402"/>
  <c r="AF28" i="402"/>
  <c r="W28" i="402"/>
  <c r="H28" i="402"/>
  <c r="AG27" i="402"/>
  <c r="AF27" i="402"/>
  <c r="W27" i="402"/>
  <c r="H27" i="402"/>
  <c r="AG26" i="402"/>
  <c r="AF26" i="402"/>
  <c r="W26" i="402"/>
  <c r="H26" i="402"/>
  <c r="AG25" i="402"/>
  <c r="AF25" i="402"/>
  <c r="W25" i="402"/>
  <c r="H25" i="402"/>
  <c r="AG24" i="402"/>
  <c r="AF24" i="402"/>
  <c r="W24" i="402"/>
  <c r="H24" i="402"/>
  <c r="AG23" i="402"/>
  <c r="W23" i="402"/>
  <c r="N23" i="402"/>
  <c r="AF23" i="402" s="1"/>
  <c r="P23" i="402"/>
  <c r="H23" i="402"/>
  <c r="W22" i="402"/>
  <c r="N22" i="402" s="1"/>
  <c r="P22" i="402"/>
  <c r="H22" i="402"/>
  <c r="AG21" i="402"/>
  <c r="W21" i="402"/>
  <c r="N21" i="402"/>
  <c r="AF21" i="402" s="1"/>
  <c r="P21" i="402"/>
  <c r="H21" i="402"/>
  <c r="W20" i="402"/>
  <c r="N20" i="402" s="1"/>
  <c r="P20" i="402"/>
  <c r="H20" i="402"/>
  <c r="AG19" i="402"/>
  <c r="W19" i="402"/>
  <c r="N19" i="402"/>
  <c r="AF19" i="402" s="1"/>
  <c r="P19" i="402"/>
  <c r="H19" i="402"/>
  <c r="AF18" i="402"/>
  <c r="W18" i="402"/>
  <c r="N18" i="402"/>
  <c r="N30" i="402" s="1"/>
  <c r="H18" i="402"/>
  <c r="AE17" i="402"/>
  <c r="AD17" i="402"/>
  <c r="AA17" i="402"/>
  <c r="Z17" i="402"/>
  <c r="W17" i="402"/>
  <c r="M17" i="402"/>
  <c r="AG16" i="402"/>
  <c r="AF16" i="402"/>
  <c r="W16" i="402"/>
  <c r="H16" i="402"/>
  <c r="AG15" i="402"/>
  <c r="AF15" i="402"/>
  <c r="W15" i="402"/>
  <c r="H15" i="402"/>
  <c r="AG14" i="402"/>
  <c r="AF14" i="402"/>
  <c r="W14" i="402"/>
  <c r="H14" i="402"/>
  <c r="AG13" i="402"/>
  <c r="AF13" i="402"/>
  <c r="W13" i="402"/>
  <c r="H13" i="402"/>
  <c r="AG12" i="402"/>
  <c r="AF12" i="402"/>
  <c r="W12" i="402"/>
  <c r="H12" i="402"/>
  <c r="W11" i="402"/>
  <c r="P11" i="402"/>
  <c r="N11" i="402"/>
  <c r="H11" i="402"/>
  <c r="W10" i="402"/>
  <c r="N10" i="402"/>
  <c r="AG10" i="402" s="1"/>
  <c r="P10" i="402"/>
  <c r="H10" i="402"/>
  <c r="W9" i="402"/>
  <c r="N9" i="402"/>
  <c r="O9" i="402" s="1"/>
  <c r="P9" i="402"/>
  <c r="H9" i="402"/>
  <c r="W8" i="402"/>
  <c r="N8" i="402" s="1"/>
  <c r="P8" i="402"/>
  <c r="H8" i="402"/>
  <c r="W7" i="402"/>
  <c r="N7" i="402"/>
  <c r="AF7" i="402" s="1"/>
  <c r="P7" i="402"/>
  <c r="H7" i="402"/>
  <c r="W6" i="402"/>
  <c r="N6" i="402" s="1"/>
  <c r="P6" i="402"/>
  <c r="H6" i="402"/>
  <c r="W5" i="402"/>
  <c r="N5" i="402" s="1"/>
  <c r="P5" i="402"/>
  <c r="P17" i="402"/>
  <c r="H5" i="402"/>
  <c r="AE2" i="402"/>
  <c r="AD2" i="402"/>
  <c r="AA2" i="402"/>
  <c r="Z2" i="402"/>
  <c r="I2" i="402"/>
  <c r="I1" i="402"/>
  <c r="E1" i="402"/>
  <c r="AE173" i="401"/>
  <c r="AD173" i="401"/>
  <c r="AA173" i="401"/>
  <c r="Z173" i="401"/>
  <c r="M173" i="401"/>
  <c r="W172" i="401"/>
  <c r="H172" i="401"/>
  <c r="W171" i="401"/>
  <c r="H171" i="401"/>
  <c r="AG170" i="401"/>
  <c r="AF170" i="401"/>
  <c r="W170" i="401"/>
  <c r="H170" i="401"/>
  <c r="AG169" i="401"/>
  <c r="AF169" i="401"/>
  <c r="W169" i="401"/>
  <c r="H169" i="401"/>
  <c r="AG168" i="401"/>
  <c r="AF168" i="401"/>
  <c r="W168" i="401"/>
  <c r="H168" i="401"/>
  <c r="AG167" i="401"/>
  <c r="AF167" i="401"/>
  <c r="W167" i="401"/>
  <c r="H167" i="401"/>
  <c r="AG166" i="401"/>
  <c r="AF166" i="401"/>
  <c r="W166" i="401"/>
  <c r="H166" i="401"/>
  <c r="W165" i="401"/>
  <c r="N165" i="401"/>
  <c r="AF165" i="401" s="1"/>
  <c r="P165" i="401"/>
  <c r="H165" i="401"/>
  <c r="W164" i="401"/>
  <c r="N164" i="401"/>
  <c r="AG164" i="401" s="1"/>
  <c r="P164" i="401"/>
  <c r="H164" i="401"/>
  <c r="W163" i="401"/>
  <c r="N163" i="401"/>
  <c r="AF163" i="401" s="1"/>
  <c r="P163" i="401"/>
  <c r="H163" i="401"/>
  <c r="W162" i="401"/>
  <c r="N162" i="401"/>
  <c r="AG162" i="401" s="1"/>
  <c r="P162" i="401"/>
  <c r="H162" i="401"/>
  <c r="W161" i="401"/>
  <c r="N161" i="401" s="1"/>
  <c r="P161" i="401"/>
  <c r="H161" i="401"/>
  <c r="AE160" i="401"/>
  <c r="AD160" i="401"/>
  <c r="AA160" i="401"/>
  <c r="Z160" i="401"/>
  <c r="M160" i="401"/>
  <c r="W159" i="401"/>
  <c r="H159" i="401"/>
  <c r="W158" i="401"/>
  <c r="H158" i="401"/>
  <c r="W157" i="401"/>
  <c r="H157" i="401"/>
  <c r="W156" i="401"/>
  <c r="H156" i="401"/>
  <c r="W155" i="401"/>
  <c r="H155" i="401"/>
  <c r="W154" i="401"/>
  <c r="N154" i="401"/>
  <c r="AF154" i="401" s="1"/>
  <c r="P154" i="401"/>
  <c r="H154" i="401"/>
  <c r="W153" i="401"/>
  <c r="P153" i="401"/>
  <c r="N153" i="401"/>
  <c r="AG153" i="401" s="1"/>
  <c r="H153" i="401"/>
  <c r="W152" i="401"/>
  <c r="N152" i="401"/>
  <c r="AF152" i="401" s="1"/>
  <c r="P152" i="401"/>
  <c r="H152" i="401"/>
  <c r="W151" i="401"/>
  <c r="P151" i="401"/>
  <c r="N151" i="401"/>
  <c r="AG151" i="401" s="1"/>
  <c r="H151" i="401"/>
  <c r="W150" i="401"/>
  <c r="N150" i="401"/>
  <c r="AF150" i="401" s="1"/>
  <c r="P150" i="401"/>
  <c r="H150" i="401"/>
  <c r="W149" i="401"/>
  <c r="P149" i="401"/>
  <c r="N149" i="401"/>
  <c r="AG149" i="401" s="1"/>
  <c r="H149" i="401"/>
  <c r="W148" i="401"/>
  <c r="N148" i="401" s="1"/>
  <c r="P148" i="401"/>
  <c r="H148" i="401"/>
  <c r="AE147" i="401"/>
  <c r="AD147" i="401"/>
  <c r="AA147" i="401"/>
  <c r="Z147" i="401"/>
  <c r="W147" i="401"/>
  <c r="M147" i="401"/>
  <c r="W146" i="401"/>
  <c r="H146" i="401"/>
  <c r="AG145" i="401"/>
  <c r="AF145" i="401"/>
  <c r="W145" i="401"/>
  <c r="AG144" i="401"/>
  <c r="AF144" i="401"/>
  <c r="W144" i="401"/>
  <c r="AG143" i="401"/>
  <c r="W143" i="401"/>
  <c r="P143" i="401"/>
  <c r="N143" i="401"/>
  <c r="O143" i="401" s="1"/>
  <c r="AF143" i="401"/>
  <c r="H143" i="401"/>
  <c r="W142" i="401"/>
  <c r="N142" i="401" s="1"/>
  <c r="P142" i="401"/>
  <c r="H142" i="401"/>
  <c r="AG141" i="401"/>
  <c r="W141" i="401"/>
  <c r="P141" i="401"/>
  <c r="N141" i="401"/>
  <c r="O141" i="401" s="1"/>
  <c r="H141" i="401"/>
  <c r="W140" i="401"/>
  <c r="N140" i="401" s="1"/>
  <c r="P140" i="401"/>
  <c r="H140" i="401"/>
  <c r="AG139" i="401"/>
  <c r="W139" i="401"/>
  <c r="N139" i="401"/>
  <c r="O139" i="401" s="1"/>
  <c r="P139" i="401"/>
  <c r="H139" i="401"/>
  <c r="W138" i="401"/>
  <c r="N138" i="401" s="1"/>
  <c r="P138" i="401"/>
  <c r="H138" i="401"/>
  <c r="AG137" i="401"/>
  <c r="W137" i="401"/>
  <c r="N137" i="401"/>
  <c r="O137" i="401" s="1"/>
  <c r="P137" i="401"/>
  <c r="H137" i="401"/>
  <c r="W136" i="401"/>
  <c r="N136" i="401" s="1"/>
  <c r="P136" i="401"/>
  <c r="H136" i="401"/>
  <c r="W135" i="401"/>
  <c r="N135" i="401" s="1"/>
  <c r="P135" i="401"/>
  <c r="H135" i="401"/>
  <c r="AE134" i="401"/>
  <c r="AD134" i="401"/>
  <c r="AA134" i="401"/>
  <c r="Z134" i="401"/>
  <c r="M134" i="401"/>
  <c r="P134" i="401" s="1"/>
  <c r="W133" i="401"/>
  <c r="H133" i="401"/>
  <c r="W132" i="401"/>
  <c r="H132" i="401"/>
  <c r="AG131" i="401"/>
  <c r="AF131" i="401"/>
  <c r="W131" i="401"/>
  <c r="H131" i="401"/>
  <c r="AG130" i="401"/>
  <c r="AF130" i="401"/>
  <c r="W130" i="401"/>
  <c r="H130" i="401"/>
  <c r="W129" i="401"/>
  <c r="N129" i="401"/>
  <c r="O129" i="401" s="1"/>
  <c r="P129" i="401"/>
  <c r="H129" i="401"/>
  <c r="W128" i="401"/>
  <c r="N128" i="401" s="1"/>
  <c r="P128" i="401"/>
  <c r="H128" i="401"/>
  <c r="W127" i="401"/>
  <c r="N127" i="401"/>
  <c r="O127" i="401" s="1"/>
  <c r="P127" i="401"/>
  <c r="H127" i="401"/>
  <c r="W126" i="401"/>
  <c r="N126" i="401" s="1"/>
  <c r="P126" i="401"/>
  <c r="H126" i="401"/>
  <c r="W125" i="401"/>
  <c r="N125" i="401"/>
  <c r="O125" i="401" s="1"/>
  <c r="P125" i="401"/>
  <c r="H125" i="401"/>
  <c r="W124" i="401"/>
  <c r="N124" i="401" s="1"/>
  <c r="P124" i="401"/>
  <c r="H124" i="401"/>
  <c r="W123" i="401"/>
  <c r="N123" i="401"/>
  <c r="O123" i="401" s="1"/>
  <c r="P123" i="401"/>
  <c r="H123" i="401"/>
  <c r="W122" i="401"/>
  <c r="N122" i="401"/>
  <c r="N134" i="401" s="1"/>
  <c r="H122" i="401"/>
  <c r="AE121" i="401"/>
  <c r="AD121" i="401"/>
  <c r="AA121" i="401"/>
  <c r="Z121" i="401"/>
  <c r="W121" i="401"/>
  <c r="M121" i="401"/>
  <c r="AG120" i="401"/>
  <c r="AF120" i="401"/>
  <c r="W120" i="401"/>
  <c r="H120" i="401"/>
  <c r="AG119" i="401"/>
  <c r="AF119" i="401"/>
  <c r="W119" i="401"/>
  <c r="H119" i="401"/>
  <c r="AG118" i="401"/>
  <c r="AF118" i="401"/>
  <c r="W118" i="401"/>
  <c r="H118" i="401"/>
  <c r="W117" i="401"/>
  <c r="P117" i="401"/>
  <c r="O117" i="401"/>
  <c r="N117" i="401"/>
  <c r="AF117" i="401"/>
  <c r="H117" i="401"/>
  <c r="W116" i="401"/>
  <c r="N116" i="401"/>
  <c r="AG116" i="401" s="1"/>
  <c r="H116" i="401"/>
  <c r="W115" i="401"/>
  <c r="P115" i="401"/>
  <c r="N115" i="401"/>
  <c r="O115" i="401" s="1"/>
  <c r="AF115" i="401"/>
  <c r="H115" i="401"/>
  <c r="W114" i="401"/>
  <c r="N114" i="401"/>
  <c r="AG114" i="401" s="1"/>
  <c r="P114" i="401"/>
  <c r="H114" i="401"/>
  <c r="W113" i="401"/>
  <c r="P113" i="401"/>
  <c r="N113" i="401"/>
  <c r="O113" i="401" s="1"/>
  <c r="AF113" i="401"/>
  <c r="H113" i="401"/>
  <c r="W112" i="401"/>
  <c r="N112" i="401"/>
  <c r="AG112" i="401" s="1"/>
  <c r="H112" i="401"/>
  <c r="W111" i="401"/>
  <c r="P111" i="401"/>
  <c r="N111" i="401"/>
  <c r="O111" i="401" s="1"/>
  <c r="AF111" i="401"/>
  <c r="H111" i="401"/>
  <c r="W110" i="401"/>
  <c r="N110" i="401"/>
  <c r="AG110" i="401" s="1"/>
  <c r="P110" i="401"/>
  <c r="H110" i="401"/>
  <c r="W109" i="401"/>
  <c r="N109" i="401"/>
  <c r="AG109" i="401" s="1"/>
  <c r="P109" i="401"/>
  <c r="H109" i="401"/>
  <c r="AE108" i="401"/>
  <c r="AD108" i="401"/>
  <c r="AA108" i="401"/>
  <c r="Z108" i="401"/>
  <c r="W108" i="401"/>
  <c r="M108" i="401"/>
  <c r="W107" i="401"/>
  <c r="H107" i="401"/>
  <c r="AG106" i="401"/>
  <c r="AF106" i="401"/>
  <c r="W106" i="401"/>
  <c r="H106" i="401"/>
  <c r="AG105" i="401"/>
  <c r="AF105" i="401"/>
  <c r="W105" i="401"/>
  <c r="H105" i="401"/>
  <c r="AG104" i="401"/>
  <c r="AF104" i="401"/>
  <c r="W104" i="401"/>
  <c r="H104" i="401"/>
  <c r="AG103" i="401"/>
  <c r="AF103" i="401"/>
  <c r="W103" i="401"/>
  <c r="H103" i="401"/>
  <c r="W102" i="401"/>
  <c r="N102" i="401"/>
  <c r="AG102" i="401" s="1"/>
  <c r="P102" i="401"/>
  <c r="H102" i="401"/>
  <c r="W101" i="401"/>
  <c r="P101" i="401"/>
  <c r="N101" i="401"/>
  <c r="O101" i="401" s="1"/>
  <c r="AG101" i="401"/>
  <c r="H101" i="401"/>
  <c r="W100" i="401"/>
  <c r="N100" i="401"/>
  <c r="AG100" i="401" s="1"/>
  <c r="P100" i="401"/>
  <c r="H100" i="401"/>
  <c r="W99" i="401"/>
  <c r="P99" i="401"/>
  <c r="N99" i="401"/>
  <c r="O99" i="401" s="1"/>
  <c r="AG99" i="401"/>
  <c r="H99" i="401"/>
  <c r="W98" i="401"/>
  <c r="N98" i="401"/>
  <c r="AG98" i="401" s="1"/>
  <c r="P98" i="401"/>
  <c r="H98" i="401"/>
  <c r="W97" i="401"/>
  <c r="P97" i="401"/>
  <c r="N97" i="401"/>
  <c r="O97" i="401" s="1"/>
  <c r="AG97" i="401"/>
  <c r="H97" i="401"/>
  <c r="W96" i="401"/>
  <c r="N96" i="401" s="1"/>
  <c r="P96" i="401"/>
  <c r="H96" i="401"/>
  <c r="AE95" i="401"/>
  <c r="AD95" i="401"/>
  <c r="AA95" i="401"/>
  <c r="Z95" i="401"/>
  <c r="M95" i="401"/>
  <c r="AG94" i="401"/>
  <c r="AF94" i="401"/>
  <c r="W94" i="401"/>
  <c r="H94" i="401"/>
  <c r="AG93" i="401"/>
  <c r="AF93" i="401"/>
  <c r="W93" i="401"/>
  <c r="H93" i="401"/>
  <c r="AG92" i="401"/>
  <c r="AF92" i="401"/>
  <c r="W92" i="401"/>
  <c r="H92" i="401"/>
  <c r="AG91" i="401"/>
  <c r="AF91" i="401"/>
  <c r="W91" i="401"/>
  <c r="H91" i="401"/>
  <c r="AG90" i="401"/>
  <c r="AF90" i="401"/>
  <c r="W90" i="401"/>
  <c r="H90" i="401"/>
  <c r="AG89" i="401"/>
  <c r="AF89" i="401"/>
  <c r="W89" i="401"/>
  <c r="H89" i="401"/>
  <c r="AG88" i="401"/>
  <c r="AF88" i="401"/>
  <c r="W88" i="401"/>
  <c r="H88" i="401"/>
  <c r="W87" i="401"/>
  <c r="P87" i="401"/>
  <c r="N87" i="401"/>
  <c r="O87" i="401" s="1"/>
  <c r="AG87" i="401"/>
  <c r="H87" i="401"/>
  <c r="W86" i="401"/>
  <c r="N86" i="401"/>
  <c r="AG86" i="401" s="1"/>
  <c r="P86" i="401"/>
  <c r="H86" i="401"/>
  <c r="W85" i="401"/>
  <c r="P85" i="401"/>
  <c r="N85" i="401"/>
  <c r="O85" i="401" s="1"/>
  <c r="AG85" i="401"/>
  <c r="H85" i="401"/>
  <c r="W84" i="401"/>
  <c r="N84" i="401"/>
  <c r="AG84" i="401" s="1"/>
  <c r="H84" i="401"/>
  <c r="W83" i="401"/>
  <c r="N83" i="401"/>
  <c r="AF83" i="401" s="1"/>
  <c r="P83" i="401"/>
  <c r="H83" i="401"/>
  <c r="AE82" i="401"/>
  <c r="AD82" i="401"/>
  <c r="AA82" i="401"/>
  <c r="Z82" i="401"/>
  <c r="M82" i="401"/>
  <c r="W81" i="401"/>
  <c r="AG80" i="401"/>
  <c r="AF80" i="401"/>
  <c r="W80" i="401"/>
  <c r="H80" i="401"/>
  <c r="AG79" i="401"/>
  <c r="AF79" i="401"/>
  <c r="W79" i="401"/>
  <c r="H79" i="401"/>
  <c r="AG78" i="401"/>
  <c r="AF78" i="401"/>
  <c r="W78" i="401"/>
  <c r="H78" i="401"/>
  <c r="AG77" i="401"/>
  <c r="AF77" i="401"/>
  <c r="W77" i="401"/>
  <c r="H77" i="401"/>
  <c r="AG76" i="401"/>
  <c r="AF76" i="401"/>
  <c r="W76" i="401"/>
  <c r="H76" i="401"/>
  <c r="W75" i="401"/>
  <c r="N75" i="401" s="1"/>
  <c r="H75" i="401"/>
  <c r="W74" i="401"/>
  <c r="N74" i="401" s="1"/>
  <c r="P74" i="401"/>
  <c r="H74" i="401"/>
  <c r="W73" i="401"/>
  <c r="N73" i="401" s="1"/>
  <c r="H73" i="401"/>
  <c r="W72" i="401"/>
  <c r="N72" i="401" s="1"/>
  <c r="P72" i="401"/>
  <c r="H72" i="401"/>
  <c r="W71" i="401"/>
  <c r="N71" i="401" s="1"/>
  <c r="H71" i="401"/>
  <c r="W70" i="401"/>
  <c r="N70" i="401" s="1"/>
  <c r="P82" i="401"/>
  <c r="H70" i="401"/>
  <c r="AE69" i="401"/>
  <c r="AD69" i="401"/>
  <c r="AA69" i="401"/>
  <c r="Z69" i="401"/>
  <c r="W69" i="401"/>
  <c r="M69" i="401"/>
  <c r="P69" i="401" s="1"/>
  <c r="W68" i="401"/>
  <c r="H68" i="401"/>
  <c r="AG67" i="401"/>
  <c r="AF67" i="401"/>
  <c r="W67" i="401"/>
  <c r="H67" i="401"/>
  <c r="AG66" i="401"/>
  <c r="AF66" i="401"/>
  <c r="W66" i="401"/>
  <c r="H66" i="401"/>
  <c r="AG65" i="401"/>
  <c r="AF65" i="401"/>
  <c r="W65" i="401"/>
  <c r="H65" i="401"/>
  <c r="AG64" i="401"/>
  <c r="AF64" i="401"/>
  <c r="W64" i="401"/>
  <c r="H64" i="401"/>
  <c r="AG63" i="401"/>
  <c r="AF63" i="401"/>
  <c r="W63" i="401"/>
  <c r="H63" i="401"/>
  <c r="AG62" i="401"/>
  <c r="AF62" i="401"/>
  <c r="W62" i="401"/>
  <c r="H62" i="401"/>
  <c r="W61" i="401"/>
  <c r="N61" i="401"/>
  <c r="AG61" i="401" s="1"/>
  <c r="P61" i="401"/>
  <c r="H61" i="401"/>
  <c r="W60" i="401"/>
  <c r="P60" i="401"/>
  <c r="N60" i="401"/>
  <c r="O60" i="401" s="1"/>
  <c r="H60" i="401"/>
  <c r="W59" i="401"/>
  <c r="N59" i="401"/>
  <c r="AG59" i="401" s="1"/>
  <c r="P59" i="401"/>
  <c r="H59" i="401"/>
  <c r="W58" i="401"/>
  <c r="P58" i="401"/>
  <c r="N58" i="401"/>
  <c r="O58" i="401" s="1"/>
  <c r="H58" i="401"/>
  <c r="W57" i="401"/>
  <c r="P57" i="401"/>
  <c r="N57" i="401"/>
  <c r="H57" i="401"/>
  <c r="AE56" i="401"/>
  <c r="AD56" i="401"/>
  <c r="AA56" i="401"/>
  <c r="Z56" i="401"/>
  <c r="W56" i="401"/>
  <c r="M56" i="401"/>
  <c r="W55" i="401"/>
  <c r="H55" i="401"/>
  <c r="AG54" i="401"/>
  <c r="AF54" i="401"/>
  <c r="W54" i="401"/>
  <c r="H54" i="401"/>
  <c r="AG53" i="401"/>
  <c r="AF53" i="401"/>
  <c r="W53" i="401"/>
  <c r="H53" i="401"/>
  <c r="AG52" i="401"/>
  <c r="AF52" i="401"/>
  <c r="W52" i="401"/>
  <c r="H52" i="401"/>
  <c r="AG51" i="401"/>
  <c r="AF51" i="401"/>
  <c r="W51" i="401"/>
  <c r="H51" i="401"/>
  <c r="AG50" i="401"/>
  <c r="W50" i="401"/>
  <c r="N50" i="401"/>
  <c r="AF50" i="401" s="1"/>
  <c r="P50" i="401"/>
  <c r="H50" i="401"/>
  <c r="W49" i="401"/>
  <c r="N49" i="401" s="1"/>
  <c r="P49" i="401"/>
  <c r="H49" i="401"/>
  <c r="AG48" i="401"/>
  <c r="W48" i="401"/>
  <c r="N48" i="401"/>
  <c r="AF48" i="401" s="1"/>
  <c r="P48" i="401"/>
  <c r="H48" i="401"/>
  <c r="W47" i="401"/>
  <c r="N47" i="401" s="1"/>
  <c r="P47" i="401"/>
  <c r="H47" i="401"/>
  <c r="AG46" i="401"/>
  <c r="W46" i="401"/>
  <c r="N46" i="401"/>
  <c r="AF46" i="401" s="1"/>
  <c r="P46" i="401"/>
  <c r="H46" i="401"/>
  <c r="W45" i="401"/>
  <c r="N45" i="401" s="1"/>
  <c r="P45" i="401"/>
  <c r="H45" i="401"/>
  <c r="W44" i="401"/>
  <c r="N44" i="401" s="1"/>
  <c r="P56" i="401"/>
  <c r="H44" i="401"/>
  <c r="AE43" i="401"/>
  <c r="AD43" i="401"/>
  <c r="AA43" i="401"/>
  <c r="Z43" i="401"/>
  <c r="M43" i="401"/>
  <c r="W42" i="401"/>
  <c r="H42" i="401"/>
  <c r="W41" i="401"/>
  <c r="AG40" i="401"/>
  <c r="AF40" i="401"/>
  <c r="W40" i="401"/>
  <c r="H40" i="401"/>
  <c r="AG39" i="401"/>
  <c r="AF39" i="401"/>
  <c r="W39" i="401"/>
  <c r="H39" i="401"/>
  <c r="AG38" i="401"/>
  <c r="W38" i="401"/>
  <c r="P38" i="401"/>
  <c r="N38" i="401"/>
  <c r="O38" i="401" s="1"/>
  <c r="AF38" i="401"/>
  <c r="H38" i="401"/>
  <c r="W37" i="401"/>
  <c r="N37" i="401" s="1"/>
  <c r="P37" i="401"/>
  <c r="H37" i="401"/>
  <c r="AG36" i="401"/>
  <c r="W36" i="401"/>
  <c r="P36" i="401"/>
  <c r="N36" i="401"/>
  <c r="O36" i="401" s="1"/>
  <c r="AF36" i="401"/>
  <c r="H36" i="401"/>
  <c r="W35" i="401"/>
  <c r="N35" i="401" s="1"/>
  <c r="P35" i="401"/>
  <c r="H35" i="401"/>
  <c r="AG34" i="401"/>
  <c r="W34" i="401"/>
  <c r="P34" i="401"/>
  <c r="N34" i="401"/>
  <c r="O34" i="401" s="1"/>
  <c r="AF34" i="401"/>
  <c r="H34" i="401"/>
  <c r="W33" i="401"/>
  <c r="N33" i="401" s="1"/>
  <c r="P33" i="401"/>
  <c r="H33" i="401"/>
  <c r="W32" i="401"/>
  <c r="P32" i="401"/>
  <c r="N32" i="401"/>
  <c r="O32" i="401" s="1"/>
  <c r="AG32" i="401"/>
  <c r="H32" i="401"/>
  <c r="W31" i="401"/>
  <c r="N31" i="401" s="1"/>
  <c r="P31" i="401"/>
  <c r="P43" i="401"/>
  <c r="H31" i="401"/>
  <c r="AE30" i="401"/>
  <c r="AD30" i="401"/>
  <c r="AA30" i="401"/>
  <c r="Z30" i="401"/>
  <c r="M30" i="401"/>
  <c r="AF29" i="401"/>
  <c r="W29" i="401"/>
  <c r="H29" i="401"/>
  <c r="AG28" i="401"/>
  <c r="AF28" i="401"/>
  <c r="W28" i="401"/>
  <c r="H28" i="401"/>
  <c r="AG27" i="401"/>
  <c r="AF27" i="401"/>
  <c r="W27" i="401"/>
  <c r="H27" i="401"/>
  <c r="AG26" i="401"/>
  <c r="AF26" i="401"/>
  <c r="W26" i="401"/>
  <c r="H26" i="401"/>
  <c r="AG25" i="401"/>
  <c r="AF25" i="401"/>
  <c r="W25" i="401"/>
  <c r="H25" i="401"/>
  <c r="AG24" i="401"/>
  <c r="AF24" i="401"/>
  <c r="W24" i="401"/>
  <c r="H24" i="401"/>
  <c r="AG23" i="401"/>
  <c r="W23" i="401"/>
  <c r="N23" i="401"/>
  <c r="AF23" i="401" s="1"/>
  <c r="P23" i="401"/>
  <c r="H23" i="401"/>
  <c r="W22" i="401"/>
  <c r="N22" i="401" s="1"/>
  <c r="P22" i="401"/>
  <c r="H22" i="401"/>
  <c r="AG21" i="401"/>
  <c r="W21" i="401"/>
  <c r="N21" i="401"/>
  <c r="AF21" i="401" s="1"/>
  <c r="P21" i="401"/>
  <c r="H21" i="401"/>
  <c r="W20" i="401"/>
  <c r="N20" i="401" s="1"/>
  <c r="P20" i="401"/>
  <c r="H20" i="401"/>
  <c r="AG19" i="401"/>
  <c r="W19" i="401"/>
  <c r="N19" i="401"/>
  <c r="AF19" i="401" s="1"/>
  <c r="P19" i="401"/>
  <c r="H19" i="401"/>
  <c r="AF18" i="401"/>
  <c r="W18" i="401"/>
  <c r="N18" i="401"/>
  <c r="O18" i="401" s="1"/>
  <c r="P18" i="401"/>
  <c r="H18" i="401"/>
  <c r="AE17" i="401"/>
  <c r="AD17" i="401"/>
  <c r="AA17" i="401"/>
  <c r="Z17" i="401"/>
  <c r="W17" i="401"/>
  <c r="M17" i="401"/>
  <c r="AG16" i="401"/>
  <c r="AF16" i="401"/>
  <c r="W16" i="401"/>
  <c r="H16" i="401"/>
  <c r="AG15" i="401"/>
  <c r="AF15" i="401"/>
  <c r="W15" i="401"/>
  <c r="H15" i="401"/>
  <c r="AG14" i="401"/>
  <c r="AF14" i="401"/>
  <c r="W14" i="401"/>
  <c r="H14" i="401"/>
  <c r="AG13" i="401"/>
  <c r="AF13" i="401"/>
  <c r="W13" i="401"/>
  <c r="H13" i="401"/>
  <c r="AG12" i="401"/>
  <c r="AF12" i="401"/>
  <c r="W12" i="401"/>
  <c r="H12" i="401"/>
  <c r="W11" i="401"/>
  <c r="N11" i="401"/>
  <c r="AG11" i="401" s="1"/>
  <c r="P11" i="401"/>
  <c r="H11" i="401"/>
  <c r="W10" i="401"/>
  <c r="P10" i="401"/>
  <c r="N10" i="401"/>
  <c r="O10" i="401" s="1"/>
  <c r="H10" i="401"/>
  <c r="W9" i="401"/>
  <c r="N9" i="401"/>
  <c r="AG9" i="401" s="1"/>
  <c r="P9" i="401"/>
  <c r="H9" i="401"/>
  <c r="W8" i="401"/>
  <c r="P8" i="401"/>
  <c r="N8" i="401"/>
  <c r="O8" i="401" s="1"/>
  <c r="H8" i="401"/>
  <c r="W7" i="401"/>
  <c r="N7" i="401"/>
  <c r="AG7" i="401" s="1"/>
  <c r="P7" i="401"/>
  <c r="H7" i="401"/>
  <c r="W6" i="401"/>
  <c r="P6" i="401"/>
  <c r="N6" i="401"/>
  <c r="O6" i="401" s="1"/>
  <c r="H6" i="401"/>
  <c r="W5" i="401"/>
  <c r="N5" i="401" s="1"/>
  <c r="P5" i="401"/>
  <c r="P17" i="401"/>
  <c r="H5" i="401"/>
  <c r="G1" i="401" s="1"/>
  <c r="G2" i="401" s="1"/>
  <c r="AE2" i="401"/>
  <c r="AD2" i="401"/>
  <c r="AA2" i="401"/>
  <c r="Z2" i="401"/>
  <c r="I2" i="401"/>
  <c r="I1" i="401"/>
  <c r="E1" i="401"/>
  <c r="J124" i="400"/>
  <c r="H123" i="400"/>
  <c r="H122" i="400"/>
  <c r="H121" i="400"/>
  <c r="H120" i="400"/>
  <c r="H119" i="400"/>
  <c r="P118" i="400"/>
  <c r="K118" i="400" s="1"/>
  <c r="L118" i="400" s="1"/>
  <c r="H118" i="400"/>
  <c r="P117" i="400"/>
  <c r="K117" i="400"/>
  <c r="L117" i="400" s="1"/>
  <c r="H117" i="400"/>
  <c r="P116" i="400"/>
  <c r="K116" i="400" s="1"/>
  <c r="L116" i="400" s="1"/>
  <c r="H116" i="400"/>
  <c r="P115" i="400"/>
  <c r="K115" i="400"/>
  <c r="L115" i="400" s="1"/>
  <c r="H115" i="400"/>
  <c r="P114" i="400"/>
  <c r="K114" i="400" s="1"/>
  <c r="L114" i="400" s="1"/>
  <c r="H114" i="400"/>
  <c r="P113" i="400"/>
  <c r="K113" i="400"/>
  <c r="L113" i="400" s="1"/>
  <c r="H113" i="400"/>
  <c r="P112" i="400"/>
  <c r="K112" i="400" s="1"/>
  <c r="H112" i="400"/>
  <c r="J111" i="400"/>
  <c r="H110" i="400"/>
  <c r="H109" i="400"/>
  <c r="H108" i="400"/>
  <c r="H107" i="400"/>
  <c r="H106" i="400"/>
  <c r="P105" i="400"/>
  <c r="K105" i="400" s="1"/>
  <c r="L105" i="400" s="1"/>
  <c r="H105" i="400"/>
  <c r="P104" i="400"/>
  <c r="K104" i="400"/>
  <c r="L104" i="400" s="1"/>
  <c r="H104" i="400"/>
  <c r="P103" i="400"/>
  <c r="K103" i="400" s="1"/>
  <c r="L103" i="400" s="1"/>
  <c r="H103" i="400"/>
  <c r="P102" i="400"/>
  <c r="K102" i="400"/>
  <c r="L102" i="400" s="1"/>
  <c r="H102" i="400"/>
  <c r="P101" i="400"/>
  <c r="K101" i="400" s="1"/>
  <c r="H101" i="400"/>
  <c r="J100" i="400"/>
  <c r="H99" i="400"/>
  <c r="H98" i="400"/>
  <c r="H97" i="400"/>
  <c r="H96" i="400"/>
  <c r="H95" i="400"/>
  <c r="P94" i="400"/>
  <c r="K94" i="400" s="1"/>
  <c r="L94" i="400" s="1"/>
  <c r="H94" i="400"/>
  <c r="P93" i="400"/>
  <c r="K93" i="400"/>
  <c r="L93" i="400" s="1"/>
  <c r="H93" i="400"/>
  <c r="P92" i="400"/>
  <c r="K92" i="400" s="1"/>
  <c r="H92" i="400"/>
  <c r="J91" i="400"/>
  <c r="H90" i="400"/>
  <c r="H89" i="400"/>
  <c r="H88" i="400"/>
  <c r="H87" i="400"/>
  <c r="H86" i="400"/>
  <c r="H85" i="400"/>
  <c r="H84" i="400"/>
  <c r="H83" i="400"/>
  <c r="P82" i="400"/>
  <c r="K82" i="400" s="1"/>
  <c r="H82" i="400"/>
  <c r="L81" i="400"/>
  <c r="K81" i="400"/>
  <c r="J81" i="400"/>
  <c r="H80" i="400"/>
  <c r="H79" i="400"/>
  <c r="H78" i="400"/>
  <c r="H77" i="400"/>
  <c r="H76" i="400"/>
  <c r="J75" i="400"/>
  <c r="H74" i="400"/>
  <c r="H73" i="400"/>
  <c r="H72" i="400"/>
  <c r="H71" i="400"/>
  <c r="P70" i="400"/>
  <c r="K70" i="400" s="1"/>
  <c r="L70" i="400" s="1"/>
  <c r="H70" i="400"/>
  <c r="P69" i="400"/>
  <c r="L69" i="400"/>
  <c r="K69" i="400"/>
  <c r="H69" i="400"/>
  <c r="P68" i="400"/>
  <c r="K68" i="400" s="1"/>
  <c r="L68" i="400" s="1"/>
  <c r="H68" i="400"/>
  <c r="P67" i="400"/>
  <c r="L67" i="400"/>
  <c r="K67" i="400"/>
  <c r="H67" i="400"/>
  <c r="P66" i="400"/>
  <c r="K66" i="400" s="1"/>
  <c r="L66" i="400" s="1"/>
  <c r="H66" i="400"/>
  <c r="P65" i="400"/>
  <c r="L65" i="400"/>
  <c r="K65" i="400"/>
  <c r="H65" i="400"/>
  <c r="J64" i="400"/>
  <c r="H63" i="400"/>
  <c r="H62" i="400"/>
  <c r="H61" i="400"/>
  <c r="H60" i="400"/>
  <c r="P59" i="400"/>
  <c r="K59" i="400" s="1"/>
  <c r="L59" i="400" s="1"/>
  <c r="H59" i="400"/>
  <c r="P58" i="400"/>
  <c r="L58" i="400"/>
  <c r="K58" i="400"/>
  <c r="H58" i="400"/>
  <c r="P57" i="400"/>
  <c r="K57" i="400" s="1"/>
  <c r="L57" i="400" s="1"/>
  <c r="H57" i="400"/>
  <c r="P56" i="400"/>
  <c r="L56" i="400"/>
  <c r="K56" i="400"/>
  <c r="H56" i="400"/>
  <c r="P55" i="400"/>
  <c r="K55" i="400" s="1"/>
  <c r="L55" i="400" s="1"/>
  <c r="H55" i="400"/>
  <c r="P54" i="400"/>
  <c r="L54" i="400"/>
  <c r="K54" i="400"/>
  <c r="H54" i="400"/>
  <c r="P53" i="400"/>
  <c r="K53" i="400" s="1"/>
  <c r="L53" i="400" s="1"/>
  <c r="H53" i="400"/>
  <c r="P52" i="400"/>
  <c r="L52" i="400"/>
  <c r="K52" i="400"/>
  <c r="H52" i="400"/>
  <c r="H50" i="400"/>
  <c r="H49" i="400"/>
  <c r="H47" i="400"/>
  <c r="H46" i="400"/>
  <c r="H45" i="400"/>
  <c r="H44" i="400"/>
  <c r="H43" i="400"/>
  <c r="H42" i="400"/>
  <c r="H41" i="400"/>
  <c r="H40" i="400"/>
  <c r="H39" i="400"/>
  <c r="J38" i="400"/>
  <c r="H37" i="400"/>
  <c r="H36" i="400"/>
  <c r="H35" i="400"/>
  <c r="H34" i="400"/>
  <c r="H33" i="400"/>
  <c r="H32" i="400"/>
  <c r="H31" i="400"/>
  <c r="H30" i="400"/>
  <c r="H29" i="400"/>
  <c r="P28" i="400"/>
  <c r="K28" i="400" s="1"/>
  <c r="L28" i="400" s="1"/>
  <c r="H28" i="400"/>
  <c r="P27" i="400"/>
  <c r="K27" i="400"/>
  <c r="L27" i="400" s="1"/>
  <c r="H27" i="400"/>
  <c r="P26" i="400"/>
  <c r="K26" i="400" s="1"/>
  <c r="L26" i="400" s="1"/>
  <c r="H26" i="400"/>
  <c r="P25" i="400"/>
  <c r="K25" i="400"/>
  <c r="K38" i="400" s="1"/>
  <c r="H25" i="400"/>
  <c r="J24" i="400"/>
  <c r="H23" i="400"/>
  <c r="H22" i="400"/>
  <c r="H21" i="400"/>
  <c r="H20" i="400"/>
  <c r="P19" i="400"/>
  <c r="K19" i="400" s="1"/>
  <c r="L19" i="400" s="1"/>
  <c r="H19" i="400"/>
  <c r="P18" i="400"/>
  <c r="K18" i="400"/>
  <c r="L18" i="400" s="1"/>
  <c r="H18" i="400"/>
  <c r="P17" i="400"/>
  <c r="K17" i="400" s="1"/>
  <c r="H17" i="400"/>
  <c r="J16" i="400"/>
  <c r="I1" i="400" s="1"/>
  <c r="H15" i="400"/>
  <c r="H14" i="400"/>
  <c r="H13" i="400"/>
  <c r="H12" i="400"/>
  <c r="H11" i="400"/>
  <c r="H10" i="400"/>
  <c r="H9" i="400"/>
  <c r="H8" i="400"/>
  <c r="P7" i="400"/>
  <c r="K7" i="400"/>
  <c r="L7" i="400" s="1"/>
  <c r="H7" i="400"/>
  <c r="P6" i="400"/>
  <c r="K6" i="400" s="1"/>
  <c r="L6" i="400" s="1"/>
  <c r="H6" i="400"/>
  <c r="P5" i="400"/>
  <c r="K5" i="400"/>
  <c r="K16" i="400" s="1"/>
  <c r="H5" i="400"/>
  <c r="I2" i="400"/>
  <c r="E1" i="400"/>
  <c r="J124" i="399"/>
  <c r="H123" i="399"/>
  <c r="H122" i="399"/>
  <c r="H121" i="399"/>
  <c r="H120" i="399"/>
  <c r="H119" i="399"/>
  <c r="P118" i="399"/>
  <c r="K118" i="399" s="1"/>
  <c r="L118" i="399" s="1"/>
  <c r="H118" i="399"/>
  <c r="P117" i="399"/>
  <c r="K117" i="399"/>
  <c r="L117" i="399" s="1"/>
  <c r="H117" i="399"/>
  <c r="P116" i="399"/>
  <c r="K116" i="399" s="1"/>
  <c r="L116" i="399" s="1"/>
  <c r="H116" i="399"/>
  <c r="P115" i="399"/>
  <c r="K115" i="399"/>
  <c r="L115" i="399" s="1"/>
  <c r="H115" i="399"/>
  <c r="P114" i="399"/>
  <c r="K114" i="399" s="1"/>
  <c r="L114" i="399" s="1"/>
  <c r="H114" i="399"/>
  <c r="P113" i="399"/>
  <c r="L113" i="399"/>
  <c r="K113" i="399"/>
  <c r="H113" i="399"/>
  <c r="P112" i="399"/>
  <c r="K112" i="399" s="1"/>
  <c r="H112" i="399"/>
  <c r="J111" i="399"/>
  <c r="H110" i="399"/>
  <c r="H109" i="399"/>
  <c r="H108" i="399"/>
  <c r="H107" i="399"/>
  <c r="H106" i="399"/>
  <c r="P105" i="399"/>
  <c r="K105" i="399"/>
  <c r="L105" i="399" s="1"/>
  <c r="H105" i="399"/>
  <c r="P104" i="399"/>
  <c r="K104" i="399" s="1"/>
  <c r="L104" i="399"/>
  <c r="H104" i="399"/>
  <c r="P103" i="399"/>
  <c r="K103" i="399"/>
  <c r="L103" i="399" s="1"/>
  <c r="H103" i="399"/>
  <c r="P102" i="399"/>
  <c r="K102" i="399" s="1"/>
  <c r="L102" i="399"/>
  <c r="H102" i="399"/>
  <c r="P101" i="399"/>
  <c r="K101" i="399"/>
  <c r="L101" i="399" s="1"/>
  <c r="L111" i="399" s="1"/>
  <c r="H101" i="399"/>
  <c r="J100" i="399"/>
  <c r="H99" i="399"/>
  <c r="H98" i="399"/>
  <c r="H97" i="399"/>
  <c r="H96" i="399"/>
  <c r="H95" i="399"/>
  <c r="P94" i="399"/>
  <c r="K94" i="399"/>
  <c r="L94" i="399" s="1"/>
  <c r="H94" i="399"/>
  <c r="P93" i="399"/>
  <c r="K93" i="399" s="1"/>
  <c r="L93" i="399" s="1"/>
  <c r="H93" i="399"/>
  <c r="P92" i="399"/>
  <c r="K92" i="399"/>
  <c r="L92" i="399" s="1"/>
  <c r="H92" i="399"/>
  <c r="J91" i="399"/>
  <c r="H90" i="399"/>
  <c r="H89" i="399"/>
  <c r="H88" i="399"/>
  <c r="H87" i="399"/>
  <c r="H86" i="399"/>
  <c r="H85" i="399"/>
  <c r="H84" i="399"/>
  <c r="H83" i="399"/>
  <c r="P82" i="399"/>
  <c r="K82" i="399" s="1"/>
  <c r="K91" i="399" s="1"/>
  <c r="L82" i="399"/>
  <c r="L91" i="399" s="1"/>
  <c r="H82" i="399"/>
  <c r="L81" i="399"/>
  <c r="K81" i="399"/>
  <c r="J81" i="399"/>
  <c r="H80" i="399"/>
  <c r="H79" i="399"/>
  <c r="H78" i="399"/>
  <c r="H77" i="399"/>
  <c r="H76" i="399"/>
  <c r="J75" i="399"/>
  <c r="H74" i="399"/>
  <c r="H73" i="399"/>
  <c r="H72" i="399"/>
  <c r="H71" i="399"/>
  <c r="P70" i="399"/>
  <c r="K70" i="399" s="1"/>
  <c r="L70" i="399" s="1"/>
  <c r="H70" i="399"/>
  <c r="P69" i="399"/>
  <c r="K69" i="399" s="1"/>
  <c r="L69" i="399" s="1"/>
  <c r="H69" i="399"/>
  <c r="P68" i="399"/>
  <c r="K68" i="399" s="1"/>
  <c r="L68" i="399" s="1"/>
  <c r="H68" i="399"/>
  <c r="P67" i="399"/>
  <c r="L67" i="399"/>
  <c r="K67" i="399"/>
  <c r="H67" i="399"/>
  <c r="P66" i="399"/>
  <c r="K66" i="399" s="1"/>
  <c r="L66" i="399" s="1"/>
  <c r="H66" i="399"/>
  <c r="P65" i="399"/>
  <c r="K65" i="399" s="1"/>
  <c r="H65" i="399"/>
  <c r="J64" i="399"/>
  <c r="H63" i="399"/>
  <c r="H62" i="399"/>
  <c r="H61" i="399"/>
  <c r="H60" i="399"/>
  <c r="P59" i="399"/>
  <c r="K59" i="399" s="1"/>
  <c r="L59" i="399" s="1"/>
  <c r="H59" i="399"/>
  <c r="P58" i="399"/>
  <c r="L58" i="399"/>
  <c r="K58" i="399"/>
  <c r="H58" i="399"/>
  <c r="P57" i="399"/>
  <c r="K57" i="399" s="1"/>
  <c r="L57" i="399" s="1"/>
  <c r="H57" i="399"/>
  <c r="P56" i="399"/>
  <c r="L56" i="399"/>
  <c r="K56" i="399"/>
  <c r="H56" i="399"/>
  <c r="P55" i="399"/>
  <c r="K55" i="399" s="1"/>
  <c r="L55" i="399" s="1"/>
  <c r="H55" i="399"/>
  <c r="P54" i="399"/>
  <c r="L54" i="399"/>
  <c r="K54" i="399"/>
  <c r="H54" i="399"/>
  <c r="P53" i="399"/>
  <c r="K53" i="399" s="1"/>
  <c r="L53" i="399" s="1"/>
  <c r="H53" i="399"/>
  <c r="P52" i="399"/>
  <c r="L52" i="399"/>
  <c r="L64" i="399" s="1"/>
  <c r="K52" i="399"/>
  <c r="H52" i="399"/>
  <c r="H50" i="399"/>
  <c r="H49" i="399"/>
  <c r="H47" i="399"/>
  <c r="H46" i="399"/>
  <c r="H45" i="399"/>
  <c r="H44" i="399"/>
  <c r="H43" i="399"/>
  <c r="H42" i="399"/>
  <c r="H41" i="399"/>
  <c r="H40" i="399"/>
  <c r="H39" i="399"/>
  <c r="J38" i="399"/>
  <c r="H37" i="399"/>
  <c r="H36" i="399"/>
  <c r="H35" i="399"/>
  <c r="H34" i="399"/>
  <c r="H33" i="399"/>
  <c r="H32" i="399"/>
  <c r="H31" i="399"/>
  <c r="H30" i="399"/>
  <c r="H29" i="399"/>
  <c r="P28" i="399"/>
  <c r="K28" i="399" s="1"/>
  <c r="L28" i="399" s="1"/>
  <c r="H28" i="399"/>
  <c r="P27" i="399"/>
  <c r="K27" i="399"/>
  <c r="L27" i="399" s="1"/>
  <c r="H27" i="399"/>
  <c r="P26" i="399"/>
  <c r="K26" i="399" s="1"/>
  <c r="L26" i="399" s="1"/>
  <c r="H26" i="399"/>
  <c r="P25" i="399"/>
  <c r="K25" i="399"/>
  <c r="K38" i="399" s="1"/>
  <c r="H25" i="399"/>
  <c r="J24" i="399"/>
  <c r="H23" i="399"/>
  <c r="H22" i="399"/>
  <c r="H21" i="399"/>
  <c r="H20" i="399"/>
  <c r="P19" i="399"/>
  <c r="K19" i="399" s="1"/>
  <c r="L19" i="399" s="1"/>
  <c r="H19" i="399"/>
  <c r="P18" i="399"/>
  <c r="K18" i="399"/>
  <c r="L18" i="399" s="1"/>
  <c r="H18" i="399"/>
  <c r="P17" i="399"/>
  <c r="K17" i="399" s="1"/>
  <c r="H17" i="399"/>
  <c r="J16" i="399"/>
  <c r="I1" i="399" s="1"/>
  <c r="H15" i="399"/>
  <c r="H14" i="399"/>
  <c r="H13" i="399"/>
  <c r="H12" i="399"/>
  <c r="H11" i="399"/>
  <c r="H10" i="399"/>
  <c r="H9" i="399"/>
  <c r="H8" i="399"/>
  <c r="P7" i="399"/>
  <c r="K7" i="399"/>
  <c r="L7" i="399" s="1"/>
  <c r="H7" i="399"/>
  <c r="P6" i="399"/>
  <c r="K6" i="399" s="1"/>
  <c r="L6" i="399" s="1"/>
  <c r="H6" i="399"/>
  <c r="P5" i="399"/>
  <c r="K5" i="399"/>
  <c r="K16" i="399" s="1"/>
  <c r="H5" i="399"/>
  <c r="I2" i="399"/>
  <c r="E1" i="399"/>
  <c r="J124" i="398"/>
  <c r="H123" i="398"/>
  <c r="H122" i="398"/>
  <c r="H121" i="398"/>
  <c r="H120" i="398"/>
  <c r="H119" i="398"/>
  <c r="P118" i="398"/>
  <c r="K118" i="398" s="1"/>
  <c r="L118" i="398" s="1"/>
  <c r="H118" i="398"/>
  <c r="P117" i="398"/>
  <c r="L117" i="398"/>
  <c r="K117" i="398"/>
  <c r="H117" i="398"/>
  <c r="P116" i="398"/>
  <c r="K116" i="398" s="1"/>
  <c r="L116" i="398" s="1"/>
  <c r="H116" i="398"/>
  <c r="P115" i="398"/>
  <c r="L115" i="398"/>
  <c r="K115" i="398"/>
  <c r="H115" i="398"/>
  <c r="P114" i="398"/>
  <c r="K114" i="398" s="1"/>
  <c r="L114" i="398" s="1"/>
  <c r="H114" i="398"/>
  <c r="P113" i="398"/>
  <c r="L113" i="398"/>
  <c r="K113" i="398"/>
  <c r="H113" i="398"/>
  <c r="P112" i="398"/>
  <c r="K112" i="398" s="1"/>
  <c r="H112" i="398"/>
  <c r="J111" i="398"/>
  <c r="H110" i="398"/>
  <c r="H109" i="398"/>
  <c r="H108" i="398"/>
  <c r="H107" i="398"/>
  <c r="H106" i="398"/>
  <c r="P105" i="398"/>
  <c r="K105" i="398"/>
  <c r="L105" i="398" s="1"/>
  <c r="H105" i="398"/>
  <c r="P104" i="398"/>
  <c r="K104" i="398" s="1"/>
  <c r="L104" i="398" s="1"/>
  <c r="H104" i="398"/>
  <c r="P103" i="398"/>
  <c r="K103" i="398"/>
  <c r="L103" i="398" s="1"/>
  <c r="H103" i="398"/>
  <c r="P102" i="398"/>
  <c r="K102" i="398" s="1"/>
  <c r="L102" i="398" s="1"/>
  <c r="H102" i="398"/>
  <c r="P101" i="398"/>
  <c r="K101" i="398"/>
  <c r="H101" i="398"/>
  <c r="J100" i="398"/>
  <c r="H99" i="398"/>
  <c r="H98" i="398"/>
  <c r="H97" i="398"/>
  <c r="H96" i="398"/>
  <c r="H95" i="398"/>
  <c r="P94" i="398"/>
  <c r="L94" i="398"/>
  <c r="K94" i="398"/>
  <c r="H94" i="398"/>
  <c r="P93" i="398"/>
  <c r="K93" i="398" s="1"/>
  <c r="L93" i="398" s="1"/>
  <c r="H93" i="398"/>
  <c r="P92" i="398"/>
  <c r="L92" i="398"/>
  <c r="L100" i="398" s="1"/>
  <c r="K92" i="398"/>
  <c r="K100" i="398" s="1"/>
  <c r="H92" i="398"/>
  <c r="J91" i="398"/>
  <c r="H90" i="398"/>
  <c r="H89" i="398"/>
  <c r="H88" i="398"/>
  <c r="H87" i="398"/>
  <c r="H86" i="398"/>
  <c r="H85" i="398"/>
  <c r="H84" i="398"/>
  <c r="H83" i="398"/>
  <c r="P82" i="398"/>
  <c r="K82" i="398" s="1"/>
  <c r="H82" i="398"/>
  <c r="L81" i="398"/>
  <c r="K81" i="398"/>
  <c r="J81" i="398"/>
  <c r="H80" i="398"/>
  <c r="H79" i="398"/>
  <c r="H78" i="398"/>
  <c r="H77" i="398"/>
  <c r="H76" i="398"/>
  <c r="J75" i="398"/>
  <c r="H74" i="398"/>
  <c r="H73" i="398"/>
  <c r="H72" i="398"/>
  <c r="H71" i="398"/>
  <c r="P70" i="398"/>
  <c r="K70" i="398" s="1"/>
  <c r="L70" i="398" s="1"/>
  <c r="H70" i="398"/>
  <c r="P69" i="398"/>
  <c r="L69" i="398"/>
  <c r="K69" i="398"/>
  <c r="H69" i="398"/>
  <c r="P68" i="398"/>
  <c r="K68" i="398" s="1"/>
  <c r="L68" i="398" s="1"/>
  <c r="H68" i="398"/>
  <c r="P67" i="398"/>
  <c r="L67" i="398"/>
  <c r="K67" i="398"/>
  <c r="H67" i="398"/>
  <c r="P66" i="398"/>
  <c r="K66" i="398" s="1"/>
  <c r="L66" i="398" s="1"/>
  <c r="H66" i="398"/>
  <c r="P65" i="398"/>
  <c r="L65" i="398"/>
  <c r="K65" i="398"/>
  <c r="H65" i="398"/>
  <c r="J64" i="398"/>
  <c r="H63" i="398"/>
  <c r="H62" i="398"/>
  <c r="H61" i="398"/>
  <c r="H60" i="398"/>
  <c r="P59" i="398"/>
  <c r="K59" i="398" s="1"/>
  <c r="L59" i="398" s="1"/>
  <c r="H59" i="398"/>
  <c r="P58" i="398"/>
  <c r="L58" i="398"/>
  <c r="K58" i="398"/>
  <c r="H58" i="398"/>
  <c r="P57" i="398"/>
  <c r="K57" i="398" s="1"/>
  <c r="L57" i="398" s="1"/>
  <c r="H57" i="398"/>
  <c r="P56" i="398"/>
  <c r="L56" i="398"/>
  <c r="K56" i="398"/>
  <c r="H56" i="398"/>
  <c r="P55" i="398"/>
  <c r="K55" i="398" s="1"/>
  <c r="L55" i="398" s="1"/>
  <c r="H55" i="398"/>
  <c r="P54" i="398"/>
  <c r="L54" i="398"/>
  <c r="K54" i="398"/>
  <c r="H54" i="398"/>
  <c r="P53" i="398"/>
  <c r="K53" i="398" s="1"/>
  <c r="L53" i="398" s="1"/>
  <c r="H53" i="398"/>
  <c r="P52" i="398"/>
  <c r="L52" i="398"/>
  <c r="K52" i="398"/>
  <c r="K64" i="398" s="1"/>
  <c r="H52" i="398"/>
  <c r="H50" i="398"/>
  <c r="H49" i="398"/>
  <c r="H47" i="398"/>
  <c r="H46" i="398"/>
  <c r="H45" i="398"/>
  <c r="H44" i="398"/>
  <c r="H43" i="398"/>
  <c r="H42" i="398"/>
  <c r="H41" i="398"/>
  <c r="H40" i="398"/>
  <c r="H39" i="398"/>
  <c r="J38" i="398"/>
  <c r="H37" i="398"/>
  <c r="H36" i="398"/>
  <c r="H35" i="398"/>
  <c r="H34" i="398"/>
  <c r="H33" i="398"/>
  <c r="H32" i="398"/>
  <c r="H31" i="398"/>
  <c r="H30" i="398"/>
  <c r="H29" i="398"/>
  <c r="P28" i="398"/>
  <c r="K28" i="398" s="1"/>
  <c r="L28" i="398" s="1"/>
  <c r="H28" i="398"/>
  <c r="P27" i="398"/>
  <c r="K27" i="398"/>
  <c r="L27" i="398" s="1"/>
  <c r="H27" i="398"/>
  <c r="P26" i="398"/>
  <c r="K26" i="398" s="1"/>
  <c r="L26" i="398" s="1"/>
  <c r="H26" i="398"/>
  <c r="P25" i="398"/>
  <c r="K25" i="398"/>
  <c r="K38" i="398" s="1"/>
  <c r="H25" i="398"/>
  <c r="J24" i="398"/>
  <c r="H23" i="398"/>
  <c r="H22" i="398"/>
  <c r="H21" i="398"/>
  <c r="H20" i="398"/>
  <c r="P19" i="398"/>
  <c r="K19" i="398" s="1"/>
  <c r="L19" i="398" s="1"/>
  <c r="H19" i="398"/>
  <c r="P18" i="398"/>
  <c r="K18" i="398"/>
  <c r="L18" i="398" s="1"/>
  <c r="H18" i="398"/>
  <c r="P17" i="398"/>
  <c r="K17" i="398" s="1"/>
  <c r="H17" i="398"/>
  <c r="J16" i="398"/>
  <c r="I1" i="398" s="1"/>
  <c r="H15" i="398"/>
  <c r="H14" i="398"/>
  <c r="H13" i="398"/>
  <c r="H12" i="398"/>
  <c r="H11" i="398"/>
  <c r="H10" i="398"/>
  <c r="H9" i="398"/>
  <c r="H8" i="398"/>
  <c r="P7" i="398"/>
  <c r="K7" i="398"/>
  <c r="L7" i="398" s="1"/>
  <c r="H7" i="398"/>
  <c r="P6" i="398"/>
  <c r="K6" i="398" s="1"/>
  <c r="L6" i="398" s="1"/>
  <c r="H6" i="398"/>
  <c r="P5" i="398"/>
  <c r="K5" i="398"/>
  <c r="L5" i="398" s="1"/>
  <c r="L16" i="398" s="1"/>
  <c r="H5" i="398"/>
  <c r="G1" i="398" s="1"/>
  <c r="G2" i="398" s="1"/>
  <c r="I2" i="398"/>
  <c r="E1" i="398"/>
  <c r="L8" i="406" l="1"/>
  <c r="F8" i="406"/>
  <c r="L8" i="405"/>
  <c r="F8" i="405"/>
  <c r="L8" i="404"/>
  <c r="F8" i="404"/>
  <c r="G1" i="403"/>
  <c r="G2" i="403" s="1"/>
  <c r="R6" i="401"/>
  <c r="Q6" i="401"/>
  <c r="R10" i="401"/>
  <c r="Q10" i="401"/>
  <c r="AG20" i="401"/>
  <c r="AF20" i="401"/>
  <c r="O20" i="401"/>
  <c r="R34" i="401"/>
  <c r="Q34" i="401"/>
  <c r="AG37" i="401"/>
  <c r="AF37" i="401"/>
  <c r="O37" i="401"/>
  <c r="AG47" i="401"/>
  <c r="AF47" i="401"/>
  <c r="O47" i="401"/>
  <c r="R18" i="401"/>
  <c r="Q18" i="401"/>
  <c r="AG22" i="401"/>
  <c r="AF22" i="401"/>
  <c r="O22" i="401"/>
  <c r="O31" i="401"/>
  <c r="N43" i="401"/>
  <c r="AG31" i="401"/>
  <c r="AF31" i="401"/>
  <c r="AG35" i="401"/>
  <c r="AF35" i="401"/>
  <c r="O35" i="401"/>
  <c r="AG44" i="401"/>
  <c r="N56" i="401"/>
  <c r="AF44" i="401"/>
  <c r="O44" i="401"/>
  <c r="AG49" i="401"/>
  <c r="AF49" i="401"/>
  <c r="O49" i="401"/>
  <c r="R8" i="401"/>
  <c r="Q8" i="401"/>
  <c r="AG33" i="401"/>
  <c r="AF33" i="401"/>
  <c r="O33" i="401"/>
  <c r="R38" i="401"/>
  <c r="Q38" i="401"/>
  <c r="N17" i="401"/>
  <c r="O5" i="401"/>
  <c r="AG5" i="401"/>
  <c r="AF5" i="401"/>
  <c r="R36" i="401"/>
  <c r="Q36" i="401"/>
  <c r="AG45" i="401"/>
  <c r="AF45" i="401"/>
  <c r="O45" i="401"/>
  <c r="AF6" i="401"/>
  <c r="AF8" i="401"/>
  <c r="AF10" i="401"/>
  <c r="AF32" i="401"/>
  <c r="N82" i="401"/>
  <c r="AG70" i="401"/>
  <c r="AF70" i="401"/>
  <c r="O70" i="401"/>
  <c r="AG73" i="401"/>
  <c r="AF73" i="401"/>
  <c r="O73" i="401"/>
  <c r="R123" i="401"/>
  <c r="Q123" i="401"/>
  <c r="R127" i="401"/>
  <c r="Q127" i="401"/>
  <c r="AG136" i="401"/>
  <c r="AF136" i="401"/>
  <c r="O136" i="401"/>
  <c r="R143" i="401"/>
  <c r="Q143" i="401"/>
  <c r="P160" i="401"/>
  <c r="G1" i="402"/>
  <c r="G2" i="402" s="1"/>
  <c r="N17" i="402"/>
  <c r="AG5" i="402"/>
  <c r="AF5" i="402"/>
  <c r="O5" i="402"/>
  <c r="AG8" i="402"/>
  <c r="AF8" i="402"/>
  <c r="O8" i="402"/>
  <c r="AG6" i="401"/>
  <c r="O7" i="401"/>
  <c r="AG8" i="401"/>
  <c r="O9" i="401"/>
  <c r="AG10" i="401"/>
  <c r="O11" i="401"/>
  <c r="AG18" i="401"/>
  <c r="P30" i="401"/>
  <c r="N30" i="401"/>
  <c r="Q32" i="401"/>
  <c r="P44" i="401"/>
  <c r="O57" i="401"/>
  <c r="AG57" i="401"/>
  <c r="N69" i="401"/>
  <c r="AF57" i="401"/>
  <c r="R58" i="401"/>
  <c r="Q58" i="401"/>
  <c r="AG71" i="401"/>
  <c r="AF71" i="401"/>
  <c r="O71" i="401"/>
  <c r="AF74" i="401"/>
  <c r="O74" i="401"/>
  <c r="AG74" i="401"/>
  <c r="O96" i="401"/>
  <c r="AG96" i="401"/>
  <c r="N108" i="401"/>
  <c r="AF96" i="401"/>
  <c r="R117" i="401"/>
  <c r="AG126" i="401"/>
  <c r="AF126" i="401"/>
  <c r="O126" i="401"/>
  <c r="AG138" i="401"/>
  <c r="AF138" i="401"/>
  <c r="O138" i="401"/>
  <c r="R141" i="401"/>
  <c r="Q141" i="401"/>
  <c r="AG148" i="401"/>
  <c r="N160" i="401"/>
  <c r="AF148" i="401"/>
  <c r="O148" i="401"/>
  <c r="AG161" i="401"/>
  <c r="AF161" i="401"/>
  <c r="N173" i="401"/>
  <c r="O161" i="401"/>
  <c r="AG6" i="402"/>
  <c r="AF6" i="402"/>
  <c r="O6" i="402"/>
  <c r="AF7" i="401"/>
  <c r="AF9" i="401"/>
  <c r="AF11" i="401"/>
  <c r="O19" i="401"/>
  <c r="O30" i="401" s="1"/>
  <c r="O21" i="401"/>
  <c r="O23" i="401"/>
  <c r="O46" i="401"/>
  <c r="O48" i="401"/>
  <c r="O50" i="401"/>
  <c r="AG75" i="401"/>
  <c r="AF75" i="401"/>
  <c r="O75" i="401"/>
  <c r="P108" i="401"/>
  <c r="R125" i="401"/>
  <c r="Q125" i="401"/>
  <c r="R129" i="401"/>
  <c r="Q129" i="401"/>
  <c r="R137" i="401"/>
  <c r="Q137" i="401"/>
  <c r="AG142" i="401"/>
  <c r="AF142" i="401"/>
  <c r="O142" i="401"/>
  <c r="R60" i="401"/>
  <c r="Q60" i="401"/>
  <c r="AF72" i="401"/>
  <c r="O72" i="401"/>
  <c r="AG72" i="401"/>
  <c r="AG124" i="401"/>
  <c r="AF124" i="401"/>
  <c r="O124" i="401"/>
  <c r="AG128" i="401"/>
  <c r="AF128" i="401"/>
  <c r="O128" i="401"/>
  <c r="AF135" i="401"/>
  <c r="N147" i="401"/>
  <c r="O135" i="401"/>
  <c r="AG135" i="401"/>
  <c r="R139" i="401"/>
  <c r="Q139" i="401"/>
  <c r="AG140" i="401"/>
  <c r="AF140" i="401"/>
  <c r="O140" i="401"/>
  <c r="AF58" i="401"/>
  <c r="AF60" i="401"/>
  <c r="AG83" i="401"/>
  <c r="AF85" i="401"/>
  <c r="AF87" i="401"/>
  <c r="AF97" i="401"/>
  <c r="AF99" i="401"/>
  <c r="AF101" i="401"/>
  <c r="O109" i="401"/>
  <c r="O110" i="401"/>
  <c r="R111" i="401"/>
  <c r="AG111" i="401"/>
  <c r="O112" i="401"/>
  <c r="R113" i="401"/>
  <c r="AG113" i="401"/>
  <c r="O114" i="401"/>
  <c r="Q115" i="401"/>
  <c r="AG115" i="401"/>
  <c r="O116" i="401"/>
  <c r="Q117" i="401"/>
  <c r="AG117" i="401"/>
  <c r="P121" i="401"/>
  <c r="N121" i="401"/>
  <c r="P122" i="401"/>
  <c r="AF123" i="401"/>
  <c r="AF125" i="401"/>
  <c r="AF127" i="401"/>
  <c r="AF129" i="401"/>
  <c r="AF134" i="401"/>
  <c r="AF137" i="401"/>
  <c r="AF139" i="401"/>
  <c r="AF141" i="401"/>
  <c r="O149" i="401"/>
  <c r="AG150" i="401"/>
  <c r="O151" i="401"/>
  <c r="AG152" i="401"/>
  <c r="O153" i="401"/>
  <c r="AG154" i="401"/>
  <c r="O162" i="401"/>
  <c r="AG163" i="401"/>
  <c r="O164" i="401"/>
  <c r="AG165" i="401"/>
  <c r="P173" i="401"/>
  <c r="AG7" i="402"/>
  <c r="R9" i="402"/>
  <c r="O11" i="402"/>
  <c r="AG11" i="402"/>
  <c r="AF11" i="402"/>
  <c r="AG30" i="402"/>
  <c r="AH18" i="402" s="1"/>
  <c r="AF30" i="402"/>
  <c r="AF22" i="402"/>
  <c r="O22" i="402"/>
  <c r="AG22" i="402"/>
  <c r="O35" i="402"/>
  <c r="AG35" i="402"/>
  <c r="AF35" i="402"/>
  <c r="AG50" i="402"/>
  <c r="AF50" i="402"/>
  <c r="O50" i="402"/>
  <c r="R58" i="402"/>
  <c r="Q58" i="402"/>
  <c r="AG71" i="402"/>
  <c r="AF71" i="402"/>
  <c r="O71" i="402"/>
  <c r="O89" i="402"/>
  <c r="AG89" i="402"/>
  <c r="AF89" i="402"/>
  <c r="O96" i="402"/>
  <c r="AG96" i="402"/>
  <c r="N108" i="402"/>
  <c r="AF96" i="402"/>
  <c r="R101" i="402"/>
  <c r="Q101" i="402"/>
  <c r="P108" i="402"/>
  <c r="N134" i="402"/>
  <c r="O122" i="402"/>
  <c r="AG122" i="402"/>
  <c r="AF122" i="402"/>
  <c r="AG58" i="401"/>
  <c r="O59" i="401"/>
  <c r="AG60" i="401"/>
  <c r="O61" i="401"/>
  <c r="P70" i="401"/>
  <c r="P71" i="401"/>
  <c r="P73" i="401"/>
  <c r="P75" i="401"/>
  <c r="O83" i="401"/>
  <c r="O84" i="401"/>
  <c r="O86" i="401"/>
  <c r="Q87" i="401"/>
  <c r="P95" i="401"/>
  <c r="N95" i="401"/>
  <c r="R97" i="401"/>
  <c r="O98" i="401"/>
  <c r="R99" i="401"/>
  <c r="O100" i="401"/>
  <c r="R101" i="401"/>
  <c r="O102" i="401"/>
  <c r="AF110" i="401"/>
  <c r="P112" i="401"/>
  <c r="AF112" i="401"/>
  <c r="AF114" i="401"/>
  <c r="P116" i="401"/>
  <c r="AF116" i="401"/>
  <c r="AF122" i="401"/>
  <c r="AG123" i="401"/>
  <c r="AG125" i="401"/>
  <c r="AG127" i="401"/>
  <c r="AG129" i="401"/>
  <c r="P147" i="401"/>
  <c r="AF149" i="401"/>
  <c r="AF151" i="401"/>
  <c r="AF153" i="401"/>
  <c r="AF162" i="401"/>
  <c r="AF164" i="401"/>
  <c r="Q31" i="402"/>
  <c r="O37" i="402"/>
  <c r="AG37" i="402"/>
  <c r="AF37" i="402"/>
  <c r="R44" i="402"/>
  <c r="Q44" i="402"/>
  <c r="R99" i="402"/>
  <c r="Q99" i="402"/>
  <c r="AG124" i="402"/>
  <c r="AF124" i="402"/>
  <c r="O124" i="402"/>
  <c r="AF59" i="401"/>
  <c r="AF61" i="401"/>
  <c r="P84" i="401"/>
  <c r="AF84" i="401"/>
  <c r="AF86" i="401"/>
  <c r="AF98" i="401"/>
  <c r="AF100" i="401"/>
  <c r="AF102" i="401"/>
  <c r="AF109" i="401"/>
  <c r="AG122" i="401"/>
  <c r="O150" i="401"/>
  <c r="O152" i="401"/>
  <c r="O154" i="401"/>
  <c r="O163" i="401"/>
  <c r="O165" i="401"/>
  <c r="O7" i="402"/>
  <c r="AF9" i="402"/>
  <c r="O10" i="402"/>
  <c r="AF10" i="402"/>
  <c r="P30" i="402"/>
  <c r="O57" i="402"/>
  <c r="AG57" i="402"/>
  <c r="N69" i="402"/>
  <c r="AF57" i="402"/>
  <c r="R60" i="402"/>
  <c r="Q60" i="402"/>
  <c r="R97" i="402"/>
  <c r="Q97" i="402"/>
  <c r="AG100" i="402"/>
  <c r="AF100" i="402"/>
  <c r="O100" i="402"/>
  <c r="AG109" i="402"/>
  <c r="AF109" i="402"/>
  <c r="N121" i="402"/>
  <c r="O109" i="402"/>
  <c r="R123" i="402"/>
  <c r="Q123" i="402"/>
  <c r="O122" i="401"/>
  <c r="AG9" i="402"/>
  <c r="AF20" i="402"/>
  <c r="O20" i="402"/>
  <c r="AG20" i="402"/>
  <c r="N43" i="402"/>
  <c r="O33" i="402"/>
  <c r="AG33" i="402"/>
  <c r="AF33" i="402"/>
  <c r="AG46" i="402"/>
  <c r="AF46" i="402"/>
  <c r="O46" i="402"/>
  <c r="AG48" i="402"/>
  <c r="AF48" i="402"/>
  <c r="O48" i="402"/>
  <c r="N82" i="402"/>
  <c r="AG70" i="402"/>
  <c r="AF70" i="402"/>
  <c r="O70" i="402"/>
  <c r="AG73" i="402"/>
  <c r="AF73" i="402"/>
  <c r="O73" i="402"/>
  <c r="AG75" i="402"/>
  <c r="AF75" i="402"/>
  <c r="O75" i="402"/>
  <c r="AG98" i="402"/>
  <c r="AF98" i="402"/>
  <c r="O98" i="402"/>
  <c r="R125" i="402"/>
  <c r="Q125" i="402"/>
  <c r="O18" i="402"/>
  <c r="O19" i="402"/>
  <c r="O21" i="402"/>
  <c r="O23" i="402"/>
  <c r="R31" i="402"/>
  <c r="AG31" i="402"/>
  <c r="P43" i="402"/>
  <c r="AF44" i="402"/>
  <c r="AG45" i="402"/>
  <c r="AG47" i="402"/>
  <c r="P56" i="402"/>
  <c r="N56" i="402"/>
  <c r="AF58" i="402"/>
  <c r="AF60" i="402"/>
  <c r="AG72" i="402"/>
  <c r="AG83" i="402"/>
  <c r="AF85" i="402"/>
  <c r="AF87" i="402"/>
  <c r="AF103" i="402"/>
  <c r="O110" i="402"/>
  <c r="AG111" i="402"/>
  <c r="O112" i="402"/>
  <c r="AG113" i="402"/>
  <c r="O114" i="402"/>
  <c r="AG115" i="402"/>
  <c r="O116" i="402"/>
  <c r="AG117" i="402"/>
  <c r="P121" i="402"/>
  <c r="AF123" i="402"/>
  <c r="AF125" i="402"/>
  <c r="AG126" i="402"/>
  <c r="AF127" i="402"/>
  <c r="O127" i="402"/>
  <c r="AG127" i="402"/>
  <c r="AG140" i="402"/>
  <c r="AF140" i="402"/>
  <c r="O140" i="402"/>
  <c r="O148" i="402"/>
  <c r="AG148" i="402"/>
  <c r="N160" i="402"/>
  <c r="AF148" i="402"/>
  <c r="AG163" i="402"/>
  <c r="AF163" i="402"/>
  <c r="O163" i="402"/>
  <c r="AG9" i="403"/>
  <c r="AF9" i="403"/>
  <c r="O9" i="403"/>
  <c r="P30" i="403"/>
  <c r="P18" i="402"/>
  <c r="O32" i="402"/>
  <c r="O34" i="402"/>
  <c r="O36" i="402"/>
  <c r="O38" i="402"/>
  <c r="AG44" i="402"/>
  <c r="AG58" i="402"/>
  <c r="O59" i="402"/>
  <c r="AG60" i="402"/>
  <c r="O61" i="402"/>
  <c r="P70" i="402"/>
  <c r="O83" i="402"/>
  <c r="O84" i="402"/>
  <c r="R85" i="402"/>
  <c r="O86" i="402"/>
  <c r="Q87" i="402"/>
  <c r="O88" i="402"/>
  <c r="P95" i="402"/>
  <c r="N95" i="402"/>
  <c r="O102" i="402"/>
  <c r="R103" i="402"/>
  <c r="O104" i="402"/>
  <c r="AF110" i="402"/>
  <c r="AF112" i="402"/>
  <c r="AF114" i="402"/>
  <c r="AF116" i="402"/>
  <c r="Q126" i="402"/>
  <c r="R128" i="402"/>
  <c r="Q128" i="402"/>
  <c r="AG135" i="402"/>
  <c r="AF135" i="402"/>
  <c r="N147" i="402"/>
  <c r="O135" i="402"/>
  <c r="AG142" i="402"/>
  <c r="AF142" i="402"/>
  <c r="O142" i="402"/>
  <c r="N173" i="402"/>
  <c r="O161" i="402"/>
  <c r="AG161" i="402"/>
  <c r="AF161" i="402"/>
  <c r="O6" i="403"/>
  <c r="AG6" i="403"/>
  <c r="AF6" i="403"/>
  <c r="AG11" i="403"/>
  <c r="AF11" i="403"/>
  <c r="O11" i="403"/>
  <c r="AG20" i="403"/>
  <c r="AF20" i="403"/>
  <c r="O20" i="403"/>
  <c r="P31" i="402"/>
  <c r="O45" i="402"/>
  <c r="O47" i="402"/>
  <c r="O49" i="402"/>
  <c r="AF59" i="402"/>
  <c r="AF61" i="402"/>
  <c r="O72" i="402"/>
  <c r="O74" i="402"/>
  <c r="P84" i="402"/>
  <c r="AF84" i="402"/>
  <c r="AF86" i="402"/>
  <c r="AF88" i="402"/>
  <c r="AF102" i="402"/>
  <c r="AF104" i="402"/>
  <c r="O111" i="402"/>
  <c r="O113" i="402"/>
  <c r="O115" i="402"/>
  <c r="O117" i="402"/>
  <c r="AG136" i="402"/>
  <c r="AF136" i="402"/>
  <c r="O136" i="402"/>
  <c r="R164" i="402"/>
  <c r="Q164" i="402"/>
  <c r="N17" i="403"/>
  <c r="O5" i="403"/>
  <c r="AG5" i="403"/>
  <c r="AF5" i="403"/>
  <c r="O8" i="403"/>
  <c r="AG8" i="403"/>
  <c r="AF8" i="403"/>
  <c r="R18" i="403"/>
  <c r="Q18" i="403"/>
  <c r="AG18" i="402"/>
  <c r="R126" i="402"/>
  <c r="AG128" i="402"/>
  <c r="AF129" i="402"/>
  <c r="O129" i="402"/>
  <c r="AG129" i="402"/>
  <c r="P134" i="402"/>
  <c r="AG138" i="402"/>
  <c r="AF138" i="402"/>
  <c r="O138" i="402"/>
  <c r="P160" i="402"/>
  <c r="R162" i="402"/>
  <c r="Q162" i="402"/>
  <c r="AG165" i="402"/>
  <c r="AF165" i="402"/>
  <c r="O165" i="402"/>
  <c r="AG7" i="403"/>
  <c r="AF7" i="403"/>
  <c r="O7" i="403"/>
  <c r="O10" i="403"/>
  <c r="AG10" i="403"/>
  <c r="AF10" i="403"/>
  <c r="AG22" i="403"/>
  <c r="AF22" i="403"/>
  <c r="O22" i="403"/>
  <c r="AG45" i="403"/>
  <c r="AF45" i="403"/>
  <c r="O45" i="403"/>
  <c r="AG49" i="403"/>
  <c r="AF49" i="403"/>
  <c r="O49" i="403"/>
  <c r="R59" i="403"/>
  <c r="Q59" i="403"/>
  <c r="AF75" i="403"/>
  <c r="AG75" i="403"/>
  <c r="O75" i="403"/>
  <c r="P147" i="402"/>
  <c r="AF149" i="402"/>
  <c r="AF151" i="402"/>
  <c r="AF153" i="402"/>
  <c r="AF162" i="402"/>
  <c r="AF164" i="402"/>
  <c r="AF18" i="403"/>
  <c r="AG19" i="403"/>
  <c r="AG21" i="403"/>
  <c r="AG23" i="403"/>
  <c r="AG32" i="403"/>
  <c r="O33" i="403"/>
  <c r="AG33" i="403"/>
  <c r="O36" i="403"/>
  <c r="P56" i="403"/>
  <c r="P44" i="403"/>
  <c r="P45" i="403"/>
  <c r="R48" i="403"/>
  <c r="AF50" i="403"/>
  <c r="AG57" i="403"/>
  <c r="AG61" i="403"/>
  <c r="AF61" i="403"/>
  <c r="N69" i="403"/>
  <c r="N82" i="403"/>
  <c r="O70" i="403"/>
  <c r="AG70" i="403"/>
  <c r="AF70" i="403"/>
  <c r="AG87" i="403"/>
  <c r="O87" i="403"/>
  <c r="AF87" i="403"/>
  <c r="AF99" i="403"/>
  <c r="AG103" i="403"/>
  <c r="O103" i="403"/>
  <c r="AF103" i="403"/>
  <c r="AG110" i="403"/>
  <c r="AF110" i="403"/>
  <c r="O110" i="403"/>
  <c r="R149" i="402"/>
  <c r="O150" i="402"/>
  <c r="Q151" i="402"/>
  <c r="O152" i="402"/>
  <c r="R153" i="402"/>
  <c r="O154" i="402"/>
  <c r="AG18" i="403"/>
  <c r="N30" i="403"/>
  <c r="Q31" i="403"/>
  <c r="R46" i="403"/>
  <c r="AG47" i="403"/>
  <c r="AF47" i="403"/>
  <c r="R57" i="403"/>
  <c r="AG72" i="403"/>
  <c r="AF72" i="403"/>
  <c r="O72" i="403"/>
  <c r="AF101" i="403"/>
  <c r="O137" i="402"/>
  <c r="O139" i="402"/>
  <c r="O141" i="402"/>
  <c r="O143" i="402"/>
  <c r="AF150" i="402"/>
  <c r="AF152" i="402"/>
  <c r="AF154" i="402"/>
  <c r="P7" i="403"/>
  <c r="P9" i="403"/>
  <c r="P11" i="403"/>
  <c r="O19" i="403"/>
  <c r="O21" i="403"/>
  <c r="O23" i="403"/>
  <c r="N43" i="403"/>
  <c r="AG31" i="403"/>
  <c r="O34" i="403"/>
  <c r="AF34" i="403"/>
  <c r="AF37" i="403"/>
  <c r="O37" i="403"/>
  <c r="AG37" i="403"/>
  <c r="AF38" i="403"/>
  <c r="N56" i="403"/>
  <c r="AF44" i="403"/>
  <c r="AF46" i="403"/>
  <c r="O47" i="403"/>
  <c r="P49" i="403"/>
  <c r="O71" i="403"/>
  <c r="AG71" i="403"/>
  <c r="R89" i="403"/>
  <c r="Q89" i="403"/>
  <c r="P108" i="403"/>
  <c r="P96" i="403"/>
  <c r="P43" i="403"/>
  <c r="O32" i="403"/>
  <c r="O35" i="403"/>
  <c r="AG35" i="403"/>
  <c r="AF36" i="403"/>
  <c r="O38" i="403"/>
  <c r="O44" i="403"/>
  <c r="AG44" i="403"/>
  <c r="AG46" i="403"/>
  <c r="P47" i="403"/>
  <c r="R50" i="403"/>
  <c r="AF58" i="403"/>
  <c r="O58" i="403"/>
  <c r="AG59" i="403"/>
  <c r="AF59" i="403"/>
  <c r="R61" i="403"/>
  <c r="Q61" i="403"/>
  <c r="P69" i="403"/>
  <c r="R74" i="403"/>
  <c r="Q74" i="403"/>
  <c r="AF88" i="403"/>
  <c r="O88" i="403"/>
  <c r="AF89" i="403"/>
  <c r="O111" i="403"/>
  <c r="AG111" i="403"/>
  <c r="AF111" i="403"/>
  <c r="AF124" i="403"/>
  <c r="AF138" i="403"/>
  <c r="O138" i="403"/>
  <c r="AG138" i="403"/>
  <c r="N160" i="403"/>
  <c r="AF148" i="403"/>
  <c r="O148" i="403"/>
  <c r="AG148" i="403"/>
  <c r="P74" i="403"/>
  <c r="N95" i="403"/>
  <c r="O83" i="403"/>
  <c r="AF86" i="403"/>
  <c r="O86" i="403"/>
  <c r="AG86" i="403"/>
  <c r="AG96" i="403"/>
  <c r="N108" i="403"/>
  <c r="AF96" i="403"/>
  <c r="R99" i="403"/>
  <c r="Q99" i="403"/>
  <c r="R101" i="403"/>
  <c r="Q101" i="403"/>
  <c r="AG116" i="403"/>
  <c r="AF116" i="403"/>
  <c r="O116" i="403"/>
  <c r="O117" i="403"/>
  <c r="AG117" i="403"/>
  <c r="O60" i="403"/>
  <c r="P72" i="403"/>
  <c r="O73" i="403"/>
  <c r="AG73" i="403"/>
  <c r="P82" i="403"/>
  <c r="P95" i="403"/>
  <c r="AF83" i="403"/>
  <c r="AF84" i="403"/>
  <c r="O84" i="403"/>
  <c r="AG84" i="403"/>
  <c r="AF85" i="403"/>
  <c r="R96" i="403"/>
  <c r="Q96" i="403"/>
  <c r="AF98" i="403"/>
  <c r="O98" i="403"/>
  <c r="AG114" i="403"/>
  <c r="AF114" i="403"/>
  <c r="O114" i="403"/>
  <c r="O115" i="403"/>
  <c r="AG115" i="403"/>
  <c r="N134" i="403"/>
  <c r="AG122" i="403"/>
  <c r="AF122" i="403"/>
  <c r="O122" i="403"/>
  <c r="AF126" i="403"/>
  <c r="AG83" i="403"/>
  <c r="O85" i="403"/>
  <c r="AG89" i="403"/>
  <c r="R97" i="403"/>
  <c r="AF97" i="403"/>
  <c r="AG98" i="403"/>
  <c r="AG99" i="403"/>
  <c r="AF100" i="403"/>
  <c r="O100" i="403"/>
  <c r="AG100" i="403"/>
  <c r="AG101" i="403"/>
  <c r="AF102" i="403"/>
  <c r="O102" i="403"/>
  <c r="N121" i="403"/>
  <c r="AF109" i="403"/>
  <c r="O109" i="403"/>
  <c r="AG112" i="403"/>
  <c r="AF112" i="403"/>
  <c r="O112" i="403"/>
  <c r="O113" i="403"/>
  <c r="AG113" i="403"/>
  <c r="AF115" i="403"/>
  <c r="P122" i="403"/>
  <c r="P134" i="403"/>
  <c r="AF140" i="403"/>
  <c r="O140" i="403"/>
  <c r="AG140" i="403"/>
  <c r="P160" i="403"/>
  <c r="P109" i="403"/>
  <c r="P110" i="403"/>
  <c r="P112" i="403"/>
  <c r="P114" i="403"/>
  <c r="P116" i="403"/>
  <c r="AG123" i="403"/>
  <c r="AF123" i="403"/>
  <c r="O123" i="403"/>
  <c r="O124" i="403"/>
  <c r="AG124" i="403"/>
  <c r="AG125" i="403"/>
  <c r="AF125" i="403"/>
  <c r="O125" i="403"/>
  <c r="O126" i="403"/>
  <c r="AG126" i="403"/>
  <c r="AG127" i="403"/>
  <c r="AF127" i="403"/>
  <c r="O127" i="403"/>
  <c r="AF128" i="403"/>
  <c r="O128" i="403"/>
  <c r="AG128" i="403"/>
  <c r="N147" i="403"/>
  <c r="O135" i="403"/>
  <c r="AG135" i="403"/>
  <c r="AF135" i="403"/>
  <c r="AF142" i="403"/>
  <c r="O142" i="403"/>
  <c r="AG142" i="403"/>
  <c r="R150" i="403"/>
  <c r="Q150" i="403"/>
  <c r="R152" i="403"/>
  <c r="Q152" i="403"/>
  <c r="R154" i="403"/>
  <c r="Q154" i="403"/>
  <c r="AF136" i="403"/>
  <c r="O136" i="403"/>
  <c r="AG136" i="403"/>
  <c r="O165" i="403"/>
  <c r="AG165" i="403"/>
  <c r="AF165" i="403"/>
  <c r="O129" i="403"/>
  <c r="O137" i="403"/>
  <c r="O139" i="403"/>
  <c r="O141" i="403"/>
  <c r="O143" i="403"/>
  <c r="AF150" i="403"/>
  <c r="AF152" i="403"/>
  <c r="AF154" i="403"/>
  <c r="AG161" i="403"/>
  <c r="AF163" i="403"/>
  <c r="P123" i="403"/>
  <c r="AF129" i="403"/>
  <c r="O149" i="403"/>
  <c r="AG150" i="403"/>
  <c r="O151" i="403"/>
  <c r="AG152" i="403"/>
  <c r="O153" i="403"/>
  <c r="AG154" i="403"/>
  <c r="O161" i="403"/>
  <c r="O162" i="403"/>
  <c r="R163" i="403"/>
  <c r="O164" i="403"/>
  <c r="P173" i="403"/>
  <c r="N173" i="403"/>
  <c r="P147" i="403"/>
  <c r="AF149" i="403"/>
  <c r="AF151" i="403"/>
  <c r="AF153" i="403"/>
  <c r="AF162" i="403"/>
  <c r="P164" i="403"/>
  <c r="AF164" i="403"/>
  <c r="G1" i="399"/>
  <c r="G2" i="399" s="1"/>
  <c r="G1" i="400"/>
  <c r="G2" i="400" s="1"/>
  <c r="K24" i="398"/>
  <c r="L17" i="398"/>
  <c r="L24" i="398" s="1"/>
  <c r="K24" i="399"/>
  <c r="L17" i="399"/>
  <c r="L24" i="399" s="1"/>
  <c r="L64" i="398"/>
  <c r="K75" i="398"/>
  <c r="L82" i="398"/>
  <c r="L91" i="398" s="1"/>
  <c r="K91" i="398"/>
  <c r="K75" i="399"/>
  <c r="L65" i="399"/>
  <c r="L75" i="399" s="1"/>
  <c r="L100" i="399"/>
  <c r="E2" i="398"/>
  <c r="K111" i="398"/>
  <c r="L112" i="398"/>
  <c r="L124" i="398" s="1"/>
  <c r="K124" i="398"/>
  <c r="L75" i="398"/>
  <c r="K16" i="398"/>
  <c r="L25" i="398"/>
  <c r="L38" i="398" s="1"/>
  <c r="L101" i="398"/>
  <c r="L111" i="398" s="1"/>
  <c r="L5" i="399"/>
  <c r="L16" i="399" s="1"/>
  <c r="E2" i="399" s="1"/>
  <c r="L25" i="399"/>
  <c r="L38" i="399" s="1"/>
  <c r="L64" i="400"/>
  <c r="K75" i="400"/>
  <c r="L92" i="400"/>
  <c r="L100" i="400" s="1"/>
  <c r="K100" i="400"/>
  <c r="K100" i="399"/>
  <c r="K111" i="399"/>
  <c r="L112" i="399"/>
  <c r="L124" i="399" s="1"/>
  <c r="K124" i="399"/>
  <c r="K24" i="400"/>
  <c r="L17" i="400"/>
  <c r="L24" i="400" s="1"/>
  <c r="L75" i="400"/>
  <c r="L112" i="400"/>
  <c r="L124" i="400" s="1"/>
  <c r="K124" i="400"/>
  <c r="K64" i="399"/>
  <c r="K91" i="400"/>
  <c r="L82" i="400"/>
  <c r="L91" i="400" s="1"/>
  <c r="K64" i="400"/>
  <c r="L101" i="400"/>
  <c r="L111" i="400" s="1"/>
  <c r="K111" i="400"/>
  <c r="L5" i="400"/>
  <c r="L16" i="400" s="1"/>
  <c r="E2" i="400" s="1"/>
  <c r="L25" i="400"/>
  <c r="L38" i="400" s="1"/>
  <c r="AE173" i="397"/>
  <c r="AD173" i="397"/>
  <c r="AA173" i="397"/>
  <c r="Z173" i="397"/>
  <c r="M173" i="397"/>
  <c r="W172" i="397"/>
  <c r="H172" i="397"/>
  <c r="W171" i="397"/>
  <c r="H171" i="397"/>
  <c r="AG170" i="397"/>
  <c r="AF170" i="397"/>
  <c r="W170" i="397"/>
  <c r="H170" i="397"/>
  <c r="AG169" i="397"/>
  <c r="AF169" i="397"/>
  <c r="W169" i="397"/>
  <c r="H169" i="397"/>
  <c r="AG168" i="397"/>
  <c r="AF168" i="397"/>
  <c r="W168" i="397"/>
  <c r="H168" i="397"/>
  <c r="AG167" i="397"/>
  <c r="AF167" i="397"/>
  <c r="W167" i="397"/>
  <c r="H167" i="397"/>
  <c r="AG166" i="397"/>
  <c r="AF166" i="397"/>
  <c r="W166" i="397"/>
  <c r="H166" i="397"/>
  <c r="W165" i="397"/>
  <c r="P165" i="397"/>
  <c r="N165" i="397"/>
  <c r="O165" i="397" s="1"/>
  <c r="AG165" i="397"/>
  <c r="H165" i="397"/>
  <c r="W164" i="397"/>
  <c r="N164" i="397"/>
  <c r="AG164" i="397" s="1"/>
  <c r="P164" i="397"/>
  <c r="H164" i="397"/>
  <c r="W163" i="397"/>
  <c r="P163" i="397"/>
  <c r="N163" i="397"/>
  <c r="O163" i="397" s="1"/>
  <c r="H163" i="397"/>
  <c r="W162" i="397"/>
  <c r="N162" i="397"/>
  <c r="AG162" i="397" s="1"/>
  <c r="P162" i="397"/>
  <c r="H162" i="397"/>
  <c r="W161" i="397"/>
  <c r="N161" i="397"/>
  <c r="AF161" i="397" s="1"/>
  <c r="P161" i="397"/>
  <c r="H161" i="397"/>
  <c r="AE160" i="397"/>
  <c r="AD160" i="397"/>
  <c r="AA160" i="397"/>
  <c r="Z160" i="397"/>
  <c r="M160" i="397"/>
  <c r="W159" i="397"/>
  <c r="H159" i="397"/>
  <c r="W158" i="397"/>
  <c r="H158" i="397"/>
  <c r="W157" i="397"/>
  <c r="H157" i="397"/>
  <c r="W156" i="397"/>
  <c r="H156" i="397"/>
  <c r="W155" i="397"/>
  <c r="H155" i="397"/>
  <c r="W154" i="397"/>
  <c r="N154" i="397"/>
  <c r="O154" i="397" s="1"/>
  <c r="P154" i="397"/>
  <c r="H154" i="397"/>
  <c r="W153" i="397"/>
  <c r="P153" i="397"/>
  <c r="N153" i="397"/>
  <c r="AG153" i="397" s="1"/>
  <c r="H153" i="397"/>
  <c r="W152" i="397"/>
  <c r="N152" i="397"/>
  <c r="O152" i="397" s="1"/>
  <c r="P152" i="397"/>
  <c r="H152" i="397"/>
  <c r="W151" i="397"/>
  <c r="P151" i="397"/>
  <c r="N151" i="397"/>
  <c r="AG151" i="397" s="1"/>
  <c r="H151" i="397"/>
  <c r="W150" i="397"/>
  <c r="P150" i="397"/>
  <c r="N150" i="397"/>
  <c r="O150" i="397" s="1"/>
  <c r="H150" i="397"/>
  <c r="W149" i="397"/>
  <c r="P149" i="397"/>
  <c r="N149" i="397"/>
  <c r="AG149" i="397" s="1"/>
  <c r="H149" i="397"/>
  <c r="W148" i="397"/>
  <c r="N148" i="397" s="1"/>
  <c r="P148" i="397"/>
  <c r="H148" i="397"/>
  <c r="AE147" i="397"/>
  <c r="AD147" i="397"/>
  <c r="AA147" i="397"/>
  <c r="Z147" i="397"/>
  <c r="W147" i="397"/>
  <c r="M147" i="397"/>
  <c r="W146" i="397"/>
  <c r="H146" i="397"/>
  <c r="AG145" i="397"/>
  <c r="AF145" i="397"/>
  <c r="W145" i="397"/>
  <c r="AG144" i="397"/>
  <c r="AF144" i="397"/>
  <c r="W144" i="397"/>
  <c r="AG143" i="397"/>
  <c r="W143" i="397"/>
  <c r="P143" i="397"/>
  <c r="N143" i="397"/>
  <c r="AF143" i="397" s="1"/>
  <c r="H143" i="397"/>
  <c r="W142" i="397"/>
  <c r="N142" i="397" s="1"/>
  <c r="P142" i="397"/>
  <c r="H142" i="397"/>
  <c r="AG141" i="397"/>
  <c r="W141" i="397"/>
  <c r="N141" i="397"/>
  <c r="AF141" i="397" s="1"/>
  <c r="P141" i="397"/>
  <c r="H141" i="397"/>
  <c r="W140" i="397"/>
  <c r="N140" i="397" s="1"/>
  <c r="P140" i="397"/>
  <c r="H140" i="397"/>
  <c r="AG139" i="397"/>
  <c r="W139" i="397"/>
  <c r="N139" i="397"/>
  <c r="AF139" i="397" s="1"/>
  <c r="P139" i="397"/>
  <c r="H139" i="397"/>
  <c r="W138" i="397"/>
  <c r="N138" i="397" s="1"/>
  <c r="P138" i="397"/>
  <c r="H138" i="397"/>
  <c r="AG137" i="397"/>
  <c r="W137" i="397"/>
  <c r="N137" i="397"/>
  <c r="AF137" i="397" s="1"/>
  <c r="P137" i="397"/>
  <c r="H137" i="397"/>
  <c r="W136" i="397"/>
  <c r="N136" i="397" s="1"/>
  <c r="P136" i="397"/>
  <c r="H136" i="397"/>
  <c r="W135" i="397"/>
  <c r="N135" i="397" s="1"/>
  <c r="P135" i="397"/>
  <c r="H135" i="397"/>
  <c r="AE134" i="397"/>
  <c r="AD134" i="397"/>
  <c r="AA134" i="397"/>
  <c r="Z134" i="397"/>
  <c r="M134" i="397"/>
  <c r="W133" i="397"/>
  <c r="H133" i="397"/>
  <c r="W132" i="397"/>
  <c r="H132" i="397"/>
  <c r="AG131" i="397"/>
  <c r="AF131" i="397"/>
  <c r="W131" i="397"/>
  <c r="H131" i="397"/>
  <c r="W130" i="397"/>
  <c r="N130" i="397" s="1"/>
  <c r="P130" i="397"/>
  <c r="H130" i="397"/>
  <c r="W129" i="397"/>
  <c r="N129" i="397"/>
  <c r="AG129" i="397" s="1"/>
  <c r="P129" i="397"/>
  <c r="H129" i="397"/>
  <c r="W128" i="397"/>
  <c r="N128" i="397" s="1"/>
  <c r="P128" i="397"/>
  <c r="H128" i="397"/>
  <c r="W127" i="397"/>
  <c r="N127" i="397"/>
  <c r="P127" i="397"/>
  <c r="H127" i="397"/>
  <c r="W126" i="397"/>
  <c r="N126" i="397" s="1"/>
  <c r="P126" i="397"/>
  <c r="H126" i="397"/>
  <c r="W125" i="397"/>
  <c r="N125" i="397"/>
  <c r="P125" i="397"/>
  <c r="H125" i="397"/>
  <c r="W124" i="397"/>
  <c r="N124" i="397" s="1"/>
  <c r="P124" i="397"/>
  <c r="H124" i="397"/>
  <c r="W123" i="397"/>
  <c r="N123" i="397"/>
  <c r="P123" i="397"/>
  <c r="H123" i="397"/>
  <c r="AG122" i="397"/>
  <c r="W122" i="397"/>
  <c r="N122" i="397"/>
  <c r="P122" i="397"/>
  <c r="H122" i="397"/>
  <c r="AE121" i="397"/>
  <c r="AD121" i="397"/>
  <c r="AA121" i="397"/>
  <c r="Z121" i="397"/>
  <c r="W121" i="397"/>
  <c r="M121" i="397"/>
  <c r="AG120" i="397"/>
  <c r="AF120" i="397"/>
  <c r="W120" i="397"/>
  <c r="H120" i="397"/>
  <c r="AG119" i="397"/>
  <c r="AF119" i="397"/>
  <c r="W119" i="397"/>
  <c r="H119" i="397"/>
  <c r="W118" i="397"/>
  <c r="N118" i="397"/>
  <c r="AG118" i="397" s="1"/>
  <c r="P118" i="397"/>
  <c r="H118" i="397"/>
  <c r="W117" i="397"/>
  <c r="P117" i="397"/>
  <c r="N117" i="397"/>
  <c r="O117" i="397" s="1"/>
  <c r="AF117" i="397"/>
  <c r="H117" i="397"/>
  <c r="W116" i="397"/>
  <c r="N116" i="397"/>
  <c r="AG116" i="397" s="1"/>
  <c r="P116" i="397"/>
  <c r="H116" i="397"/>
  <c r="W115" i="397"/>
  <c r="P115" i="397"/>
  <c r="N115" i="397"/>
  <c r="O115" i="397" s="1"/>
  <c r="AF115" i="397"/>
  <c r="H115" i="397"/>
  <c r="W114" i="397"/>
  <c r="N114" i="397"/>
  <c r="AG114" i="397" s="1"/>
  <c r="P114" i="397"/>
  <c r="H114" i="397"/>
  <c r="W113" i="397"/>
  <c r="P113" i="397"/>
  <c r="N113" i="397"/>
  <c r="O113" i="397" s="1"/>
  <c r="AF113" i="397"/>
  <c r="H113" i="397"/>
  <c r="W112" i="397"/>
  <c r="N112" i="397"/>
  <c r="AG112" i="397" s="1"/>
  <c r="P112" i="397"/>
  <c r="H112" i="397"/>
  <c r="W111" i="397"/>
  <c r="P111" i="397"/>
  <c r="N111" i="397"/>
  <c r="O111" i="397" s="1"/>
  <c r="AF111" i="397"/>
  <c r="H111" i="397"/>
  <c r="W110" i="397"/>
  <c r="N110" i="397"/>
  <c r="AG110" i="397" s="1"/>
  <c r="P110" i="397"/>
  <c r="H110" i="397"/>
  <c r="W109" i="397"/>
  <c r="N109" i="397"/>
  <c r="N121" i="397" s="1"/>
  <c r="P109" i="397"/>
  <c r="H109" i="397"/>
  <c r="AE108" i="397"/>
  <c r="AD108" i="397"/>
  <c r="AA108" i="397"/>
  <c r="Z108" i="397"/>
  <c r="W108" i="397"/>
  <c r="M108" i="397"/>
  <c r="W107" i="397"/>
  <c r="H107" i="397"/>
  <c r="AG106" i="397"/>
  <c r="AF106" i="397"/>
  <c r="W106" i="397"/>
  <c r="H106" i="397"/>
  <c r="AG105" i="397"/>
  <c r="AF105" i="397"/>
  <c r="W105" i="397"/>
  <c r="H105" i="397"/>
  <c r="AG104" i="397"/>
  <c r="AF104" i="397"/>
  <c r="W104" i="397"/>
  <c r="H104" i="397"/>
  <c r="W103" i="397"/>
  <c r="N103" i="397" s="1"/>
  <c r="P103" i="397"/>
  <c r="H103" i="397"/>
  <c r="AG102" i="397"/>
  <c r="W102" i="397"/>
  <c r="N102" i="397"/>
  <c r="AF102" i="397" s="1"/>
  <c r="P102" i="397"/>
  <c r="H102" i="397"/>
  <c r="W101" i="397"/>
  <c r="N101" i="397" s="1"/>
  <c r="P101" i="397"/>
  <c r="H101" i="397"/>
  <c r="AG100" i="397"/>
  <c r="W100" i="397"/>
  <c r="N100" i="397"/>
  <c r="AF100" i="397" s="1"/>
  <c r="P100" i="397"/>
  <c r="H100" i="397"/>
  <c r="W99" i="397"/>
  <c r="N99" i="397" s="1"/>
  <c r="P99" i="397"/>
  <c r="H99" i="397"/>
  <c r="AG98" i="397"/>
  <c r="W98" i="397"/>
  <c r="N98" i="397"/>
  <c r="AF98" i="397" s="1"/>
  <c r="P98" i="397"/>
  <c r="H98" i="397"/>
  <c r="W97" i="397"/>
  <c r="N97" i="397" s="1"/>
  <c r="P97" i="397"/>
  <c r="H97" i="397"/>
  <c r="W96" i="397"/>
  <c r="N96" i="397" s="1"/>
  <c r="P108" i="397"/>
  <c r="H96" i="397"/>
  <c r="AE95" i="397"/>
  <c r="AD95" i="397"/>
  <c r="AA95" i="397"/>
  <c r="Z95" i="397"/>
  <c r="M95" i="397"/>
  <c r="AG94" i="397"/>
  <c r="AF94" i="397"/>
  <c r="W94" i="397"/>
  <c r="H94" i="397"/>
  <c r="AG93" i="397"/>
  <c r="AF93" i="397"/>
  <c r="W93" i="397"/>
  <c r="H93" i="397"/>
  <c r="AG92" i="397"/>
  <c r="AF92" i="397"/>
  <c r="W92" i="397"/>
  <c r="H92" i="397"/>
  <c r="AG91" i="397"/>
  <c r="AF91" i="397"/>
  <c r="W91" i="397"/>
  <c r="H91" i="397"/>
  <c r="AG90" i="397"/>
  <c r="AF90" i="397"/>
  <c r="W90" i="397"/>
  <c r="H90" i="397"/>
  <c r="W89" i="397"/>
  <c r="N89" i="397" s="1"/>
  <c r="P89" i="397"/>
  <c r="H89" i="397"/>
  <c r="W88" i="397"/>
  <c r="N88" i="397"/>
  <c r="AG88" i="397" s="1"/>
  <c r="H88" i="397"/>
  <c r="W87" i="397"/>
  <c r="N87" i="397" s="1"/>
  <c r="P87" i="397"/>
  <c r="H87" i="397"/>
  <c r="W86" i="397"/>
  <c r="N86" i="397"/>
  <c r="AG86" i="397" s="1"/>
  <c r="H86" i="397"/>
  <c r="W85" i="397"/>
  <c r="N85" i="397" s="1"/>
  <c r="P85" i="397"/>
  <c r="H85" i="397"/>
  <c r="W84" i="397"/>
  <c r="N84" i="397"/>
  <c r="H84" i="397"/>
  <c r="W83" i="397"/>
  <c r="N83" i="397"/>
  <c r="AG83" i="397" s="1"/>
  <c r="H83" i="397"/>
  <c r="AE82" i="397"/>
  <c r="AD82" i="397"/>
  <c r="AA82" i="397"/>
  <c r="Z82" i="397"/>
  <c r="M82" i="397"/>
  <c r="W81" i="397"/>
  <c r="AG80" i="397"/>
  <c r="AF80" i="397"/>
  <c r="W80" i="397"/>
  <c r="H80" i="397"/>
  <c r="AG79" i="397"/>
  <c r="AF79" i="397"/>
  <c r="W79" i="397"/>
  <c r="H79" i="397"/>
  <c r="AG78" i="397"/>
  <c r="AF78" i="397"/>
  <c r="W78" i="397"/>
  <c r="H78" i="397"/>
  <c r="AG77" i="397"/>
  <c r="AF77" i="397"/>
  <c r="W77" i="397"/>
  <c r="H77" i="397"/>
  <c r="AG76" i="397"/>
  <c r="AF76" i="397"/>
  <c r="W76" i="397"/>
  <c r="H76" i="397"/>
  <c r="W75" i="397"/>
  <c r="N75" i="397" s="1"/>
  <c r="O75" i="397" s="1"/>
  <c r="P75" i="397"/>
  <c r="H75" i="397"/>
  <c r="W74" i="397"/>
  <c r="N74" i="397"/>
  <c r="P74" i="397"/>
  <c r="H74" i="397"/>
  <c r="W73" i="397"/>
  <c r="N73" i="397"/>
  <c r="AG73" i="397" s="1"/>
  <c r="H73" i="397"/>
  <c r="W72" i="397"/>
  <c r="N72" i="397" s="1"/>
  <c r="P72" i="397"/>
  <c r="H72" i="397"/>
  <c r="W71" i="397"/>
  <c r="N71" i="397"/>
  <c r="O71" i="397" s="1"/>
  <c r="H71" i="397"/>
  <c r="W70" i="397"/>
  <c r="N70" i="397"/>
  <c r="AF70" i="397" s="1"/>
  <c r="P82" i="397"/>
  <c r="H70" i="397"/>
  <c r="AE69" i="397"/>
  <c r="AD69" i="397"/>
  <c r="AA69" i="397"/>
  <c r="Z69" i="397"/>
  <c r="W69" i="397"/>
  <c r="M69" i="397"/>
  <c r="W68" i="397"/>
  <c r="H68" i="397"/>
  <c r="AG67" i="397"/>
  <c r="AF67" i="397"/>
  <c r="W67" i="397"/>
  <c r="H67" i="397"/>
  <c r="AG66" i="397"/>
  <c r="AF66" i="397"/>
  <c r="W66" i="397"/>
  <c r="H66" i="397"/>
  <c r="AG65" i="397"/>
  <c r="AF65" i="397"/>
  <c r="W65" i="397"/>
  <c r="H65" i="397"/>
  <c r="AG64" i="397"/>
  <c r="AF64" i="397"/>
  <c r="W64" i="397"/>
  <c r="H64" i="397"/>
  <c r="AG63" i="397"/>
  <c r="AF63" i="397"/>
  <c r="W63" i="397"/>
  <c r="H63" i="397"/>
  <c r="AG62" i="397"/>
  <c r="AF62" i="397"/>
  <c r="W62" i="397"/>
  <c r="H62" i="397"/>
  <c r="W61" i="397"/>
  <c r="P61" i="397"/>
  <c r="N61" i="397"/>
  <c r="AG61" i="397" s="1"/>
  <c r="H61" i="397"/>
  <c r="W60" i="397"/>
  <c r="N60" i="397"/>
  <c r="AF60" i="397" s="1"/>
  <c r="P60" i="397"/>
  <c r="H60" i="397"/>
  <c r="W59" i="397"/>
  <c r="P59" i="397"/>
  <c r="N59" i="397"/>
  <c r="AG59" i="397" s="1"/>
  <c r="H59" i="397"/>
  <c r="W58" i="397"/>
  <c r="P58" i="397"/>
  <c r="N58" i="397"/>
  <c r="AF58" i="397" s="1"/>
  <c r="H58" i="397"/>
  <c r="W57" i="397"/>
  <c r="N57" i="397" s="1"/>
  <c r="P57" i="397"/>
  <c r="H57" i="397"/>
  <c r="AE56" i="397"/>
  <c r="AD56" i="397"/>
  <c r="AA56" i="397"/>
  <c r="Z56" i="397"/>
  <c r="W56" i="397"/>
  <c r="M56" i="397"/>
  <c r="W55" i="397"/>
  <c r="H55" i="397"/>
  <c r="AG54" i="397"/>
  <c r="AF54" i="397"/>
  <c r="W54" i="397"/>
  <c r="H54" i="397"/>
  <c r="AG53" i="397"/>
  <c r="AF53" i="397"/>
  <c r="W53" i="397"/>
  <c r="H53" i="397"/>
  <c r="AG52" i="397"/>
  <c r="AF52" i="397"/>
  <c r="W52" i="397"/>
  <c r="H52" i="397"/>
  <c r="AG51" i="397"/>
  <c r="AF51" i="397"/>
  <c r="W51" i="397"/>
  <c r="H51" i="397"/>
  <c r="W50" i="397"/>
  <c r="N50" i="397" s="1"/>
  <c r="P50" i="397"/>
  <c r="H50" i="397"/>
  <c r="AG49" i="397"/>
  <c r="W49" i="397"/>
  <c r="N49" i="397"/>
  <c r="AF49" i="397" s="1"/>
  <c r="P49" i="397"/>
  <c r="H49" i="397"/>
  <c r="W48" i="397"/>
  <c r="N48" i="397" s="1"/>
  <c r="H48" i="397"/>
  <c r="W47" i="397"/>
  <c r="N47" i="397" s="1"/>
  <c r="P47" i="397"/>
  <c r="H47" i="397"/>
  <c r="W46" i="397"/>
  <c r="N46" i="397" s="1"/>
  <c r="H46" i="397"/>
  <c r="W45" i="397"/>
  <c r="N45" i="397" s="1"/>
  <c r="P45" i="397"/>
  <c r="H45" i="397"/>
  <c r="W44" i="397"/>
  <c r="N44" i="397" s="1"/>
  <c r="P56" i="397"/>
  <c r="H44" i="397"/>
  <c r="AE43" i="397"/>
  <c r="AD43" i="397"/>
  <c r="AA43" i="397"/>
  <c r="Z43" i="397"/>
  <c r="M43" i="397"/>
  <c r="W42" i="397"/>
  <c r="H42" i="397"/>
  <c r="W41" i="397"/>
  <c r="AG40" i="397"/>
  <c r="AF40" i="397"/>
  <c r="W40" i="397"/>
  <c r="H40" i="397"/>
  <c r="AG39" i="397"/>
  <c r="AF39" i="397"/>
  <c r="W39" i="397"/>
  <c r="H39" i="397"/>
  <c r="AG38" i="397"/>
  <c r="W38" i="397"/>
  <c r="P38" i="397"/>
  <c r="N38" i="397"/>
  <c r="AF38" i="397" s="1"/>
  <c r="H38" i="397"/>
  <c r="W37" i="397"/>
  <c r="N37" i="397" s="1"/>
  <c r="P37" i="397"/>
  <c r="H37" i="397"/>
  <c r="AG36" i="397"/>
  <c r="W36" i="397"/>
  <c r="P36" i="397"/>
  <c r="N36" i="397"/>
  <c r="AF36" i="397" s="1"/>
  <c r="H36" i="397"/>
  <c r="W35" i="397"/>
  <c r="N35" i="397" s="1"/>
  <c r="P35" i="397"/>
  <c r="H35" i="397"/>
  <c r="AG34" i="397"/>
  <c r="W34" i="397"/>
  <c r="P34" i="397"/>
  <c r="N34" i="397"/>
  <c r="AF34" i="397" s="1"/>
  <c r="H34" i="397"/>
  <c r="W33" i="397"/>
  <c r="N33" i="397" s="1"/>
  <c r="P33" i="397"/>
  <c r="H33" i="397"/>
  <c r="AG32" i="397"/>
  <c r="W32" i="397"/>
  <c r="P32" i="397"/>
  <c r="N32" i="397"/>
  <c r="AF32" i="397" s="1"/>
  <c r="H32" i="397"/>
  <c r="AF31" i="397"/>
  <c r="W31" i="397"/>
  <c r="P31" i="397"/>
  <c r="N31" i="397"/>
  <c r="N43" i="397" s="1"/>
  <c r="H31" i="397"/>
  <c r="AE30" i="397"/>
  <c r="AD30" i="397"/>
  <c r="AA30" i="397"/>
  <c r="Z30" i="397"/>
  <c r="M30" i="397"/>
  <c r="AF29" i="397"/>
  <c r="W29" i="397"/>
  <c r="H29" i="397"/>
  <c r="AG28" i="397"/>
  <c r="AF28" i="397"/>
  <c r="W28" i="397"/>
  <c r="H28" i="397"/>
  <c r="AG27" i="397"/>
  <c r="AF27" i="397"/>
  <c r="W27" i="397"/>
  <c r="H27" i="397"/>
  <c r="AG26" i="397"/>
  <c r="AF26" i="397"/>
  <c r="W26" i="397"/>
  <c r="H26" i="397"/>
  <c r="AG25" i="397"/>
  <c r="AF25" i="397"/>
  <c r="W25" i="397"/>
  <c r="H25" i="397"/>
  <c r="AG24" i="397"/>
  <c r="AF24" i="397"/>
  <c r="W24" i="397"/>
  <c r="H24" i="397"/>
  <c r="AG23" i="397"/>
  <c r="W23" i="397"/>
  <c r="O23" i="397"/>
  <c r="N23" i="397"/>
  <c r="AF23" i="397" s="1"/>
  <c r="P23" i="397"/>
  <c r="H23" i="397"/>
  <c r="AG22" i="397"/>
  <c r="W22" i="397"/>
  <c r="N22" i="397" s="1"/>
  <c r="AF22" i="397" s="1"/>
  <c r="P22" i="397"/>
  <c r="H22" i="397"/>
  <c r="W21" i="397"/>
  <c r="N21" i="397"/>
  <c r="AF21" i="397" s="1"/>
  <c r="P21" i="397"/>
  <c r="H21" i="397"/>
  <c r="W20" i="397"/>
  <c r="P20" i="397"/>
  <c r="N20" i="397"/>
  <c r="AG20" i="397" s="1"/>
  <c r="H20" i="397"/>
  <c r="W19" i="397"/>
  <c r="N19" i="397"/>
  <c r="AF19" i="397" s="1"/>
  <c r="P19" i="397"/>
  <c r="H19" i="397"/>
  <c r="W18" i="397"/>
  <c r="N18" i="397"/>
  <c r="O18" i="397" s="1"/>
  <c r="H18" i="397"/>
  <c r="AE17" i="397"/>
  <c r="AD17" i="397"/>
  <c r="AA17" i="397"/>
  <c r="Z17" i="397"/>
  <c r="W17" i="397"/>
  <c r="M17" i="397"/>
  <c r="AG16" i="397"/>
  <c r="AF16" i="397"/>
  <c r="W16" i="397"/>
  <c r="H16" i="397"/>
  <c r="AG15" i="397"/>
  <c r="AF15" i="397"/>
  <c r="W15" i="397"/>
  <c r="H15" i="397"/>
  <c r="AG14" i="397"/>
  <c r="AF14" i="397"/>
  <c r="W14" i="397"/>
  <c r="H14" i="397"/>
  <c r="AG13" i="397"/>
  <c r="AF13" i="397"/>
  <c r="W13" i="397"/>
  <c r="H13" i="397"/>
  <c r="AG12" i="397"/>
  <c r="AF12" i="397"/>
  <c r="W12" i="397"/>
  <c r="H12" i="397"/>
  <c r="W11" i="397"/>
  <c r="N11" i="397" s="1"/>
  <c r="P11" i="397"/>
  <c r="H11" i="397"/>
  <c r="W10" i="397"/>
  <c r="N10" i="397" s="1"/>
  <c r="H10" i="397"/>
  <c r="W9" i="397"/>
  <c r="N9" i="397" s="1"/>
  <c r="P9" i="397"/>
  <c r="H9" i="397"/>
  <c r="W8" i="397"/>
  <c r="N8" i="397"/>
  <c r="O8" i="397" s="1"/>
  <c r="H8" i="397"/>
  <c r="W7" i="397"/>
  <c r="N7" i="397" s="1"/>
  <c r="P7" i="397"/>
  <c r="H7" i="397"/>
  <c r="W6" i="397"/>
  <c r="N6" i="397"/>
  <c r="AG6" i="397" s="1"/>
  <c r="H6" i="397"/>
  <c r="W5" i="397"/>
  <c r="N5" i="397"/>
  <c r="P17" i="397"/>
  <c r="H5" i="397"/>
  <c r="AE2" i="397"/>
  <c r="AD2" i="397"/>
  <c r="AA2" i="397"/>
  <c r="Z2" i="397"/>
  <c r="I2" i="397"/>
  <c r="I1" i="397"/>
  <c r="E1" i="397"/>
  <c r="R30" i="401" l="1"/>
  <c r="S18" i="401" s="1"/>
  <c r="Q30" i="401"/>
  <c r="Q164" i="403"/>
  <c r="R164" i="403"/>
  <c r="R139" i="403"/>
  <c r="Q139" i="403"/>
  <c r="Q125" i="403"/>
  <c r="R125" i="403"/>
  <c r="R124" i="403"/>
  <c r="Q124" i="403"/>
  <c r="R140" i="403"/>
  <c r="Q140" i="403"/>
  <c r="Q112" i="403"/>
  <c r="R112" i="403"/>
  <c r="R115" i="403"/>
  <c r="Q115" i="403"/>
  <c r="Q73" i="403"/>
  <c r="R73" i="403"/>
  <c r="R117" i="403"/>
  <c r="Q117" i="403"/>
  <c r="R86" i="403"/>
  <c r="Q86" i="403"/>
  <c r="R34" i="403"/>
  <c r="Q34" i="403"/>
  <c r="R21" i="403"/>
  <c r="Q21" i="403"/>
  <c r="R143" i="402"/>
  <c r="Q143" i="402"/>
  <c r="Q97" i="403"/>
  <c r="Q82" i="403"/>
  <c r="AG82" i="403"/>
  <c r="AH70" i="403" s="1"/>
  <c r="AF82" i="403"/>
  <c r="Q49" i="403"/>
  <c r="R49" i="403"/>
  <c r="R10" i="403"/>
  <c r="Q10" i="403"/>
  <c r="Q165" i="402"/>
  <c r="R165" i="402"/>
  <c r="R151" i="402"/>
  <c r="R5" i="403"/>
  <c r="Q5" i="403"/>
  <c r="O17" i="403"/>
  <c r="R136" i="402"/>
  <c r="Q136" i="402"/>
  <c r="R115" i="402"/>
  <c r="Q115" i="402"/>
  <c r="R45" i="402"/>
  <c r="Q45" i="402"/>
  <c r="Q153" i="402"/>
  <c r="R142" i="402"/>
  <c r="Q142" i="402"/>
  <c r="AG147" i="402"/>
  <c r="AH135" i="402" s="1"/>
  <c r="AF147" i="402"/>
  <c r="Q61" i="402"/>
  <c r="R61" i="402"/>
  <c r="Q34" i="402"/>
  <c r="R34" i="402"/>
  <c r="Q9" i="403"/>
  <c r="R9" i="403"/>
  <c r="Q163" i="402"/>
  <c r="R163" i="402"/>
  <c r="AG160" i="402"/>
  <c r="AH148" i="402" s="1"/>
  <c r="AF160" i="402"/>
  <c r="R116" i="402"/>
  <c r="Q116" i="402"/>
  <c r="R112" i="402"/>
  <c r="Q112" i="402"/>
  <c r="R18" i="402"/>
  <c r="Q18" i="402"/>
  <c r="O30" i="402"/>
  <c r="Q103" i="402"/>
  <c r="Q82" i="402"/>
  <c r="AG82" i="402"/>
  <c r="AH70" i="402" s="1"/>
  <c r="AF82" i="402"/>
  <c r="R46" i="402"/>
  <c r="Q46" i="402"/>
  <c r="R109" i="402"/>
  <c r="Q109" i="402"/>
  <c r="O121" i="402"/>
  <c r="Q100" i="402"/>
  <c r="R100" i="402"/>
  <c r="O69" i="402"/>
  <c r="R69" i="402" s="1"/>
  <c r="S57" i="402" s="1"/>
  <c r="R57" i="402"/>
  <c r="Q57" i="402"/>
  <c r="R163" i="401"/>
  <c r="Q163" i="401"/>
  <c r="R87" i="402"/>
  <c r="O56" i="402"/>
  <c r="R56" i="402" s="1"/>
  <c r="S44" i="402" s="1"/>
  <c r="AG95" i="401"/>
  <c r="AH83" i="401" s="1"/>
  <c r="AF95" i="401"/>
  <c r="R89" i="402"/>
  <c r="Q89" i="402"/>
  <c r="R35" i="402"/>
  <c r="Q35" i="402"/>
  <c r="R114" i="401"/>
  <c r="Q114" i="401"/>
  <c r="Q135" i="401"/>
  <c r="O147" i="401"/>
  <c r="R135" i="401"/>
  <c r="R115" i="401"/>
  <c r="Q101" i="401"/>
  <c r="Q85" i="401"/>
  <c r="R6" i="402"/>
  <c r="Q6" i="402"/>
  <c r="AG173" i="401"/>
  <c r="AH161" i="401" s="1"/>
  <c r="AF173" i="401"/>
  <c r="Q126" i="401"/>
  <c r="R126" i="401"/>
  <c r="AG134" i="401"/>
  <c r="AH122" i="401" s="1"/>
  <c r="Q11" i="401"/>
  <c r="R11" i="401"/>
  <c r="Q7" i="401"/>
  <c r="R7" i="401"/>
  <c r="AF17" i="402"/>
  <c r="AG17" i="402"/>
  <c r="AH5" i="402" s="1"/>
  <c r="R87" i="401"/>
  <c r="Q82" i="401"/>
  <c r="AG82" i="401"/>
  <c r="AH70" i="401" s="1"/>
  <c r="AF82" i="401"/>
  <c r="R45" i="401"/>
  <c r="Q45" i="401"/>
  <c r="R5" i="401"/>
  <c r="Q5" i="401"/>
  <c r="O17" i="401"/>
  <c r="Q33" i="401"/>
  <c r="R33" i="401"/>
  <c r="R32" i="401"/>
  <c r="AG56" i="401"/>
  <c r="AH44" i="401" s="1"/>
  <c r="Q56" i="401"/>
  <c r="AF56" i="401"/>
  <c r="O43" i="401"/>
  <c r="R31" i="401"/>
  <c r="Q31" i="401"/>
  <c r="R47" i="401"/>
  <c r="Q47" i="401"/>
  <c r="R20" i="401"/>
  <c r="Q20" i="401"/>
  <c r="Q153" i="403"/>
  <c r="R153" i="403"/>
  <c r="Q149" i="403"/>
  <c r="R149" i="403"/>
  <c r="R137" i="403"/>
  <c r="Q137" i="403"/>
  <c r="R136" i="403"/>
  <c r="Q136" i="403"/>
  <c r="R128" i="403"/>
  <c r="Q128" i="403"/>
  <c r="Q123" i="403"/>
  <c r="R123" i="403"/>
  <c r="AG121" i="403"/>
  <c r="AH109" i="403" s="1"/>
  <c r="AF121" i="403"/>
  <c r="R85" i="403"/>
  <c r="Q85" i="403"/>
  <c r="Q114" i="403"/>
  <c r="R114" i="403"/>
  <c r="Q116" i="403"/>
  <c r="R116" i="403"/>
  <c r="Q148" i="403"/>
  <c r="O160" i="403"/>
  <c r="R148" i="403"/>
  <c r="R138" i="403"/>
  <c r="Q138" i="403"/>
  <c r="R88" i="403"/>
  <c r="Q88" i="403"/>
  <c r="Q44" i="403"/>
  <c r="O56" i="403"/>
  <c r="R56" i="403" s="1"/>
  <c r="S44" i="403" s="1"/>
  <c r="R44" i="403"/>
  <c r="AG56" i="403"/>
  <c r="AH44" i="403" s="1"/>
  <c r="Q56" i="403"/>
  <c r="AF56" i="403"/>
  <c r="Q37" i="403"/>
  <c r="R37" i="403"/>
  <c r="R19" i="403"/>
  <c r="Q19" i="403"/>
  <c r="R141" i="402"/>
  <c r="Q141" i="402"/>
  <c r="R72" i="403"/>
  <c r="Q72" i="403"/>
  <c r="Q154" i="402"/>
  <c r="R154" i="402"/>
  <c r="Q150" i="402"/>
  <c r="R150" i="402"/>
  <c r="Q110" i="403"/>
  <c r="R110" i="403"/>
  <c r="R103" i="403"/>
  <c r="Q103" i="403"/>
  <c r="AG69" i="403"/>
  <c r="AH57" i="403" s="1"/>
  <c r="Q69" i="403"/>
  <c r="AF69" i="403"/>
  <c r="R33" i="403"/>
  <c r="Q33" i="403"/>
  <c r="Q7" i="403"/>
  <c r="R7" i="403"/>
  <c r="R138" i="402"/>
  <c r="Q138" i="402"/>
  <c r="R8" i="403"/>
  <c r="Q8" i="403"/>
  <c r="AG17" i="403"/>
  <c r="AH5" i="403" s="1"/>
  <c r="AF17" i="403"/>
  <c r="R113" i="402"/>
  <c r="Q113" i="402"/>
  <c r="Q102" i="402"/>
  <c r="R102" i="402"/>
  <c r="Q88" i="402"/>
  <c r="R88" i="402"/>
  <c r="Q84" i="402"/>
  <c r="R84" i="402"/>
  <c r="Q32" i="402"/>
  <c r="R32" i="402"/>
  <c r="R127" i="402"/>
  <c r="Q127" i="402"/>
  <c r="AG56" i="402"/>
  <c r="AH44" i="402" s="1"/>
  <c r="Q56" i="402"/>
  <c r="AF56" i="402"/>
  <c r="R23" i="402"/>
  <c r="Q23" i="402"/>
  <c r="Q85" i="402"/>
  <c r="R70" i="402"/>
  <c r="Q70" i="402"/>
  <c r="O82" i="402"/>
  <c r="R82" i="402" s="1"/>
  <c r="S70" i="402" s="1"/>
  <c r="R48" i="402"/>
  <c r="Q48" i="402"/>
  <c r="R20" i="402"/>
  <c r="Q20" i="402"/>
  <c r="R122" i="401"/>
  <c r="Q122" i="401"/>
  <c r="O134" i="401"/>
  <c r="AG121" i="402"/>
  <c r="AH109" i="402" s="1"/>
  <c r="AF121" i="402"/>
  <c r="R7" i="402"/>
  <c r="Q7" i="402"/>
  <c r="R154" i="401"/>
  <c r="Q154" i="401"/>
  <c r="Q124" i="402"/>
  <c r="R124" i="402"/>
  <c r="Q102" i="401"/>
  <c r="R102" i="401"/>
  <c r="Q98" i="401"/>
  <c r="R98" i="401"/>
  <c r="Q84" i="401"/>
  <c r="R84" i="401"/>
  <c r="Q59" i="401"/>
  <c r="R59" i="401"/>
  <c r="O134" i="402"/>
  <c r="R122" i="402"/>
  <c r="Q122" i="402"/>
  <c r="O108" i="402"/>
  <c r="R96" i="402"/>
  <c r="Q96" i="402"/>
  <c r="R71" i="402"/>
  <c r="Q71" i="402"/>
  <c r="O43" i="402"/>
  <c r="R43" i="402" s="1"/>
  <c r="S31" i="402" s="1"/>
  <c r="Q11" i="402"/>
  <c r="R11" i="402"/>
  <c r="R162" i="401"/>
  <c r="Q162" i="401"/>
  <c r="R151" i="401"/>
  <c r="Q151" i="401"/>
  <c r="AG121" i="401"/>
  <c r="AH109" i="401" s="1"/>
  <c r="AF121" i="401"/>
  <c r="R116" i="401"/>
  <c r="Q116" i="401"/>
  <c r="AF147" i="401"/>
  <c r="AG147" i="401"/>
  <c r="AH135" i="401" s="1"/>
  <c r="Q142" i="401"/>
  <c r="R142" i="401"/>
  <c r="Q111" i="401"/>
  <c r="R85" i="401"/>
  <c r="R50" i="401"/>
  <c r="Q50" i="401"/>
  <c r="R23" i="401"/>
  <c r="Q23" i="401"/>
  <c r="AF160" i="401"/>
  <c r="AG160" i="401"/>
  <c r="AH148" i="401" s="1"/>
  <c r="Q138" i="401"/>
  <c r="R138" i="401"/>
  <c r="O108" i="401"/>
  <c r="R96" i="401"/>
  <c r="Q96" i="401"/>
  <c r="R71" i="401"/>
  <c r="Q71" i="401"/>
  <c r="O69" i="401"/>
  <c r="R69" i="401" s="1"/>
  <c r="S57" i="401" s="1"/>
  <c r="R57" i="401"/>
  <c r="Q57" i="401"/>
  <c r="AG30" i="401"/>
  <c r="AH18" i="401" s="1"/>
  <c r="AF30" i="401"/>
  <c r="R5" i="402"/>
  <c r="Q5" i="402"/>
  <c r="O17" i="402"/>
  <c r="Q99" i="401"/>
  <c r="R70" i="401"/>
  <c r="Q70" i="401"/>
  <c r="O82" i="401"/>
  <c r="R82" i="401" s="1"/>
  <c r="S70" i="401" s="1"/>
  <c r="AG17" i="401"/>
  <c r="AH5" i="401" s="1"/>
  <c r="AF17" i="401"/>
  <c r="R22" i="401"/>
  <c r="Q22" i="401"/>
  <c r="AG173" i="403"/>
  <c r="AH161" i="403" s="1"/>
  <c r="AF173" i="403"/>
  <c r="Q162" i="403"/>
  <c r="R162" i="403"/>
  <c r="R143" i="403"/>
  <c r="Q143" i="403"/>
  <c r="R142" i="403"/>
  <c r="Q142" i="403"/>
  <c r="O147" i="403"/>
  <c r="R135" i="403"/>
  <c r="Q135" i="403"/>
  <c r="R102" i="403"/>
  <c r="Q102" i="403"/>
  <c r="R100" i="403"/>
  <c r="Q100" i="403"/>
  <c r="AG134" i="403"/>
  <c r="AH122" i="403" s="1"/>
  <c r="AF134" i="403"/>
  <c r="R98" i="403"/>
  <c r="Q98" i="403"/>
  <c r="O108" i="403"/>
  <c r="Q84" i="403"/>
  <c r="R84" i="403"/>
  <c r="R60" i="403"/>
  <c r="Q60" i="403"/>
  <c r="AG108" i="403"/>
  <c r="AH96" i="403" s="1"/>
  <c r="AF108" i="403"/>
  <c r="O95" i="403"/>
  <c r="Q83" i="403"/>
  <c r="R83" i="403"/>
  <c r="Q163" i="403"/>
  <c r="R58" i="403"/>
  <c r="Q58" i="403"/>
  <c r="R38" i="403"/>
  <c r="Q38" i="403"/>
  <c r="R35" i="403"/>
  <c r="Q35" i="403"/>
  <c r="R71" i="403"/>
  <c r="Q71" i="403"/>
  <c r="Q47" i="403"/>
  <c r="R47" i="403"/>
  <c r="Q43" i="403"/>
  <c r="AF43" i="403"/>
  <c r="AG43" i="403"/>
  <c r="AH31" i="403" s="1"/>
  <c r="R139" i="402"/>
  <c r="Q139" i="402"/>
  <c r="R129" i="402"/>
  <c r="Q129" i="402"/>
  <c r="O30" i="403"/>
  <c r="R111" i="402"/>
  <c r="Q111" i="402"/>
  <c r="R74" i="402"/>
  <c r="Q74" i="402"/>
  <c r="R49" i="402"/>
  <c r="Q49" i="402"/>
  <c r="Q11" i="403"/>
  <c r="R11" i="403"/>
  <c r="R161" i="402"/>
  <c r="Q161" i="402"/>
  <c r="O173" i="402"/>
  <c r="Q149" i="402"/>
  <c r="Q83" i="402"/>
  <c r="O95" i="402"/>
  <c r="R83" i="402"/>
  <c r="Q59" i="402"/>
  <c r="R59" i="402"/>
  <c r="Q38" i="402"/>
  <c r="R38" i="402"/>
  <c r="O160" i="402"/>
  <c r="R148" i="402"/>
  <c r="Q148" i="402"/>
  <c r="R114" i="402"/>
  <c r="Q114" i="402"/>
  <c r="R110" i="402"/>
  <c r="Q110" i="402"/>
  <c r="R21" i="402"/>
  <c r="Q21" i="402"/>
  <c r="Q98" i="402"/>
  <c r="R98" i="402"/>
  <c r="R73" i="402"/>
  <c r="Q73" i="402"/>
  <c r="R33" i="402"/>
  <c r="Q33" i="402"/>
  <c r="AF69" i="402"/>
  <c r="AG69" i="402"/>
  <c r="AH57" i="402" s="1"/>
  <c r="Q69" i="402"/>
  <c r="R152" i="401"/>
  <c r="Q152" i="401"/>
  <c r="Q83" i="401"/>
  <c r="O95" i="401"/>
  <c r="R83" i="401"/>
  <c r="AF134" i="402"/>
  <c r="AG134" i="402"/>
  <c r="AH122" i="402" s="1"/>
  <c r="R50" i="402"/>
  <c r="Q50" i="402"/>
  <c r="R110" i="401"/>
  <c r="Q110" i="401"/>
  <c r="Q140" i="401"/>
  <c r="R140" i="401"/>
  <c r="Q124" i="401"/>
  <c r="R124" i="401"/>
  <c r="Q97" i="401"/>
  <c r="R75" i="401"/>
  <c r="Q75" i="401"/>
  <c r="R48" i="401"/>
  <c r="Q48" i="401"/>
  <c r="R21" i="401"/>
  <c r="Q21" i="401"/>
  <c r="Q9" i="401"/>
  <c r="R9" i="401"/>
  <c r="R8" i="402"/>
  <c r="Q8" i="402"/>
  <c r="Q136" i="401"/>
  <c r="R136" i="401"/>
  <c r="Q113" i="401"/>
  <c r="R73" i="401"/>
  <c r="Q73" i="401"/>
  <c r="O56" i="401"/>
  <c r="R56" i="401" s="1"/>
  <c r="S44" i="401" s="1"/>
  <c r="R44" i="401"/>
  <c r="Q44" i="401"/>
  <c r="Q35" i="401"/>
  <c r="R35" i="401"/>
  <c r="Q161" i="403"/>
  <c r="O173" i="403"/>
  <c r="R161" i="403"/>
  <c r="Q151" i="403"/>
  <c r="R151" i="403"/>
  <c r="R141" i="403"/>
  <c r="Q141" i="403"/>
  <c r="R129" i="403"/>
  <c r="Q129" i="403"/>
  <c r="R165" i="403"/>
  <c r="Q165" i="403"/>
  <c r="AG147" i="403"/>
  <c r="AH135" i="403" s="1"/>
  <c r="AF147" i="403"/>
  <c r="Q127" i="403"/>
  <c r="R127" i="403"/>
  <c r="R126" i="403"/>
  <c r="Q126" i="403"/>
  <c r="R113" i="403"/>
  <c r="Q113" i="403"/>
  <c r="Q109" i="403"/>
  <c r="O121" i="403"/>
  <c r="R109" i="403"/>
  <c r="O134" i="403"/>
  <c r="R122" i="403"/>
  <c r="Q122" i="403"/>
  <c r="AF95" i="403"/>
  <c r="AG95" i="403"/>
  <c r="AH83" i="403" s="1"/>
  <c r="AG160" i="403"/>
  <c r="AH148" i="403" s="1"/>
  <c r="AF160" i="403"/>
  <c r="R111" i="403"/>
  <c r="Q111" i="403"/>
  <c r="R32" i="403"/>
  <c r="O43" i="403"/>
  <c r="R43" i="403" s="1"/>
  <c r="S31" i="403" s="1"/>
  <c r="Q32" i="403"/>
  <c r="O69" i="403"/>
  <c r="R69" i="403" s="1"/>
  <c r="S57" i="403" s="1"/>
  <c r="R23" i="403"/>
  <c r="Q23" i="403"/>
  <c r="R137" i="402"/>
  <c r="Q137" i="402"/>
  <c r="AG30" i="403"/>
  <c r="AH18" i="403" s="1"/>
  <c r="AF30" i="403"/>
  <c r="Q152" i="402"/>
  <c r="R152" i="402"/>
  <c r="R87" i="403"/>
  <c r="Q87" i="403"/>
  <c r="R70" i="403"/>
  <c r="Q70" i="403"/>
  <c r="O82" i="403"/>
  <c r="R36" i="403"/>
  <c r="Q36" i="403"/>
  <c r="R75" i="403"/>
  <c r="Q75" i="403"/>
  <c r="Q45" i="403"/>
  <c r="R45" i="403"/>
  <c r="R22" i="403"/>
  <c r="Q22" i="403"/>
  <c r="R117" i="402"/>
  <c r="Q117" i="402"/>
  <c r="R72" i="402"/>
  <c r="Q72" i="402"/>
  <c r="R47" i="402"/>
  <c r="Q47" i="402"/>
  <c r="R20" i="403"/>
  <c r="Q20" i="403"/>
  <c r="R6" i="403"/>
  <c r="Q6" i="403"/>
  <c r="AG173" i="402"/>
  <c r="AH161" i="402" s="1"/>
  <c r="AF173" i="402"/>
  <c r="R135" i="402"/>
  <c r="Q135" i="402"/>
  <c r="O147" i="402"/>
  <c r="Q104" i="402"/>
  <c r="R104" i="402"/>
  <c r="AG95" i="402"/>
  <c r="AH83" i="402" s="1"/>
  <c r="AF95" i="402"/>
  <c r="Q86" i="402"/>
  <c r="R86" i="402"/>
  <c r="Q36" i="402"/>
  <c r="R36" i="402"/>
  <c r="R140" i="402"/>
  <c r="Q140" i="402"/>
  <c r="R19" i="402"/>
  <c r="Q19" i="402"/>
  <c r="R75" i="402"/>
  <c r="Q75" i="402"/>
  <c r="Q43" i="402"/>
  <c r="AG43" i="402"/>
  <c r="AH31" i="402" s="1"/>
  <c r="AF43" i="402"/>
  <c r="Q10" i="402"/>
  <c r="R10" i="402"/>
  <c r="R165" i="401"/>
  <c r="Q165" i="401"/>
  <c r="R150" i="401"/>
  <c r="Q150" i="401"/>
  <c r="R37" i="402"/>
  <c r="Q37" i="402"/>
  <c r="Q100" i="401"/>
  <c r="R100" i="401"/>
  <c r="Q86" i="401"/>
  <c r="R86" i="401"/>
  <c r="Q61" i="401"/>
  <c r="R61" i="401"/>
  <c r="AF108" i="402"/>
  <c r="AG108" i="402"/>
  <c r="AH96" i="402" s="1"/>
  <c r="R22" i="402"/>
  <c r="Q22" i="402"/>
  <c r="R164" i="401"/>
  <c r="Q164" i="401"/>
  <c r="R153" i="401"/>
  <c r="Q153" i="401"/>
  <c r="R149" i="401"/>
  <c r="Q149" i="401"/>
  <c r="R112" i="401"/>
  <c r="Q112" i="401"/>
  <c r="R109" i="401"/>
  <c r="Q109" i="401"/>
  <c r="O121" i="401"/>
  <c r="Q128" i="401"/>
  <c r="R128" i="401"/>
  <c r="R72" i="401"/>
  <c r="Q72" i="401"/>
  <c r="R46" i="401"/>
  <c r="Q46" i="401"/>
  <c r="R19" i="401"/>
  <c r="Q19" i="401"/>
  <c r="Q9" i="402"/>
  <c r="R161" i="401"/>
  <c r="Q161" i="401"/>
  <c r="O173" i="401"/>
  <c r="O160" i="401"/>
  <c r="R148" i="401"/>
  <c r="Q148" i="401"/>
  <c r="AF108" i="401"/>
  <c r="AG108" i="401"/>
  <c r="AH96" i="401" s="1"/>
  <c r="R74" i="401"/>
  <c r="Q74" i="401"/>
  <c r="AF69" i="401"/>
  <c r="AG69" i="401"/>
  <c r="AH57" i="401" s="1"/>
  <c r="Q69" i="401"/>
  <c r="R49" i="401"/>
  <c r="Q49" i="401"/>
  <c r="AF43" i="401"/>
  <c r="Q43" i="401"/>
  <c r="AG43" i="401"/>
  <c r="AH31" i="401" s="1"/>
  <c r="Q37" i="401"/>
  <c r="R37" i="401"/>
  <c r="AG9" i="397"/>
  <c r="AF9" i="397"/>
  <c r="O9" i="397"/>
  <c r="N17" i="397"/>
  <c r="R8" i="397"/>
  <c r="Q8" i="397"/>
  <c r="AG11" i="397"/>
  <c r="AF11" i="397"/>
  <c r="O11" i="397"/>
  <c r="AG7" i="397"/>
  <c r="AF7" i="397"/>
  <c r="O7" i="397"/>
  <c r="G1" i="397"/>
  <c r="G2" i="397" s="1"/>
  <c r="O10" i="397"/>
  <c r="AG10" i="397"/>
  <c r="AF10" i="397"/>
  <c r="AG5" i="397"/>
  <c r="O5" i="397"/>
  <c r="O6" i="397"/>
  <c r="P5" i="397"/>
  <c r="P6" i="397"/>
  <c r="AF6" i="397"/>
  <c r="P8" i="397"/>
  <c r="AF8" i="397"/>
  <c r="P10" i="397"/>
  <c r="Q18" i="397"/>
  <c r="AF18" i="397"/>
  <c r="AG19" i="397"/>
  <c r="O20" i="397"/>
  <c r="O22" i="397"/>
  <c r="P30" i="397"/>
  <c r="AF35" i="397"/>
  <c r="O35" i="397"/>
  <c r="AG35" i="397"/>
  <c r="O46" i="397"/>
  <c r="AG46" i="397"/>
  <c r="AF46" i="397"/>
  <c r="O57" i="397"/>
  <c r="AG57" i="397"/>
  <c r="N69" i="397"/>
  <c r="AF57" i="397"/>
  <c r="AG72" i="397"/>
  <c r="AF72" i="397"/>
  <c r="O72" i="397"/>
  <c r="AF5" i="397"/>
  <c r="AG8" i="397"/>
  <c r="AG18" i="397"/>
  <c r="AF20" i="397"/>
  <c r="N30" i="397"/>
  <c r="Q43" i="397"/>
  <c r="AG43" i="397"/>
  <c r="AH31" i="397" s="1"/>
  <c r="AF43" i="397"/>
  <c r="AF33" i="397"/>
  <c r="O33" i="397"/>
  <c r="AG33" i="397"/>
  <c r="N56" i="397"/>
  <c r="AF44" i="397"/>
  <c r="O44" i="397"/>
  <c r="AG44" i="397"/>
  <c r="O50" i="397"/>
  <c r="AG50" i="397"/>
  <c r="AF50" i="397"/>
  <c r="P69" i="397"/>
  <c r="O19" i="397"/>
  <c r="O21" i="397"/>
  <c r="AG21" i="397"/>
  <c r="AG47" i="397"/>
  <c r="AF47" i="397"/>
  <c r="O47" i="397"/>
  <c r="R71" i="397"/>
  <c r="Q71" i="397"/>
  <c r="P18" i="397"/>
  <c r="R23" i="397"/>
  <c r="AF37" i="397"/>
  <c r="O37" i="397"/>
  <c r="AG37" i="397"/>
  <c r="P43" i="397"/>
  <c r="AG45" i="397"/>
  <c r="AF45" i="397"/>
  <c r="O45" i="397"/>
  <c r="O48" i="397"/>
  <c r="AG48" i="397"/>
  <c r="AF48" i="397"/>
  <c r="O31" i="397"/>
  <c r="O32" i="397"/>
  <c r="O34" i="397"/>
  <c r="O36" i="397"/>
  <c r="O38" i="397"/>
  <c r="P46" i="397"/>
  <c r="P48" i="397"/>
  <c r="AG58" i="397"/>
  <c r="O59" i="397"/>
  <c r="AG60" i="397"/>
  <c r="O61" i="397"/>
  <c r="P70" i="397"/>
  <c r="P71" i="397"/>
  <c r="AF71" i="397"/>
  <c r="P73" i="397"/>
  <c r="AF73" i="397"/>
  <c r="R75" i="397"/>
  <c r="O87" i="397"/>
  <c r="AG87" i="397"/>
  <c r="AF87" i="397"/>
  <c r="O96" i="397"/>
  <c r="AG96" i="397"/>
  <c r="N108" i="397"/>
  <c r="AF96" i="397"/>
  <c r="O103" i="397"/>
  <c r="AG103" i="397"/>
  <c r="AF103" i="397"/>
  <c r="O49" i="397"/>
  <c r="AF59" i="397"/>
  <c r="AF61" i="397"/>
  <c r="AG71" i="397"/>
  <c r="O89" i="397"/>
  <c r="AG89" i="397"/>
  <c r="AF89" i="397"/>
  <c r="O97" i="397"/>
  <c r="AG97" i="397"/>
  <c r="AF97" i="397"/>
  <c r="P44" i="397"/>
  <c r="O58" i="397"/>
  <c r="O60" i="397"/>
  <c r="N82" i="397"/>
  <c r="AG70" i="397"/>
  <c r="AG75" i="397"/>
  <c r="AF75" i="397"/>
  <c r="AF83" i="397"/>
  <c r="N95" i="397"/>
  <c r="O83" i="397"/>
  <c r="O99" i="397"/>
  <c r="AG99" i="397"/>
  <c r="AF99" i="397"/>
  <c r="R113" i="397"/>
  <c r="Q113" i="397"/>
  <c r="AG31" i="397"/>
  <c r="O70" i="397"/>
  <c r="O73" i="397"/>
  <c r="AF74" i="397"/>
  <c r="O74" i="397"/>
  <c r="AG74" i="397"/>
  <c r="AG84" i="397"/>
  <c r="AF84" i="397"/>
  <c r="O84" i="397"/>
  <c r="O85" i="397"/>
  <c r="AG85" i="397"/>
  <c r="AF85" i="397"/>
  <c r="O101" i="397"/>
  <c r="AG101" i="397"/>
  <c r="AF101" i="397"/>
  <c r="P96" i="397"/>
  <c r="O109" i="397"/>
  <c r="O110" i="397"/>
  <c r="AG111" i="397"/>
  <c r="O112" i="397"/>
  <c r="AG113" i="397"/>
  <c r="O114" i="397"/>
  <c r="R115" i="397"/>
  <c r="AG115" i="397"/>
  <c r="O116" i="397"/>
  <c r="R117" i="397"/>
  <c r="AG117" i="397"/>
  <c r="O118" i="397"/>
  <c r="P121" i="397"/>
  <c r="N134" i="397"/>
  <c r="O122" i="397"/>
  <c r="AF122" i="397"/>
  <c r="AG123" i="397"/>
  <c r="AF123" i="397"/>
  <c r="O123" i="397"/>
  <c r="AF138" i="397"/>
  <c r="O138" i="397"/>
  <c r="AG138" i="397"/>
  <c r="P160" i="397"/>
  <c r="O86" i="397"/>
  <c r="O88" i="397"/>
  <c r="P95" i="397"/>
  <c r="O98" i="397"/>
  <c r="O100" i="397"/>
  <c r="O102" i="397"/>
  <c r="AF110" i="397"/>
  <c r="AF112" i="397"/>
  <c r="AF114" i="397"/>
  <c r="AF116" i="397"/>
  <c r="AF118" i="397"/>
  <c r="AF121" i="397"/>
  <c r="O124" i="397"/>
  <c r="AG124" i="397"/>
  <c r="AG125" i="397"/>
  <c r="AF125" i="397"/>
  <c r="O125" i="397"/>
  <c r="O126" i="397"/>
  <c r="AG126" i="397"/>
  <c r="AG127" i="397"/>
  <c r="AF127" i="397"/>
  <c r="O127" i="397"/>
  <c r="AF128" i="397"/>
  <c r="O128" i="397"/>
  <c r="AG128" i="397"/>
  <c r="AF140" i="397"/>
  <c r="O140" i="397"/>
  <c r="AG140" i="397"/>
  <c r="N160" i="397"/>
  <c r="AF148" i="397"/>
  <c r="O148" i="397"/>
  <c r="AG148" i="397"/>
  <c r="R154" i="397"/>
  <c r="Q154" i="397"/>
  <c r="R165" i="397"/>
  <c r="Q165" i="397"/>
  <c r="P83" i="397"/>
  <c r="P84" i="397"/>
  <c r="P86" i="397"/>
  <c r="AF86" i="397"/>
  <c r="P88" i="397"/>
  <c r="AF88" i="397"/>
  <c r="AF109" i="397"/>
  <c r="AF124" i="397"/>
  <c r="AF126" i="397"/>
  <c r="N147" i="397"/>
  <c r="O135" i="397"/>
  <c r="AG135" i="397"/>
  <c r="AF135" i="397"/>
  <c r="AF142" i="397"/>
  <c r="O142" i="397"/>
  <c r="AG142" i="397"/>
  <c r="R150" i="397"/>
  <c r="Q150" i="397"/>
  <c r="R152" i="397"/>
  <c r="Q152" i="397"/>
  <c r="AG109" i="397"/>
  <c r="AF130" i="397"/>
  <c r="O130" i="397"/>
  <c r="AG130" i="397"/>
  <c r="AF136" i="397"/>
  <c r="O136" i="397"/>
  <c r="AG136" i="397"/>
  <c r="R163" i="397"/>
  <c r="Q163" i="397"/>
  <c r="P173" i="397"/>
  <c r="O129" i="397"/>
  <c r="P134" i="397"/>
  <c r="O137" i="397"/>
  <c r="O139" i="397"/>
  <c r="O141" i="397"/>
  <c r="O143" i="397"/>
  <c r="AF150" i="397"/>
  <c r="AF152" i="397"/>
  <c r="AF154" i="397"/>
  <c r="AG161" i="397"/>
  <c r="AF163" i="397"/>
  <c r="AF165" i="397"/>
  <c r="AF129" i="397"/>
  <c r="O149" i="397"/>
  <c r="AG150" i="397"/>
  <c r="O151" i="397"/>
  <c r="AG152" i="397"/>
  <c r="O153" i="397"/>
  <c r="AG154" i="397"/>
  <c r="O161" i="397"/>
  <c r="O162" i="397"/>
  <c r="AG163" i="397"/>
  <c r="O164" i="397"/>
  <c r="N173" i="397"/>
  <c r="P147" i="397"/>
  <c r="AF149" i="397"/>
  <c r="AF151" i="397"/>
  <c r="AF153" i="397"/>
  <c r="AF162" i="397"/>
  <c r="AF164" i="397"/>
  <c r="Q173" i="401" l="1"/>
  <c r="R173" i="401"/>
  <c r="S161" i="401" s="1"/>
  <c r="Q121" i="401"/>
  <c r="R121" i="401"/>
  <c r="S109" i="401" s="1"/>
  <c r="R160" i="401"/>
  <c r="S148" i="401" s="1"/>
  <c r="Q160" i="401"/>
  <c r="Q147" i="402"/>
  <c r="R147" i="402"/>
  <c r="S135" i="402" s="1"/>
  <c r="R95" i="401"/>
  <c r="S83" i="401" s="1"/>
  <c r="Q95" i="401"/>
  <c r="R108" i="402"/>
  <c r="S96" i="402" s="1"/>
  <c r="Q108" i="402"/>
  <c r="Q121" i="402"/>
  <c r="R121" i="402"/>
  <c r="S109" i="402" s="1"/>
  <c r="Q134" i="403"/>
  <c r="R134" i="403"/>
  <c r="S122" i="403" s="1"/>
  <c r="R160" i="402"/>
  <c r="S148" i="402" s="1"/>
  <c r="Q160" i="402"/>
  <c r="R147" i="403"/>
  <c r="S135" i="403" s="1"/>
  <c r="Q147" i="403"/>
  <c r="R134" i="401"/>
  <c r="S122" i="401" s="1"/>
  <c r="Q134" i="401"/>
  <c r="R160" i="403"/>
  <c r="S148" i="403" s="1"/>
  <c r="Q160" i="403"/>
  <c r="R17" i="401"/>
  <c r="S5" i="401" s="1"/>
  <c r="Q17" i="401"/>
  <c r="E2" i="401"/>
  <c r="R147" i="401"/>
  <c r="S135" i="401" s="1"/>
  <c r="Q147" i="401"/>
  <c r="R30" i="402"/>
  <c r="S18" i="402" s="1"/>
  <c r="Q30" i="402"/>
  <c r="R17" i="403"/>
  <c r="S5" i="403" s="1"/>
  <c r="Q17" i="403"/>
  <c r="E2" i="403"/>
  <c r="R173" i="403"/>
  <c r="S161" i="403" s="1"/>
  <c r="Q173" i="403"/>
  <c r="R30" i="403"/>
  <c r="S18" i="403" s="1"/>
  <c r="Q30" i="403"/>
  <c r="R108" i="403"/>
  <c r="S96" i="403" s="1"/>
  <c r="Q108" i="403"/>
  <c r="R17" i="402"/>
  <c r="S5" i="402" s="1"/>
  <c r="Q17" i="402"/>
  <c r="E2" i="402"/>
  <c r="R108" i="401"/>
  <c r="S96" i="401" s="1"/>
  <c r="Q108" i="401"/>
  <c r="R43" i="401"/>
  <c r="S31" i="401" s="1"/>
  <c r="R82" i="403"/>
  <c r="S70" i="403" s="1"/>
  <c r="R121" i="403"/>
  <c r="S109" i="403" s="1"/>
  <c r="Q121" i="403"/>
  <c r="R95" i="402"/>
  <c r="S83" i="402" s="1"/>
  <c r="Q95" i="402"/>
  <c r="R173" i="402"/>
  <c r="S161" i="402" s="1"/>
  <c r="Q173" i="402"/>
  <c r="R95" i="403"/>
  <c r="S83" i="403" s="1"/>
  <c r="Q95" i="403"/>
  <c r="R134" i="402"/>
  <c r="S122" i="402" s="1"/>
  <c r="Q134" i="402"/>
  <c r="AG173" i="397"/>
  <c r="AH161" i="397" s="1"/>
  <c r="AF173" i="397"/>
  <c r="Q153" i="397"/>
  <c r="R153" i="397"/>
  <c r="Q149" i="397"/>
  <c r="R149" i="397"/>
  <c r="AG147" i="397"/>
  <c r="AH135" i="397" s="1"/>
  <c r="AF147" i="397"/>
  <c r="R128" i="397"/>
  <c r="Q128" i="397"/>
  <c r="Q86" i="397"/>
  <c r="R86" i="397"/>
  <c r="R116" i="397"/>
  <c r="Q116" i="397"/>
  <c r="R85" i="397"/>
  <c r="Q85" i="397"/>
  <c r="O82" i="397"/>
  <c r="R82" i="397" s="1"/>
  <c r="S70" i="397" s="1"/>
  <c r="R70" i="397"/>
  <c r="Q70" i="397"/>
  <c r="Q83" i="397"/>
  <c r="O95" i="397"/>
  <c r="R83" i="397"/>
  <c r="Q161" i="397"/>
  <c r="O173" i="397"/>
  <c r="R161" i="397"/>
  <c r="Q151" i="397"/>
  <c r="R151" i="397"/>
  <c r="R141" i="397"/>
  <c r="Q141" i="397"/>
  <c r="Q148" i="397"/>
  <c r="O160" i="397"/>
  <c r="R148" i="397"/>
  <c r="R140" i="397"/>
  <c r="Q140" i="397"/>
  <c r="R123" i="397"/>
  <c r="Q123" i="397"/>
  <c r="O134" i="397"/>
  <c r="R122" i="397"/>
  <c r="Q122" i="397"/>
  <c r="R118" i="397"/>
  <c r="Q118" i="397"/>
  <c r="R110" i="397"/>
  <c r="Q110" i="397"/>
  <c r="AG121" i="397"/>
  <c r="AH109" i="397" s="1"/>
  <c r="Q84" i="397"/>
  <c r="R84" i="397"/>
  <c r="R74" i="397"/>
  <c r="Q74" i="397"/>
  <c r="AG95" i="397"/>
  <c r="AH83" i="397" s="1"/>
  <c r="AF95" i="397"/>
  <c r="R89" i="397"/>
  <c r="Q89" i="397"/>
  <c r="Q111" i="397"/>
  <c r="R103" i="397"/>
  <c r="Q103" i="397"/>
  <c r="O108" i="397"/>
  <c r="R96" i="397"/>
  <c r="Q96" i="397"/>
  <c r="R34" i="397"/>
  <c r="Q34" i="397"/>
  <c r="Q23" i="397"/>
  <c r="Q75" i="397"/>
  <c r="O69" i="397"/>
  <c r="R69" i="397" s="1"/>
  <c r="S57" i="397" s="1"/>
  <c r="R57" i="397"/>
  <c r="Q57" i="397"/>
  <c r="Q7" i="397"/>
  <c r="R7" i="397"/>
  <c r="AG17" i="397"/>
  <c r="AH5" i="397" s="1"/>
  <c r="AF17" i="397"/>
  <c r="Q164" i="397"/>
  <c r="R164" i="397"/>
  <c r="R139" i="397"/>
  <c r="Q139" i="397"/>
  <c r="R129" i="397"/>
  <c r="Q129" i="397"/>
  <c r="Q127" i="397"/>
  <c r="R127" i="397"/>
  <c r="R126" i="397"/>
  <c r="Q126" i="397"/>
  <c r="Q102" i="397"/>
  <c r="R102" i="397"/>
  <c r="AG134" i="397"/>
  <c r="AH122" i="397" s="1"/>
  <c r="AF134" i="397"/>
  <c r="R112" i="397"/>
  <c r="Q112" i="397"/>
  <c r="R109" i="397"/>
  <c r="Q109" i="397"/>
  <c r="O121" i="397"/>
  <c r="Q82" i="397"/>
  <c r="AG82" i="397"/>
  <c r="AH70" i="397" s="1"/>
  <c r="AF82" i="397"/>
  <c r="Q115" i="397"/>
  <c r="R97" i="397"/>
  <c r="Q97" i="397"/>
  <c r="Q49" i="397"/>
  <c r="R49" i="397"/>
  <c r="R111" i="397"/>
  <c r="R59" i="397"/>
  <c r="Q59" i="397"/>
  <c r="R32" i="397"/>
  <c r="Q32" i="397"/>
  <c r="R48" i="397"/>
  <c r="Q48" i="397"/>
  <c r="Q47" i="397"/>
  <c r="R47" i="397"/>
  <c r="Q44" i="397"/>
  <c r="O56" i="397"/>
  <c r="R56" i="397" s="1"/>
  <c r="S44" i="397" s="1"/>
  <c r="R44" i="397"/>
  <c r="R33" i="397"/>
  <c r="Q33" i="397"/>
  <c r="Q6" i="397"/>
  <c r="R6" i="397"/>
  <c r="Q9" i="397"/>
  <c r="R9" i="397"/>
  <c r="R137" i="397"/>
  <c r="Q137" i="397"/>
  <c r="R130" i="397"/>
  <c r="Q130" i="397"/>
  <c r="R142" i="397"/>
  <c r="Q142" i="397"/>
  <c r="O147" i="397"/>
  <c r="R135" i="397"/>
  <c r="Q135" i="397"/>
  <c r="AG160" i="397"/>
  <c r="AH148" i="397" s="1"/>
  <c r="AF160" i="397"/>
  <c r="Q125" i="397"/>
  <c r="R125" i="397"/>
  <c r="R124" i="397"/>
  <c r="Q124" i="397"/>
  <c r="Q100" i="397"/>
  <c r="R100" i="397"/>
  <c r="Q88" i="397"/>
  <c r="R88" i="397"/>
  <c r="R138" i="397"/>
  <c r="Q138" i="397"/>
  <c r="R114" i="397"/>
  <c r="Q114" i="397"/>
  <c r="R73" i="397"/>
  <c r="Q73" i="397"/>
  <c r="R99" i="397"/>
  <c r="Q99" i="397"/>
  <c r="R60" i="397"/>
  <c r="Q60" i="397"/>
  <c r="Q117" i="397"/>
  <c r="AF108" i="397"/>
  <c r="AG108" i="397"/>
  <c r="AH96" i="397" s="1"/>
  <c r="R38" i="397"/>
  <c r="Q38" i="397"/>
  <c r="R31" i="397"/>
  <c r="O43" i="397"/>
  <c r="R43" i="397" s="1"/>
  <c r="S31" i="397" s="1"/>
  <c r="Q31" i="397"/>
  <c r="Q45" i="397"/>
  <c r="R45" i="397"/>
  <c r="Q21" i="397"/>
  <c r="R21" i="397"/>
  <c r="AF30" i="397"/>
  <c r="AG30" i="397"/>
  <c r="AH18" i="397" s="1"/>
  <c r="Q72" i="397"/>
  <c r="R72" i="397"/>
  <c r="AG69" i="397"/>
  <c r="AH57" i="397" s="1"/>
  <c r="Q69" i="397"/>
  <c r="AF69" i="397"/>
  <c r="R35" i="397"/>
  <c r="Q35" i="397"/>
  <c r="R22" i="397"/>
  <c r="Q22" i="397"/>
  <c r="Q5" i="397"/>
  <c r="O17" i="397"/>
  <c r="R5" i="397"/>
  <c r="R18" i="397"/>
  <c r="R10" i="397"/>
  <c r="Q10" i="397"/>
  <c r="Q162" i="397"/>
  <c r="R162" i="397"/>
  <c r="R143" i="397"/>
  <c r="Q143" i="397"/>
  <c r="R136" i="397"/>
  <c r="Q136" i="397"/>
  <c r="Q98" i="397"/>
  <c r="R98" i="397"/>
  <c r="R101" i="397"/>
  <c r="Q101" i="397"/>
  <c r="R58" i="397"/>
  <c r="Q58" i="397"/>
  <c r="R87" i="397"/>
  <c r="Q87" i="397"/>
  <c r="R61" i="397"/>
  <c r="Q61" i="397"/>
  <c r="R36" i="397"/>
  <c r="Q36" i="397"/>
  <c r="R37" i="397"/>
  <c r="Q37" i="397"/>
  <c r="R19" i="397"/>
  <c r="Q19" i="397"/>
  <c r="R50" i="397"/>
  <c r="Q50" i="397"/>
  <c r="AG56" i="397"/>
  <c r="AH44" i="397" s="1"/>
  <c r="Q56" i="397"/>
  <c r="AF56" i="397"/>
  <c r="R46" i="397"/>
  <c r="Q46" i="397"/>
  <c r="R20" i="397"/>
  <c r="Q20" i="397"/>
  <c r="O30" i="397"/>
  <c r="Q11" i="397"/>
  <c r="R11" i="397"/>
  <c r="R30" i="397" l="1"/>
  <c r="S18" i="397" s="1"/>
  <c r="Q30" i="397"/>
  <c r="R17" i="397"/>
  <c r="S5" i="397" s="1"/>
  <c r="Q17" i="397"/>
  <c r="E2" i="397"/>
  <c r="R147" i="397"/>
  <c r="S135" i="397" s="1"/>
  <c r="Q147" i="397"/>
  <c r="Q134" i="397"/>
  <c r="R134" i="397"/>
  <c r="S122" i="397" s="1"/>
  <c r="R95" i="397"/>
  <c r="S83" i="397" s="1"/>
  <c r="Q95" i="397"/>
  <c r="R121" i="397"/>
  <c r="S109" i="397" s="1"/>
  <c r="Q121" i="397"/>
  <c r="R108" i="397"/>
  <c r="S96" i="397" s="1"/>
  <c r="Q108" i="397"/>
  <c r="R173" i="397"/>
  <c r="S161" i="397" s="1"/>
  <c r="Q173" i="397"/>
  <c r="R160" i="397"/>
  <c r="S148" i="397" s="1"/>
  <c r="Q160" i="397"/>
  <c r="J124" i="396" l="1"/>
  <c r="H123" i="396"/>
  <c r="H122" i="396"/>
  <c r="H121" i="396"/>
  <c r="H120" i="396"/>
  <c r="H119" i="396"/>
  <c r="P118" i="396"/>
  <c r="K118" i="396" s="1"/>
  <c r="L118" i="396" s="1"/>
  <c r="H118" i="396"/>
  <c r="P117" i="396"/>
  <c r="K117" i="396"/>
  <c r="L117" i="396" s="1"/>
  <c r="H117" i="396"/>
  <c r="P116" i="396"/>
  <c r="K116" i="396" s="1"/>
  <c r="L116" i="396" s="1"/>
  <c r="H116" i="396"/>
  <c r="P115" i="396"/>
  <c r="K115" i="396"/>
  <c r="L115" i="396" s="1"/>
  <c r="H115" i="396"/>
  <c r="P114" i="396"/>
  <c r="K114" i="396" s="1"/>
  <c r="L114" i="396" s="1"/>
  <c r="H114" i="396"/>
  <c r="P113" i="396"/>
  <c r="K113" i="396"/>
  <c r="L113" i="396" s="1"/>
  <c r="H113" i="396"/>
  <c r="P112" i="396"/>
  <c r="K112" i="396" s="1"/>
  <c r="H112" i="396"/>
  <c r="J111" i="396"/>
  <c r="H110" i="396"/>
  <c r="H109" i="396"/>
  <c r="H108" i="396"/>
  <c r="H107" i="396"/>
  <c r="H106" i="396"/>
  <c r="P105" i="396"/>
  <c r="K105" i="396" s="1"/>
  <c r="L105" i="396" s="1"/>
  <c r="H105" i="396"/>
  <c r="P104" i="396"/>
  <c r="K104" i="396"/>
  <c r="L104" i="396" s="1"/>
  <c r="H104" i="396"/>
  <c r="P103" i="396"/>
  <c r="K103" i="396" s="1"/>
  <c r="L103" i="396" s="1"/>
  <c r="H103" i="396"/>
  <c r="P102" i="396"/>
  <c r="K102" i="396"/>
  <c r="L102" i="396" s="1"/>
  <c r="H102" i="396"/>
  <c r="P101" i="396"/>
  <c r="K101" i="396" s="1"/>
  <c r="H101" i="396"/>
  <c r="J100" i="396"/>
  <c r="H99" i="396"/>
  <c r="H98" i="396"/>
  <c r="H97" i="396"/>
  <c r="H96" i="396"/>
  <c r="H95" i="396"/>
  <c r="P94" i="396"/>
  <c r="K94" i="396" s="1"/>
  <c r="L94" i="396" s="1"/>
  <c r="H94" i="396"/>
  <c r="P93" i="396"/>
  <c r="K93" i="396"/>
  <c r="L93" i="396" s="1"/>
  <c r="H93" i="396"/>
  <c r="P92" i="396"/>
  <c r="K92" i="396" s="1"/>
  <c r="H92" i="396"/>
  <c r="J91" i="396"/>
  <c r="H90" i="396"/>
  <c r="H89" i="396"/>
  <c r="H88" i="396"/>
  <c r="H87" i="396"/>
  <c r="H86" i="396"/>
  <c r="H85" i="396"/>
  <c r="H84" i="396"/>
  <c r="H83" i="396"/>
  <c r="P82" i="396"/>
  <c r="K82" i="396" s="1"/>
  <c r="H82" i="396"/>
  <c r="L81" i="396"/>
  <c r="K81" i="396"/>
  <c r="J81" i="396"/>
  <c r="H80" i="396"/>
  <c r="H79" i="396"/>
  <c r="H78" i="396"/>
  <c r="H77" i="396"/>
  <c r="H76" i="396"/>
  <c r="J75" i="396"/>
  <c r="H74" i="396"/>
  <c r="H73" i="396"/>
  <c r="H72" i="396"/>
  <c r="H71" i="396"/>
  <c r="P70" i="396"/>
  <c r="K70" i="396" s="1"/>
  <c r="L70" i="396" s="1"/>
  <c r="H70" i="396"/>
  <c r="P69" i="396"/>
  <c r="L69" i="396"/>
  <c r="K69" i="396"/>
  <c r="H69" i="396"/>
  <c r="P68" i="396"/>
  <c r="K68" i="396" s="1"/>
  <c r="L68" i="396" s="1"/>
  <c r="H68" i="396"/>
  <c r="P67" i="396"/>
  <c r="L67" i="396"/>
  <c r="K67" i="396"/>
  <c r="H67" i="396"/>
  <c r="P66" i="396"/>
  <c r="K66" i="396" s="1"/>
  <c r="L66" i="396" s="1"/>
  <c r="H66" i="396"/>
  <c r="P65" i="396"/>
  <c r="L65" i="396"/>
  <c r="K65" i="396"/>
  <c r="K75" i="396" s="1"/>
  <c r="H65" i="396"/>
  <c r="J64" i="396"/>
  <c r="H63" i="396"/>
  <c r="H62" i="396"/>
  <c r="H61" i="396"/>
  <c r="H60" i="396"/>
  <c r="P59" i="396"/>
  <c r="K59" i="396" s="1"/>
  <c r="L59" i="396" s="1"/>
  <c r="H59" i="396"/>
  <c r="P58" i="396"/>
  <c r="L58" i="396"/>
  <c r="K58" i="396"/>
  <c r="H58" i="396"/>
  <c r="P57" i="396"/>
  <c r="K57" i="396" s="1"/>
  <c r="L57" i="396" s="1"/>
  <c r="H57" i="396"/>
  <c r="P56" i="396"/>
  <c r="L56" i="396"/>
  <c r="K56" i="396"/>
  <c r="H56" i="396"/>
  <c r="P55" i="396"/>
  <c r="K55" i="396" s="1"/>
  <c r="L55" i="396" s="1"/>
  <c r="H55" i="396"/>
  <c r="P54" i="396"/>
  <c r="L54" i="396"/>
  <c r="K54" i="396"/>
  <c r="H54" i="396"/>
  <c r="P53" i="396"/>
  <c r="K53" i="396" s="1"/>
  <c r="L53" i="396" s="1"/>
  <c r="H53" i="396"/>
  <c r="P52" i="396"/>
  <c r="L52" i="396"/>
  <c r="L64" i="396" s="1"/>
  <c r="K52" i="396"/>
  <c r="H52" i="396"/>
  <c r="H50" i="396"/>
  <c r="H49" i="396"/>
  <c r="H47" i="396"/>
  <c r="H46" i="396"/>
  <c r="H45" i="396"/>
  <c r="H44" i="396"/>
  <c r="H43" i="396"/>
  <c r="H42" i="396"/>
  <c r="H41" i="396"/>
  <c r="H40" i="396"/>
  <c r="H39" i="396"/>
  <c r="J38" i="396"/>
  <c r="H37" i="396"/>
  <c r="H36" i="396"/>
  <c r="H35" i="396"/>
  <c r="H34" i="396"/>
  <c r="H33" i="396"/>
  <c r="H32" i="396"/>
  <c r="H31" i="396"/>
  <c r="H30" i="396"/>
  <c r="H29" i="396"/>
  <c r="P28" i="396"/>
  <c r="K28" i="396" s="1"/>
  <c r="L28" i="396" s="1"/>
  <c r="H28" i="396"/>
  <c r="P27" i="396"/>
  <c r="K27" i="396"/>
  <c r="L27" i="396" s="1"/>
  <c r="H27" i="396"/>
  <c r="P26" i="396"/>
  <c r="K26" i="396" s="1"/>
  <c r="L26" i="396" s="1"/>
  <c r="H26" i="396"/>
  <c r="P25" i="396"/>
  <c r="K25" i="396"/>
  <c r="K38" i="396" s="1"/>
  <c r="H25" i="396"/>
  <c r="J24" i="396"/>
  <c r="H23" i="396"/>
  <c r="H22" i="396"/>
  <c r="H21" i="396"/>
  <c r="H20" i="396"/>
  <c r="P19" i="396"/>
  <c r="K19" i="396" s="1"/>
  <c r="L19" i="396" s="1"/>
  <c r="H19" i="396"/>
  <c r="P18" i="396"/>
  <c r="K18" i="396"/>
  <c r="L18" i="396" s="1"/>
  <c r="H18" i="396"/>
  <c r="P17" i="396"/>
  <c r="K17" i="396" s="1"/>
  <c r="H17" i="396"/>
  <c r="J16" i="396"/>
  <c r="I1" i="396" s="1"/>
  <c r="H15" i="396"/>
  <c r="H14" i="396"/>
  <c r="H13" i="396"/>
  <c r="H12" i="396"/>
  <c r="H11" i="396"/>
  <c r="H10" i="396"/>
  <c r="H9" i="396"/>
  <c r="H8" i="396"/>
  <c r="P7" i="396"/>
  <c r="K7" i="396"/>
  <c r="L7" i="396" s="1"/>
  <c r="H7" i="396"/>
  <c r="P6" i="396"/>
  <c r="K6" i="396" s="1"/>
  <c r="L6" i="396" s="1"/>
  <c r="H6" i="396"/>
  <c r="P5" i="396"/>
  <c r="K5" i="396"/>
  <c r="K16" i="396" s="1"/>
  <c r="H5" i="396"/>
  <c r="I2" i="396"/>
  <c r="E1" i="396"/>
  <c r="L101" i="396" l="1"/>
  <c r="L111" i="396" s="1"/>
  <c r="K111" i="396"/>
  <c r="L75" i="396"/>
  <c r="K91" i="396"/>
  <c r="L82" i="396"/>
  <c r="L91" i="396" s="1"/>
  <c r="L112" i="396"/>
  <c r="L124" i="396" s="1"/>
  <c r="K124" i="396"/>
  <c r="G1" i="396"/>
  <c r="G2" i="396" s="1"/>
  <c r="K64" i="396"/>
  <c r="K24" i="396"/>
  <c r="L17" i="396"/>
  <c r="L24" i="396" s="1"/>
  <c r="L92" i="396"/>
  <c r="L100" i="396" s="1"/>
  <c r="K100" i="396"/>
  <c r="L25" i="396"/>
  <c r="L38" i="396" s="1"/>
  <c r="L5" i="396"/>
  <c r="L16" i="396" s="1"/>
  <c r="E2" i="396" l="1"/>
  <c r="M32" i="395" l="1"/>
  <c r="L32" i="395"/>
  <c r="K32" i="395"/>
  <c r="L8" i="395" s="1"/>
  <c r="J32" i="395"/>
  <c r="I32" i="395"/>
  <c r="H32" i="395"/>
  <c r="G32" i="395"/>
  <c r="J8" i="395" s="1"/>
  <c r="F32" i="395"/>
  <c r="E32" i="395"/>
  <c r="D32" i="395"/>
  <c r="Q15" i="395"/>
  <c r="P15" i="395"/>
  <c r="O15" i="395"/>
  <c r="N15" i="395"/>
  <c r="M15" i="395"/>
  <c r="L15" i="395"/>
  <c r="K15" i="395"/>
  <c r="J15" i="395"/>
  <c r="I15" i="395"/>
  <c r="H15" i="395"/>
  <c r="G15" i="395"/>
  <c r="F15" i="395"/>
  <c r="H8" i="395" s="1"/>
  <c r="E15" i="395"/>
  <c r="D15" i="395"/>
  <c r="L7" i="395"/>
  <c r="J7" i="395"/>
  <c r="H7" i="395"/>
  <c r="F7" i="395"/>
  <c r="L6" i="395"/>
  <c r="J6" i="395"/>
  <c r="H6" i="395"/>
  <c r="F6" i="395"/>
  <c r="F8" i="395" l="1"/>
  <c r="AE173" i="394"/>
  <c r="AD173" i="394"/>
  <c r="AA173" i="394"/>
  <c r="Z173" i="394"/>
  <c r="M173" i="394"/>
  <c r="W172" i="394"/>
  <c r="H172" i="394"/>
  <c r="W171" i="394"/>
  <c r="H171" i="394"/>
  <c r="AG170" i="394"/>
  <c r="AF170" i="394"/>
  <c r="W170" i="394"/>
  <c r="H170" i="394"/>
  <c r="AG169" i="394"/>
  <c r="AF169" i="394"/>
  <c r="W169" i="394"/>
  <c r="H169" i="394"/>
  <c r="AG168" i="394"/>
  <c r="AF168" i="394"/>
  <c r="W168" i="394"/>
  <c r="H168" i="394"/>
  <c r="AG167" i="394"/>
  <c r="AF167" i="394"/>
  <c r="W167" i="394"/>
  <c r="H167" i="394"/>
  <c r="W166" i="394"/>
  <c r="N166" i="394"/>
  <c r="AG166" i="394" s="1"/>
  <c r="P166" i="394"/>
  <c r="H166" i="394"/>
  <c r="W165" i="394"/>
  <c r="P165" i="394"/>
  <c r="N165" i="394"/>
  <c r="O165" i="394" s="1"/>
  <c r="H165" i="394"/>
  <c r="W164" i="394"/>
  <c r="N164" i="394"/>
  <c r="AG164" i="394" s="1"/>
  <c r="P164" i="394"/>
  <c r="H164" i="394"/>
  <c r="W163" i="394"/>
  <c r="P163" i="394"/>
  <c r="N163" i="394"/>
  <c r="O163" i="394" s="1"/>
  <c r="H163" i="394"/>
  <c r="W162" i="394"/>
  <c r="P162" i="394"/>
  <c r="N162" i="394"/>
  <c r="AG162" i="394" s="1"/>
  <c r="H162" i="394"/>
  <c r="W161" i="394"/>
  <c r="N161" i="394"/>
  <c r="AF161" i="394" s="1"/>
  <c r="P161" i="394"/>
  <c r="H161" i="394"/>
  <c r="AE160" i="394"/>
  <c r="AD160" i="394"/>
  <c r="AA160" i="394"/>
  <c r="Z160" i="394"/>
  <c r="M160" i="394"/>
  <c r="W159" i="394"/>
  <c r="H159" i="394"/>
  <c r="W158" i="394"/>
  <c r="H158" i="394"/>
  <c r="W157" i="394"/>
  <c r="H157" i="394"/>
  <c r="W156" i="394"/>
  <c r="H156" i="394"/>
  <c r="W155" i="394"/>
  <c r="H155" i="394"/>
  <c r="W154" i="394"/>
  <c r="N154" i="394"/>
  <c r="O154" i="394" s="1"/>
  <c r="P154" i="394"/>
  <c r="H154" i="394"/>
  <c r="W153" i="394"/>
  <c r="P153" i="394"/>
  <c r="N153" i="394"/>
  <c r="AG153" i="394" s="1"/>
  <c r="H153" i="394"/>
  <c r="W152" i="394"/>
  <c r="N152" i="394"/>
  <c r="O152" i="394" s="1"/>
  <c r="P152" i="394"/>
  <c r="H152" i="394"/>
  <c r="W151" i="394"/>
  <c r="P151" i="394"/>
  <c r="N151" i="394"/>
  <c r="AG151" i="394" s="1"/>
  <c r="H151" i="394"/>
  <c r="W150" i="394"/>
  <c r="N150" i="394"/>
  <c r="O150" i="394" s="1"/>
  <c r="P150" i="394"/>
  <c r="H150" i="394"/>
  <c r="W149" i="394"/>
  <c r="P149" i="394"/>
  <c r="N149" i="394"/>
  <c r="AG149" i="394" s="1"/>
  <c r="H149" i="394"/>
  <c r="W148" i="394"/>
  <c r="N148" i="394" s="1"/>
  <c r="P148" i="394"/>
  <c r="H148" i="394"/>
  <c r="AE147" i="394"/>
  <c r="AD147" i="394"/>
  <c r="AA147" i="394"/>
  <c r="Z147" i="394"/>
  <c r="W147" i="394"/>
  <c r="M147" i="394"/>
  <c r="W146" i="394"/>
  <c r="H146" i="394"/>
  <c r="AG145" i="394"/>
  <c r="AF145" i="394"/>
  <c r="W145" i="394"/>
  <c r="AG144" i="394"/>
  <c r="AF144" i="394"/>
  <c r="W144" i="394"/>
  <c r="AG143" i="394"/>
  <c r="W143" i="394"/>
  <c r="P143" i="394"/>
  <c r="N143" i="394"/>
  <c r="O143" i="394" s="1"/>
  <c r="AF143" i="394"/>
  <c r="H143" i="394"/>
  <c r="W142" i="394"/>
  <c r="N142" i="394" s="1"/>
  <c r="P142" i="394"/>
  <c r="H142" i="394"/>
  <c r="AG141" i="394"/>
  <c r="W141" i="394"/>
  <c r="P141" i="394"/>
  <c r="N141" i="394"/>
  <c r="AF141" i="394" s="1"/>
  <c r="H141" i="394"/>
  <c r="W140" i="394"/>
  <c r="N140" i="394" s="1"/>
  <c r="P140" i="394"/>
  <c r="H140" i="394"/>
  <c r="AG139" i="394"/>
  <c r="W139" i="394"/>
  <c r="P139" i="394"/>
  <c r="N139" i="394"/>
  <c r="AF139" i="394" s="1"/>
  <c r="H139" i="394"/>
  <c r="W138" i="394"/>
  <c r="N138" i="394" s="1"/>
  <c r="P138" i="394"/>
  <c r="H138" i="394"/>
  <c r="AG137" i="394"/>
  <c r="W137" i="394"/>
  <c r="N137" i="394"/>
  <c r="AF137" i="394" s="1"/>
  <c r="P137" i="394"/>
  <c r="H137" i="394"/>
  <c r="W136" i="394"/>
  <c r="N136" i="394" s="1"/>
  <c r="P136" i="394"/>
  <c r="H136" i="394"/>
  <c r="W135" i="394"/>
  <c r="N135" i="394" s="1"/>
  <c r="P135" i="394"/>
  <c r="H135" i="394"/>
  <c r="AE134" i="394"/>
  <c r="AD134" i="394"/>
  <c r="AA134" i="394"/>
  <c r="Z134" i="394"/>
  <c r="M134" i="394"/>
  <c r="W133" i="394"/>
  <c r="H133" i="394"/>
  <c r="W132" i="394"/>
  <c r="H132" i="394"/>
  <c r="AG131" i="394"/>
  <c r="AF131" i="394"/>
  <c r="W131" i="394"/>
  <c r="H131" i="394"/>
  <c r="W130" i="394"/>
  <c r="N130" i="394" s="1"/>
  <c r="P130" i="394"/>
  <c r="H130" i="394"/>
  <c r="W129" i="394"/>
  <c r="N129" i="394"/>
  <c r="AG129" i="394" s="1"/>
  <c r="P129" i="394"/>
  <c r="H129" i="394"/>
  <c r="W128" i="394"/>
  <c r="N128" i="394" s="1"/>
  <c r="P128" i="394"/>
  <c r="H128" i="394"/>
  <c r="W127" i="394"/>
  <c r="N127" i="394"/>
  <c r="AG127" i="394" s="1"/>
  <c r="P127" i="394"/>
  <c r="H127" i="394"/>
  <c r="W126" i="394"/>
  <c r="N126" i="394" s="1"/>
  <c r="P126" i="394"/>
  <c r="H126" i="394"/>
  <c r="W125" i="394"/>
  <c r="N125" i="394"/>
  <c r="AG125" i="394" s="1"/>
  <c r="P125" i="394"/>
  <c r="H125" i="394"/>
  <c r="W124" i="394"/>
  <c r="N124" i="394" s="1"/>
  <c r="P124" i="394"/>
  <c r="H124" i="394"/>
  <c r="W123" i="394"/>
  <c r="N123" i="394"/>
  <c r="P123" i="394"/>
  <c r="H123" i="394"/>
  <c r="AG122" i="394"/>
  <c r="W122" i="394"/>
  <c r="N122" i="394"/>
  <c r="P122" i="394"/>
  <c r="H122" i="394"/>
  <c r="AE121" i="394"/>
  <c r="AD121" i="394"/>
  <c r="AA121" i="394"/>
  <c r="Z121" i="394"/>
  <c r="W121" i="394"/>
  <c r="M121" i="394"/>
  <c r="P121" i="394" s="1"/>
  <c r="AG120" i="394"/>
  <c r="AF120" i="394"/>
  <c r="W120" i="394"/>
  <c r="H120" i="394"/>
  <c r="AG119" i="394"/>
  <c r="AF119" i="394"/>
  <c r="W119" i="394"/>
  <c r="H119" i="394"/>
  <c r="AG118" i="394"/>
  <c r="AF118" i="394"/>
  <c r="W118" i="394"/>
  <c r="W117" i="394"/>
  <c r="O117" i="394"/>
  <c r="N117" i="394"/>
  <c r="P117" i="394"/>
  <c r="H117" i="394"/>
  <c r="AF116" i="394"/>
  <c r="W116" i="394"/>
  <c r="N116" i="394"/>
  <c r="O116" i="394" s="1"/>
  <c r="P116" i="394"/>
  <c r="H116" i="394"/>
  <c r="W115" i="394"/>
  <c r="N115" i="394"/>
  <c r="O115" i="394" s="1"/>
  <c r="H115" i="394"/>
  <c r="W114" i="394"/>
  <c r="N114" i="394" s="1"/>
  <c r="P114" i="394"/>
  <c r="H114" i="394"/>
  <c r="W113" i="394"/>
  <c r="N113" i="394"/>
  <c r="O113" i="394" s="1"/>
  <c r="H113" i="394"/>
  <c r="W112" i="394"/>
  <c r="N112" i="394" s="1"/>
  <c r="P112" i="394"/>
  <c r="H112" i="394"/>
  <c r="W111" i="394"/>
  <c r="N111" i="394"/>
  <c r="O111" i="394" s="1"/>
  <c r="H111" i="394"/>
  <c r="W110" i="394"/>
  <c r="N110" i="394" s="1"/>
  <c r="P110" i="394"/>
  <c r="H110" i="394"/>
  <c r="W109" i="394"/>
  <c r="N109" i="394" s="1"/>
  <c r="H109" i="394"/>
  <c r="AE108" i="394"/>
  <c r="AD108" i="394"/>
  <c r="AA108" i="394"/>
  <c r="Z108" i="394"/>
  <c r="W108" i="394"/>
  <c r="M108" i="394"/>
  <c r="P108" i="394" s="1"/>
  <c r="W107" i="394"/>
  <c r="H107" i="394"/>
  <c r="AG106" i="394"/>
  <c r="AF106" i="394"/>
  <c r="W106" i="394"/>
  <c r="H106" i="394"/>
  <c r="AG105" i="394"/>
  <c r="AF105" i="394"/>
  <c r="W105" i="394"/>
  <c r="H105" i="394"/>
  <c r="AG104" i="394"/>
  <c r="AF104" i="394"/>
  <c r="W104" i="394"/>
  <c r="H104" i="394"/>
  <c r="W103" i="394"/>
  <c r="P103" i="394"/>
  <c r="N103" i="394"/>
  <c r="O103" i="394" s="1"/>
  <c r="AG103" i="394"/>
  <c r="H103" i="394"/>
  <c r="W102" i="394"/>
  <c r="N102" i="394"/>
  <c r="AF102" i="394" s="1"/>
  <c r="P102" i="394"/>
  <c r="H102" i="394"/>
  <c r="W101" i="394"/>
  <c r="P101" i="394"/>
  <c r="N101" i="394"/>
  <c r="O101" i="394" s="1"/>
  <c r="AG101" i="394"/>
  <c r="H101" i="394"/>
  <c r="W100" i="394"/>
  <c r="N100" i="394"/>
  <c r="AF100" i="394" s="1"/>
  <c r="P100" i="394"/>
  <c r="H100" i="394"/>
  <c r="W99" i="394"/>
  <c r="P99" i="394"/>
  <c r="N99" i="394"/>
  <c r="O99" i="394" s="1"/>
  <c r="AG99" i="394"/>
  <c r="H99" i="394"/>
  <c r="W98" i="394"/>
  <c r="N98" i="394"/>
  <c r="AF98" i="394" s="1"/>
  <c r="P98" i="394"/>
  <c r="H98" i="394"/>
  <c r="W97" i="394"/>
  <c r="P97" i="394"/>
  <c r="N97" i="394"/>
  <c r="O97" i="394" s="1"/>
  <c r="AG97" i="394"/>
  <c r="H97" i="394"/>
  <c r="W96" i="394"/>
  <c r="N96" i="394" s="1"/>
  <c r="P96" i="394"/>
  <c r="H96" i="394"/>
  <c r="AE95" i="394"/>
  <c r="AD95" i="394"/>
  <c r="AA95" i="394"/>
  <c r="Z95" i="394"/>
  <c r="M95" i="394"/>
  <c r="AG94" i="394"/>
  <c r="AF94" i="394"/>
  <c r="W94" i="394"/>
  <c r="H94" i="394"/>
  <c r="AG93" i="394"/>
  <c r="AF93" i="394"/>
  <c r="W93" i="394"/>
  <c r="H93" i="394"/>
  <c r="AG92" i="394"/>
  <c r="AF92" i="394"/>
  <c r="W92" i="394"/>
  <c r="H92" i="394"/>
  <c r="AG91" i="394"/>
  <c r="AF91" i="394"/>
  <c r="W91" i="394"/>
  <c r="H91" i="394"/>
  <c r="AG90" i="394"/>
  <c r="AF90" i="394"/>
  <c r="W90" i="394"/>
  <c r="H90" i="394"/>
  <c r="W89" i="394"/>
  <c r="P89" i="394"/>
  <c r="N89" i="394"/>
  <c r="O89" i="394" s="1"/>
  <c r="AG89" i="394"/>
  <c r="H89" i="394"/>
  <c r="W88" i="394"/>
  <c r="N88" i="394"/>
  <c r="AF88" i="394" s="1"/>
  <c r="P88" i="394"/>
  <c r="H88" i="394"/>
  <c r="W87" i="394"/>
  <c r="P87" i="394"/>
  <c r="N87" i="394"/>
  <c r="O87" i="394" s="1"/>
  <c r="AG87" i="394"/>
  <c r="H87" i="394"/>
  <c r="W86" i="394"/>
  <c r="N86" i="394"/>
  <c r="P86" i="394"/>
  <c r="H86" i="394"/>
  <c r="W85" i="394"/>
  <c r="P85" i="394"/>
  <c r="N85" i="394"/>
  <c r="O85" i="394" s="1"/>
  <c r="H85" i="394"/>
  <c r="W84" i="394"/>
  <c r="N84" i="394"/>
  <c r="P84" i="394"/>
  <c r="H84" i="394"/>
  <c r="AG83" i="394"/>
  <c r="W83" i="394"/>
  <c r="N83" i="394"/>
  <c r="P83" i="394"/>
  <c r="H83" i="394"/>
  <c r="AE82" i="394"/>
  <c r="AD82" i="394"/>
  <c r="AA82" i="394"/>
  <c r="Z82" i="394"/>
  <c r="M82" i="394"/>
  <c r="W81" i="394"/>
  <c r="AG80" i="394"/>
  <c r="AF80" i="394"/>
  <c r="W80" i="394"/>
  <c r="H80" i="394"/>
  <c r="AG79" i="394"/>
  <c r="AF79" i="394"/>
  <c r="W79" i="394"/>
  <c r="H79" i="394"/>
  <c r="AG78" i="394"/>
  <c r="AF78" i="394"/>
  <c r="W78" i="394"/>
  <c r="H78" i="394"/>
  <c r="AG77" i="394"/>
  <c r="AF77" i="394"/>
  <c r="W77" i="394"/>
  <c r="H77" i="394"/>
  <c r="W76" i="394"/>
  <c r="N76" i="394"/>
  <c r="P76" i="394"/>
  <c r="H76" i="394"/>
  <c r="AF75" i="394"/>
  <c r="W75" i="394"/>
  <c r="N75" i="394" s="1"/>
  <c r="AG75" i="394" s="1"/>
  <c r="O75" i="394"/>
  <c r="P75" i="394"/>
  <c r="H75" i="394"/>
  <c r="W74" i="394"/>
  <c r="N74" i="394"/>
  <c r="AF74" i="394" s="1"/>
  <c r="P74" i="394"/>
  <c r="H74" i="394"/>
  <c r="W73" i="394"/>
  <c r="N73" i="394" s="1"/>
  <c r="AF73" i="394" s="1"/>
  <c r="P73" i="394"/>
  <c r="H73" i="394"/>
  <c r="AG72" i="394"/>
  <c r="W72" i="394"/>
  <c r="O72" i="394"/>
  <c r="N72" i="394"/>
  <c r="AF72" i="394" s="1"/>
  <c r="P72" i="394"/>
  <c r="H72" i="394"/>
  <c r="W71" i="394"/>
  <c r="N71" i="394" s="1"/>
  <c r="AF71" i="394" s="1"/>
  <c r="P71" i="394"/>
  <c r="H71" i="394"/>
  <c r="W70" i="394"/>
  <c r="N70" i="394" s="1"/>
  <c r="O70" i="394"/>
  <c r="P82" i="394"/>
  <c r="H70" i="394"/>
  <c r="AE69" i="394"/>
  <c r="AD69" i="394"/>
  <c r="AA69" i="394"/>
  <c r="Z69" i="394"/>
  <c r="W69" i="394"/>
  <c r="M69" i="394"/>
  <c r="W68" i="394"/>
  <c r="H68" i="394"/>
  <c r="AG67" i="394"/>
  <c r="AF67" i="394"/>
  <c r="W67" i="394"/>
  <c r="H67" i="394"/>
  <c r="AG66" i="394"/>
  <c r="AF66" i="394"/>
  <c r="W66" i="394"/>
  <c r="H66" i="394"/>
  <c r="AG65" i="394"/>
  <c r="AF65" i="394"/>
  <c r="W65" i="394"/>
  <c r="H65" i="394"/>
  <c r="AG64" i="394"/>
  <c r="AF64" i="394"/>
  <c r="W64" i="394"/>
  <c r="H64" i="394"/>
  <c r="AG63" i="394"/>
  <c r="AF63" i="394"/>
  <c r="W63" i="394"/>
  <c r="H63" i="394"/>
  <c r="AG62" i="394"/>
  <c r="AF62" i="394"/>
  <c r="W62" i="394"/>
  <c r="H62" i="394"/>
  <c r="W61" i="394"/>
  <c r="N61" i="394"/>
  <c r="AF61" i="394" s="1"/>
  <c r="P61" i="394"/>
  <c r="H61" i="394"/>
  <c r="W60" i="394"/>
  <c r="P60" i="394"/>
  <c r="N60" i="394"/>
  <c r="AG60" i="394" s="1"/>
  <c r="H60" i="394"/>
  <c r="W59" i="394"/>
  <c r="N59" i="394"/>
  <c r="AF59" i="394" s="1"/>
  <c r="P59" i="394"/>
  <c r="H59" i="394"/>
  <c r="W58" i="394"/>
  <c r="P58" i="394"/>
  <c r="N58" i="394"/>
  <c r="AG58" i="394" s="1"/>
  <c r="H58" i="394"/>
  <c r="W57" i="394"/>
  <c r="N57" i="394" s="1"/>
  <c r="P57" i="394"/>
  <c r="H57" i="394"/>
  <c r="AE56" i="394"/>
  <c r="AD56" i="394"/>
  <c r="AA56" i="394"/>
  <c r="Z56" i="394"/>
  <c r="W56" i="394"/>
  <c r="M56" i="394"/>
  <c r="W55" i="394"/>
  <c r="H55" i="394"/>
  <c r="AG54" i="394"/>
  <c r="AF54" i="394"/>
  <c r="W54" i="394"/>
  <c r="H54" i="394"/>
  <c r="AG53" i="394"/>
  <c r="AF53" i="394"/>
  <c r="W53" i="394"/>
  <c r="H53" i="394"/>
  <c r="AG52" i="394"/>
  <c r="AF52" i="394"/>
  <c r="W52" i="394"/>
  <c r="H52" i="394"/>
  <c r="AG51" i="394"/>
  <c r="AF51" i="394"/>
  <c r="W51" i="394"/>
  <c r="H51" i="394"/>
  <c r="W50" i="394"/>
  <c r="N50" i="394" s="1"/>
  <c r="P50" i="394"/>
  <c r="H50" i="394"/>
  <c r="AG49" i="394"/>
  <c r="W49" i="394"/>
  <c r="N49" i="394"/>
  <c r="O49" i="394" s="1"/>
  <c r="P49" i="394"/>
  <c r="H49" i="394"/>
  <c r="W48" i="394"/>
  <c r="N48" i="394" s="1"/>
  <c r="P48" i="394"/>
  <c r="H48" i="394"/>
  <c r="W47" i="394"/>
  <c r="N47" i="394"/>
  <c r="O47" i="394" s="1"/>
  <c r="P47" i="394"/>
  <c r="H47" i="394"/>
  <c r="W46" i="394"/>
  <c r="N46" i="394" s="1"/>
  <c r="P46" i="394"/>
  <c r="H46" i="394"/>
  <c r="W45" i="394"/>
  <c r="N45" i="394"/>
  <c r="O45" i="394" s="1"/>
  <c r="P45" i="394"/>
  <c r="H45" i="394"/>
  <c r="W44" i="394"/>
  <c r="N44" i="394"/>
  <c r="O44" i="394" s="1"/>
  <c r="P56" i="394"/>
  <c r="H44" i="394"/>
  <c r="AE43" i="394"/>
  <c r="AD43" i="394"/>
  <c r="AA43" i="394"/>
  <c r="Z43" i="394"/>
  <c r="M43" i="394"/>
  <c r="W42" i="394"/>
  <c r="H42" i="394"/>
  <c r="W41" i="394"/>
  <c r="AG40" i="394"/>
  <c r="AF40" i="394"/>
  <c r="W40" i="394"/>
  <c r="H40" i="394"/>
  <c r="AG39" i="394"/>
  <c r="AF39" i="394"/>
  <c r="W39" i="394"/>
  <c r="H39" i="394"/>
  <c r="AG38" i="394"/>
  <c r="AF38" i="394"/>
  <c r="W38" i="394"/>
  <c r="H38" i="394"/>
  <c r="W37" i="394"/>
  <c r="N37" i="394" s="1"/>
  <c r="P37" i="394"/>
  <c r="H37" i="394"/>
  <c r="W36" i="394"/>
  <c r="N36" i="394"/>
  <c r="AF36" i="394" s="1"/>
  <c r="P36" i="394"/>
  <c r="H36" i="394"/>
  <c r="W35" i="394"/>
  <c r="N35" i="394" s="1"/>
  <c r="P35" i="394"/>
  <c r="H35" i="394"/>
  <c r="W34" i="394"/>
  <c r="N34" i="394"/>
  <c r="AF34" i="394" s="1"/>
  <c r="P34" i="394"/>
  <c r="H34" i="394"/>
  <c r="W33" i="394"/>
  <c r="P33" i="394"/>
  <c r="N33" i="394"/>
  <c r="O33" i="394" s="1"/>
  <c r="AG33" i="394"/>
  <c r="H33" i="394"/>
  <c r="W32" i="394"/>
  <c r="N32" i="394"/>
  <c r="AF32" i="394" s="1"/>
  <c r="P32" i="394"/>
  <c r="H32" i="394"/>
  <c r="W31" i="394"/>
  <c r="N31" i="394"/>
  <c r="O31" i="394" s="1"/>
  <c r="P31" i="394"/>
  <c r="H31" i="394"/>
  <c r="AE30" i="394"/>
  <c r="AD30" i="394"/>
  <c r="AA30" i="394"/>
  <c r="Z30" i="394"/>
  <c r="M30" i="394"/>
  <c r="AF29" i="394"/>
  <c r="W29" i="394"/>
  <c r="H29" i="394"/>
  <c r="AG28" i="394"/>
  <c r="AF28" i="394"/>
  <c r="W28" i="394"/>
  <c r="H28" i="394"/>
  <c r="AG27" i="394"/>
  <c r="AF27" i="394"/>
  <c r="W27" i="394"/>
  <c r="H27" i="394"/>
  <c r="AG26" i="394"/>
  <c r="AF26" i="394"/>
  <c r="W26" i="394"/>
  <c r="H26" i="394"/>
  <c r="AG25" i="394"/>
  <c r="AF25" i="394"/>
  <c r="W25" i="394"/>
  <c r="H25" i="394"/>
  <c r="W24" i="394"/>
  <c r="N24" i="394" s="1"/>
  <c r="H24" i="394"/>
  <c r="W23" i="394"/>
  <c r="N23" i="394" s="1"/>
  <c r="P23" i="394"/>
  <c r="H23" i="394"/>
  <c r="W22" i="394"/>
  <c r="N22" i="394" s="1"/>
  <c r="H22" i="394"/>
  <c r="W21" i="394"/>
  <c r="N21" i="394" s="1"/>
  <c r="P21" i="394"/>
  <c r="H21" i="394"/>
  <c r="W20" i="394"/>
  <c r="N20" i="394" s="1"/>
  <c r="H20" i="394"/>
  <c r="W19" i="394"/>
  <c r="N19" i="394" s="1"/>
  <c r="P19" i="394"/>
  <c r="H19" i="394"/>
  <c r="W18" i="394"/>
  <c r="N18" i="394" s="1"/>
  <c r="P18" i="394"/>
  <c r="H18" i="394"/>
  <c r="AE17" i="394"/>
  <c r="AD17" i="394"/>
  <c r="AA17" i="394"/>
  <c r="Z17" i="394"/>
  <c r="W17" i="394"/>
  <c r="M17" i="394"/>
  <c r="AG16" i="394"/>
  <c r="AF16" i="394"/>
  <c r="W16" i="394"/>
  <c r="H16" i="394"/>
  <c r="AG15" i="394"/>
  <c r="AF15" i="394"/>
  <c r="W15" i="394"/>
  <c r="H15" i="394"/>
  <c r="AG14" i="394"/>
  <c r="AF14" i="394"/>
  <c r="W14" i="394"/>
  <c r="H14" i="394"/>
  <c r="AG13" i="394"/>
  <c r="AF13" i="394"/>
  <c r="W13" i="394"/>
  <c r="H13" i="394"/>
  <c r="AG12" i="394"/>
  <c r="AF12" i="394"/>
  <c r="W12" i="394"/>
  <c r="H12" i="394"/>
  <c r="AF11" i="394"/>
  <c r="W11" i="394"/>
  <c r="P11" i="394"/>
  <c r="N11" i="394"/>
  <c r="O11" i="394" s="1"/>
  <c r="AG11" i="394"/>
  <c r="H11" i="394"/>
  <c r="AF10" i="394"/>
  <c r="W10" i="394"/>
  <c r="O10" i="394"/>
  <c r="N10" i="394"/>
  <c r="P10" i="394"/>
  <c r="H10" i="394"/>
  <c r="W9" i="394"/>
  <c r="P9" i="394"/>
  <c r="N9" i="394"/>
  <c r="O9" i="394" s="1"/>
  <c r="AG9" i="394"/>
  <c r="H9" i="394"/>
  <c r="W8" i="394"/>
  <c r="O8" i="394"/>
  <c r="N8" i="394"/>
  <c r="P8" i="394"/>
  <c r="H8" i="394"/>
  <c r="AG7" i="394"/>
  <c r="W7" i="394"/>
  <c r="P7" i="394"/>
  <c r="N7" i="394"/>
  <c r="AF7" i="394" s="1"/>
  <c r="H7" i="394"/>
  <c r="W6" i="394"/>
  <c r="N6" i="394" s="1"/>
  <c r="P6" i="394"/>
  <c r="H6" i="394"/>
  <c r="W5" i="394"/>
  <c r="N5" i="394" s="1"/>
  <c r="H5" i="394"/>
  <c r="AE2" i="394"/>
  <c r="AD2" i="394"/>
  <c r="AA2" i="394"/>
  <c r="Z2" i="394"/>
  <c r="I2" i="394"/>
  <c r="I1" i="394"/>
  <c r="E1" i="394"/>
  <c r="O6" i="394" l="1"/>
  <c r="AG6" i="394"/>
  <c r="AF6" i="394"/>
  <c r="N17" i="394"/>
  <c r="AG5" i="394"/>
  <c r="AF5" i="394"/>
  <c r="O5" i="394"/>
  <c r="G1" i="394"/>
  <c r="G2" i="394" s="1"/>
  <c r="R8" i="394"/>
  <c r="R10" i="394"/>
  <c r="Q11" i="394"/>
  <c r="P17" i="394"/>
  <c r="AF18" i="394"/>
  <c r="O18" i="394"/>
  <c r="N30" i="394"/>
  <c r="AG18" i="394"/>
  <c r="AG23" i="394"/>
  <c r="AF23" i="394"/>
  <c r="O23" i="394"/>
  <c r="AG37" i="394"/>
  <c r="AF37" i="394"/>
  <c r="O37" i="394"/>
  <c r="P69" i="394"/>
  <c r="P5" i="394"/>
  <c r="O7" i="394"/>
  <c r="AG8" i="394"/>
  <c r="AG10" i="394"/>
  <c r="AG21" i="394"/>
  <c r="AF21" i="394"/>
  <c r="O21" i="394"/>
  <c r="O24" i="394"/>
  <c r="AG24" i="394"/>
  <c r="AF24" i="394"/>
  <c r="AG46" i="394"/>
  <c r="AF46" i="394"/>
  <c r="O46" i="394"/>
  <c r="O56" i="394" s="1"/>
  <c r="R56" i="394" s="1"/>
  <c r="S44" i="394" s="1"/>
  <c r="AG48" i="394"/>
  <c r="AF48" i="394"/>
  <c r="O48" i="394"/>
  <c r="Q8" i="394"/>
  <c r="AF8" i="394"/>
  <c r="AF9" i="394"/>
  <c r="Q10" i="394"/>
  <c r="AG19" i="394"/>
  <c r="AF19" i="394"/>
  <c r="O19" i="394"/>
  <c r="O22" i="394"/>
  <c r="AG22" i="394"/>
  <c r="AF22" i="394"/>
  <c r="AG50" i="394"/>
  <c r="AF50" i="394"/>
  <c r="O50" i="394"/>
  <c r="AG57" i="394"/>
  <c r="N69" i="394"/>
  <c r="AF57" i="394"/>
  <c r="O57" i="394"/>
  <c r="R72" i="394"/>
  <c r="O20" i="394"/>
  <c r="AG20" i="394"/>
  <c r="AF20" i="394"/>
  <c r="R31" i="394"/>
  <c r="Q31" i="394"/>
  <c r="AG35" i="394"/>
  <c r="AF35" i="394"/>
  <c r="O35" i="394"/>
  <c r="R44" i="394"/>
  <c r="Q44" i="394"/>
  <c r="R45" i="394"/>
  <c r="Q45" i="394"/>
  <c r="R47" i="394"/>
  <c r="Q47" i="394"/>
  <c r="R49" i="394"/>
  <c r="Q49" i="394"/>
  <c r="P20" i="394"/>
  <c r="P22" i="394"/>
  <c r="P24" i="394"/>
  <c r="P30" i="394"/>
  <c r="AF31" i="394"/>
  <c r="AG32" i="394"/>
  <c r="AG34" i="394"/>
  <c r="AG36" i="394"/>
  <c r="P44" i="394"/>
  <c r="AF45" i="394"/>
  <c r="AF47" i="394"/>
  <c r="AF49" i="394"/>
  <c r="O58" i="394"/>
  <c r="AG59" i="394"/>
  <c r="O60" i="394"/>
  <c r="AG61" i="394"/>
  <c r="N82" i="394"/>
  <c r="AG70" i="394"/>
  <c r="O71" i="394"/>
  <c r="AG73" i="394"/>
  <c r="O74" i="394"/>
  <c r="AG74" i="394"/>
  <c r="AF84" i="394"/>
  <c r="O84" i="394"/>
  <c r="AG84" i="394"/>
  <c r="AF86" i="394"/>
  <c r="O86" i="394"/>
  <c r="AG86" i="394"/>
  <c r="N121" i="394"/>
  <c r="AF109" i="394"/>
  <c r="O109" i="394"/>
  <c r="AG109" i="394"/>
  <c r="AG31" i="394"/>
  <c r="AF33" i="394"/>
  <c r="P43" i="394"/>
  <c r="N43" i="394"/>
  <c r="AF44" i="394"/>
  <c r="AG45" i="394"/>
  <c r="AG47" i="394"/>
  <c r="N56" i="394"/>
  <c r="AF58" i="394"/>
  <c r="AF60" i="394"/>
  <c r="P70" i="394"/>
  <c r="AF70" i="394"/>
  <c r="AG71" i="394"/>
  <c r="Q75" i="394"/>
  <c r="P95" i="394"/>
  <c r="AG110" i="394"/>
  <c r="AF110" i="394"/>
  <c r="O110" i="394"/>
  <c r="AG112" i="394"/>
  <c r="AF112" i="394"/>
  <c r="O112" i="394"/>
  <c r="AG114" i="394"/>
  <c r="AF114" i="394"/>
  <c r="O114" i="394"/>
  <c r="O32" i="394"/>
  <c r="R33" i="394"/>
  <c r="O34" i="394"/>
  <c r="O36" i="394"/>
  <c r="AG44" i="394"/>
  <c r="O59" i="394"/>
  <c r="O61" i="394"/>
  <c r="R75" i="394"/>
  <c r="O76" i="394"/>
  <c r="AF76" i="394"/>
  <c r="AG76" i="394"/>
  <c r="AG85" i="394"/>
  <c r="R85" i="394"/>
  <c r="AF85" i="394"/>
  <c r="R99" i="394"/>
  <c r="Q99" i="394"/>
  <c r="R103" i="394"/>
  <c r="R115" i="394"/>
  <c r="Q115" i="394"/>
  <c r="Q72" i="394"/>
  <c r="O73" i="394"/>
  <c r="N95" i="394"/>
  <c r="O83" i="394"/>
  <c r="AF83" i="394"/>
  <c r="Q85" i="394"/>
  <c r="R87" i="394"/>
  <c r="AG96" i="394"/>
  <c r="N108" i="394"/>
  <c r="AF96" i="394"/>
  <c r="O96" i="394"/>
  <c r="R111" i="394"/>
  <c r="Q111" i="394"/>
  <c r="R113" i="394"/>
  <c r="Q113" i="394"/>
  <c r="R116" i="394"/>
  <c r="Q116" i="394"/>
  <c r="AG88" i="394"/>
  <c r="AG98" i="394"/>
  <c r="AG100" i="394"/>
  <c r="AG102" i="394"/>
  <c r="P111" i="394"/>
  <c r="AF111" i="394"/>
  <c r="P113" i="394"/>
  <c r="AF113" i="394"/>
  <c r="P115" i="394"/>
  <c r="AF115" i="394"/>
  <c r="AG117" i="394"/>
  <c r="AF117" i="394"/>
  <c r="AG123" i="394"/>
  <c r="AF123" i="394"/>
  <c r="O123" i="394"/>
  <c r="AF124" i="394"/>
  <c r="O124" i="394"/>
  <c r="AG124" i="394"/>
  <c r="AF128" i="394"/>
  <c r="O128" i="394"/>
  <c r="AG128" i="394"/>
  <c r="AF140" i="394"/>
  <c r="O140" i="394"/>
  <c r="AG140" i="394"/>
  <c r="P160" i="394"/>
  <c r="R165" i="394"/>
  <c r="Q165" i="394"/>
  <c r="AF87" i="394"/>
  <c r="AF89" i="394"/>
  <c r="AF97" i="394"/>
  <c r="AF99" i="394"/>
  <c r="AF101" i="394"/>
  <c r="AF103" i="394"/>
  <c r="AG111" i="394"/>
  <c r="AG113" i="394"/>
  <c r="AG115" i="394"/>
  <c r="N147" i="394"/>
  <c r="O135" i="394"/>
  <c r="AG135" i="394"/>
  <c r="AF135" i="394"/>
  <c r="AF138" i="394"/>
  <c r="O138" i="394"/>
  <c r="AG138" i="394"/>
  <c r="R143" i="394"/>
  <c r="Q143" i="394"/>
  <c r="R154" i="394"/>
  <c r="Q154" i="394"/>
  <c r="R163" i="394"/>
  <c r="Q163" i="394"/>
  <c r="Q87" i="394"/>
  <c r="O88" i="394"/>
  <c r="R89" i="394"/>
  <c r="R97" i="394"/>
  <c r="O98" i="394"/>
  <c r="O100" i="394"/>
  <c r="R101" i="394"/>
  <c r="O102" i="394"/>
  <c r="Q103" i="394"/>
  <c r="P109" i="394"/>
  <c r="AG116" i="394"/>
  <c r="AF122" i="394"/>
  <c r="N134" i="394"/>
  <c r="O122" i="394"/>
  <c r="AF126" i="394"/>
  <c r="O126" i="394"/>
  <c r="AG126" i="394"/>
  <c r="AF130" i="394"/>
  <c r="O130" i="394"/>
  <c r="AG130" i="394"/>
  <c r="N160" i="394"/>
  <c r="AF148" i="394"/>
  <c r="O148" i="394"/>
  <c r="AG148" i="394"/>
  <c r="R152" i="394"/>
  <c r="Q152" i="394"/>
  <c r="AF136" i="394"/>
  <c r="O136" i="394"/>
  <c r="AG136" i="394"/>
  <c r="AF142" i="394"/>
  <c r="O142" i="394"/>
  <c r="AG142" i="394"/>
  <c r="R150" i="394"/>
  <c r="Q150" i="394"/>
  <c r="O125" i="394"/>
  <c r="O127" i="394"/>
  <c r="O129" i="394"/>
  <c r="P134" i="394"/>
  <c r="O137" i="394"/>
  <c r="O139" i="394"/>
  <c r="O141" i="394"/>
  <c r="AF150" i="394"/>
  <c r="AF152" i="394"/>
  <c r="AF154" i="394"/>
  <c r="AG161" i="394"/>
  <c r="AF163" i="394"/>
  <c r="AF165" i="394"/>
  <c r="AF125" i="394"/>
  <c r="AF127" i="394"/>
  <c r="AF129" i="394"/>
  <c r="O149" i="394"/>
  <c r="AG150" i="394"/>
  <c r="O151" i="394"/>
  <c r="AG152" i="394"/>
  <c r="O153" i="394"/>
  <c r="AG154" i="394"/>
  <c r="O161" i="394"/>
  <c r="O162" i="394"/>
  <c r="AG163" i="394"/>
  <c r="O164" i="394"/>
  <c r="AG165" i="394"/>
  <c r="O166" i="394"/>
  <c r="P173" i="394"/>
  <c r="N173" i="394"/>
  <c r="P147" i="394"/>
  <c r="AF149" i="394"/>
  <c r="AF151" i="394"/>
  <c r="AF153" i="394"/>
  <c r="AF162" i="394"/>
  <c r="AF164" i="394"/>
  <c r="AF166" i="394"/>
  <c r="AG173" i="394" l="1"/>
  <c r="AH161" i="394" s="1"/>
  <c r="AF173" i="394"/>
  <c r="Q153" i="394"/>
  <c r="R153" i="394"/>
  <c r="R129" i="394"/>
  <c r="Q129" i="394"/>
  <c r="Q122" i="394"/>
  <c r="O134" i="394"/>
  <c r="R122" i="394"/>
  <c r="Q166" i="394"/>
  <c r="R166" i="394"/>
  <c r="Q162" i="394"/>
  <c r="R162" i="394"/>
  <c r="R137" i="394"/>
  <c r="Q137" i="394"/>
  <c r="R127" i="394"/>
  <c r="Q127" i="394"/>
  <c r="AG160" i="394"/>
  <c r="AH148" i="394" s="1"/>
  <c r="AF160" i="394"/>
  <c r="AG134" i="394"/>
  <c r="AH122" i="394" s="1"/>
  <c r="AF134" i="394"/>
  <c r="R100" i="394"/>
  <c r="Q100" i="394"/>
  <c r="R138" i="394"/>
  <c r="Q138" i="394"/>
  <c r="Q161" i="394"/>
  <c r="O173" i="394"/>
  <c r="R161" i="394"/>
  <c r="Q151" i="394"/>
  <c r="R151" i="394"/>
  <c r="R125" i="394"/>
  <c r="Q125" i="394"/>
  <c r="R142" i="394"/>
  <c r="Q142" i="394"/>
  <c r="R126" i="394"/>
  <c r="Q126" i="394"/>
  <c r="AG147" i="394"/>
  <c r="AH135" i="394" s="1"/>
  <c r="AF147" i="394"/>
  <c r="R128" i="394"/>
  <c r="Q128" i="394"/>
  <c r="O108" i="394"/>
  <c r="R96" i="394"/>
  <c r="Q96" i="394"/>
  <c r="R61" i="394"/>
  <c r="Q61" i="394"/>
  <c r="R36" i="394"/>
  <c r="Q36" i="394"/>
  <c r="Q114" i="394"/>
  <c r="R114" i="394"/>
  <c r="Q97" i="394"/>
  <c r="R60" i="394"/>
  <c r="Q60" i="394"/>
  <c r="AG69" i="394"/>
  <c r="AH57" i="394" s="1"/>
  <c r="Q69" i="394"/>
  <c r="AF69" i="394"/>
  <c r="Q19" i="394"/>
  <c r="R19" i="394"/>
  <c r="Q21" i="394"/>
  <c r="R21" i="394"/>
  <c r="Q33" i="394"/>
  <c r="Q9" i="394"/>
  <c r="R9" i="394"/>
  <c r="AG17" i="394"/>
  <c r="AH5" i="394" s="1"/>
  <c r="AF17" i="394"/>
  <c r="Q164" i="394"/>
  <c r="R164" i="394"/>
  <c r="R141" i="394"/>
  <c r="Q141" i="394"/>
  <c r="Q148" i="394"/>
  <c r="O160" i="394"/>
  <c r="R148" i="394"/>
  <c r="R130" i="394"/>
  <c r="Q130" i="394"/>
  <c r="R117" i="394"/>
  <c r="R102" i="394"/>
  <c r="Q102" i="394"/>
  <c r="R98" i="394"/>
  <c r="Q98" i="394"/>
  <c r="R140" i="394"/>
  <c r="Q140" i="394"/>
  <c r="Q123" i="394"/>
  <c r="R123" i="394"/>
  <c r="O95" i="394"/>
  <c r="Q83" i="394"/>
  <c r="R83" i="394"/>
  <c r="Q70" i="394"/>
  <c r="R59" i="394"/>
  <c r="Q59" i="394"/>
  <c r="R34" i="394"/>
  <c r="Q34" i="394"/>
  <c r="AG121" i="394"/>
  <c r="AH109" i="394" s="1"/>
  <c r="AF121" i="394"/>
  <c r="R74" i="394"/>
  <c r="Q74" i="394"/>
  <c r="Q82" i="394"/>
  <c r="AG82" i="394"/>
  <c r="AH70" i="394" s="1"/>
  <c r="AF82" i="394"/>
  <c r="Q7" i="394"/>
  <c r="R7" i="394"/>
  <c r="R37" i="394"/>
  <c r="Q37" i="394"/>
  <c r="R5" i="394"/>
  <c r="O17" i="394"/>
  <c r="Q5" i="394"/>
  <c r="Q117" i="394"/>
  <c r="AG108" i="394"/>
  <c r="AH96" i="394" s="1"/>
  <c r="AF108" i="394"/>
  <c r="AF95" i="394"/>
  <c r="AG95" i="394"/>
  <c r="AH83" i="394" s="1"/>
  <c r="Q76" i="394"/>
  <c r="R76" i="394"/>
  <c r="Q110" i="394"/>
  <c r="R110" i="394"/>
  <c r="Q89" i="394"/>
  <c r="AF56" i="394"/>
  <c r="AG56" i="394"/>
  <c r="AH44" i="394" s="1"/>
  <c r="Q56" i="394"/>
  <c r="AG43" i="394"/>
  <c r="AH31" i="394" s="1"/>
  <c r="AF43" i="394"/>
  <c r="Q43" i="394"/>
  <c r="Q101" i="394"/>
  <c r="Q84" i="394"/>
  <c r="R84" i="394"/>
  <c r="R70" i="394"/>
  <c r="R58" i="394"/>
  <c r="Q58" i="394"/>
  <c r="R35" i="394"/>
  <c r="Q35" i="394"/>
  <c r="R20" i="394"/>
  <c r="Q20" i="394"/>
  <c r="O69" i="394"/>
  <c r="R69" i="394" s="1"/>
  <c r="S57" i="394" s="1"/>
  <c r="R57" i="394"/>
  <c r="Q57" i="394"/>
  <c r="Q50" i="394"/>
  <c r="R50" i="394"/>
  <c r="Q46" i="394"/>
  <c r="R46" i="394"/>
  <c r="Q23" i="394"/>
  <c r="R23" i="394"/>
  <c r="AG30" i="394"/>
  <c r="AH18" i="394" s="1"/>
  <c r="AF30" i="394"/>
  <c r="Q149" i="394"/>
  <c r="R149" i="394"/>
  <c r="R139" i="394"/>
  <c r="Q139" i="394"/>
  <c r="R88" i="394"/>
  <c r="Q88" i="394"/>
  <c r="R136" i="394"/>
  <c r="Q136" i="394"/>
  <c r="O147" i="394"/>
  <c r="R135" i="394"/>
  <c r="Q135" i="394"/>
  <c r="R124" i="394"/>
  <c r="Q124" i="394"/>
  <c r="R73" i="394"/>
  <c r="Q73" i="394"/>
  <c r="O82" i="394"/>
  <c r="R82" i="394" s="1"/>
  <c r="S70" i="394" s="1"/>
  <c r="R32" i="394"/>
  <c r="Q32" i="394"/>
  <c r="Q112" i="394"/>
  <c r="R112" i="394"/>
  <c r="Q109" i="394"/>
  <c r="O121" i="394"/>
  <c r="R109" i="394"/>
  <c r="Q86" i="394"/>
  <c r="R86" i="394"/>
  <c r="R71" i="394"/>
  <c r="Q71" i="394"/>
  <c r="O43" i="394"/>
  <c r="R43" i="394" s="1"/>
  <c r="S31" i="394" s="1"/>
  <c r="R22" i="394"/>
  <c r="Q22" i="394"/>
  <c r="Q48" i="394"/>
  <c r="R48" i="394"/>
  <c r="R24" i="394"/>
  <c r="Q24" i="394"/>
  <c r="Q18" i="394"/>
  <c r="O30" i="394"/>
  <c r="R18" i="394"/>
  <c r="R11" i="394"/>
  <c r="R6" i="394"/>
  <c r="Q6" i="394"/>
  <c r="R160" i="394" l="1"/>
  <c r="S148" i="394" s="1"/>
  <c r="Q160" i="394"/>
  <c r="Q134" i="394"/>
  <c r="R134" i="394"/>
  <c r="S122" i="394" s="1"/>
  <c r="R121" i="394"/>
  <c r="S109" i="394" s="1"/>
  <c r="Q121" i="394"/>
  <c r="R173" i="394"/>
  <c r="S161" i="394" s="1"/>
  <c r="Q173" i="394"/>
  <c r="R147" i="394"/>
  <c r="S135" i="394" s="1"/>
  <c r="Q147" i="394"/>
  <c r="R17" i="394"/>
  <c r="S5" i="394" s="1"/>
  <c r="Q17" i="394"/>
  <c r="E2" i="394"/>
  <c r="R108" i="394"/>
  <c r="S96" i="394" s="1"/>
  <c r="Q108" i="394"/>
  <c r="Q30" i="394"/>
  <c r="R30" i="394"/>
  <c r="S18" i="394" s="1"/>
  <c r="R95" i="394"/>
  <c r="S83" i="394" s="1"/>
  <c r="Q95" i="394"/>
  <c r="J124" i="392" l="1"/>
  <c r="H123" i="392"/>
  <c r="H122" i="392"/>
  <c r="H121" i="392"/>
  <c r="H120" i="392"/>
  <c r="H119" i="392"/>
  <c r="P118" i="392"/>
  <c r="K118" i="392" s="1"/>
  <c r="L118" i="392" s="1"/>
  <c r="H118" i="392"/>
  <c r="P117" i="392"/>
  <c r="K117" i="392"/>
  <c r="L117" i="392" s="1"/>
  <c r="H117" i="392"/>
  <c r="P116" i="392"/>
  <c r="K116" i="392" s="1"/>
  <c r="L116" i="392" s="1"/>
  <c r="H116" i="392"/>
  <c r="P115" i="392"/>
  <c r="K115" i="392"/>
  <c r="L115" i="392" s="1"/>
  <c r="H115" i="392"/>
  <c r="P114" i="392"/>
  <c r="K114" i="392" s="1"/>
  <c r="L114" i="392" s="1"/>
  <c r="H114" i="392"/>
  <c r="P113" i="392"/>
  <c r="K113" i="392"/>
  <c r="L113" i="392" s="1"/>
  <c r="H113" i="392"/>
  <c r="P112" i="392"/>
  <c r="K112" i="392" s="1"/>
  <c r="H112" i="392"/>
  <c r="J111" i="392"/>
  <c r="H110" i="392"/>
  <c r="H109" i="392"/>
  <c r="H108" i="392"/>
  <c r="H107" i="392"/>
  <c r="H106" i="392"/>
  <c r="P105" i="392"/>
  <c r="K105" i="392" s="1"/>
  <c r="L105" i="392" s="1"/>
  <c r="H105" i="392"/>
  <c r="P104" i="392"/>
  <c r="K104" i="392"/>
  <c r="L104" i="392" s="1"/>
  <c r="H104" i="392"/>
  <c r="P103" i="392"/>
  <c r="K103" i="392" s="1"/>
  <c r="L103" i="392" s="1"/>
  <c r="H103" i="392"/>
  <c r="P102" i="392"/>
  <c r="K102" i="392"/>
  <c r="L102" i="392" s="1"/>
  <c r="H102" i="392"/>
  <c r="P101" i="392"/>
  <c r="K101" i="392" s="1"/>
  <c r="H101" i="392"/>
  <c r="J100" i="392"/>
  <c r="H99" i="392"/>
  <c r="H98" i="392"/>
  <c r="H97" i="392"/>
  <c r="H96" i="392"/>
  <c r="H95" i="392"/>
  <c r="P94" i="392"/>
  <c r="K94" i="392" s="1"/>
  <c r="L94" i="392" s="1"/>
  <c r="H94" i="392"/>
  <c r="P93" i="392"/>
  <c r="K93" i="392"/>
  <c r="L93" i="392" s="1"/>
  <c r="H93" i="392"/>
  <c r="P92" i="392"/>
  <c r="K92" i="392" s="1"/>
  <c r="H92" i="392"/>
  <c r="J91" i="392"/>
  <c r="H90" i="392"/>
  <c r="H89" i="392"/>
  <c r="H88" i="392"/>
  <c r="H87" i="392"/>
  <c r="H86" i="392"/>
  <c r="H85" i="392"/>
  <c r="H84" i="392"/>
  <c r="H83" i="392"/>
  <c r="P82" i="392"/>
  <c r="K82" i="392" s="1"/>
  <c r="H82" i="392"/>
  <c r="L81" i="392"/>
  <c r="K81" i="392"/>
  <c r="J81" i="392"/>
  <c r="H80" i="392"/>
  <c r="H79" i="392"/>
  <c r="H78" i="392"/>
  <c r="H77" i="392"/>
  <c r="H76" i="392"/>
  <c r="J75" i="392"/>
  <c r="H74" i="392"/>
  <c r="H73" i="392"/>
  <c r="H72" i="392"/>
  <c r="H71" i="392"/>
  <c r="P70" i="392"/>
  <c r="K70" i="392" s="1"/>
  <c r="L70" i="392" s="1"/>
  <c r="H70" i="392"/>
  <c r="P69" i="392"/>
  <c r="L69" i="392"/>
  <c r="K69" i="392"/>
  <c r="H69" i="392"/>
  <c r="P68" i="392"/>
  <c r="K68" i="392" s="1"/>
  <c r="L68" i="392" s="1"/>
  <c r="H68" i="392"/>
  <c r="P67" i="392"/>
  <c r="L67" i="392"/>
  <c r="K67" i="392"/>
  <c r="H67" i="392"/>
  <c r="P66" i="392"/>
  <c r="K66" i="392" s="1"/>
  <c r="L66" i="392" s="1"/>
  <c r="H66" i="392"/>
  <c r="P65" i="392"/>
  <c r="L65" i="392"/>
  <c r="K65" i="392"/>
  <c r="H65" i="392"/>
  <c r="J64" i="392"/>
  <c r="H63" i="392"/>
  <c r="H62" i="392"/>
  <c r="H61" i="392"/>
  <c r="H60" i="392"/>
  <c r="P59" i="392"/>
  <c r="K59" i="392" s="1"/>
  <c r="L59" i="392" s="1"/>
  <c r="H59" i="392"/>
  <c r="P58" i="392"/>
  <c r="L58" i="392"/>
  <c r="K58" i="392"/>
  <c r="H58" i="392"/>
  <c r="P57" i="392"/>
  <c r="K57" i="392" s="1"/>
  <c r="L57" i="392" s="1"/>
  <c r="H57" i="392"/>
  <c r="P56" i="392"/>
  <c r="L56" i="392"/>
  <c r="K56" i="392"/>
  <c r="H56" i="392"/>
  <c r="P55" i="392"/>
  <c r="K55" i="392" s="1"/>
  <c r="L55" i="392" s="1"/>
  <c r="H55" i="392"/>
  <c r="P54" i="392"/>
  <c r="L54" i="392"/>
  <c r="K54" i="392"/>
  <c r="H54" i="392"/>
  <c r="P53" i="392"/>
  <c r="K53" i="392" s="1"/>
  <c r="L53" i="392" s="1"/>
  <c r="H53" i="392"/>
  <c r="P52" i="392"/>
  <c r="L52" i="392"/>
  <c r="L64" i="392" s="1"/>
  <c r="K52" i="392"/>
  <c r="H52" i="392"/>
  <c r="H50" i="392"/>
  <c r="H49" i="392"/>
  <c r="H47" i="392"/>
  <c r="H46" i="392"/>
  <c r="H45" i="392"/>
  <c r="H44" i="392"/>
  <c r="H43" i="392"/>
  <c r="H42" i="392"/>
  <c r="H41" i="392"/>
  <c r="H40" i="392"/>
  <c r="H39" i="392"/>
  <c r="J38" i="392"/>
  <c r="H37" i="392"/>
  <c r="H36" i="392"/>
  <c r="H35" i="392"/>
  <c r="H34" i="392"/>
  <c r="H33" i="392"/>
  <c r="H32" i="392"/>
  <c r="H31" i="392"/>
  <c r="H30" i="392"/>
  <c r="H29" i="392"/>
  <c r="P28" i="392"/>
  <c r="K28" i="392" s="1"/>
  <c r="L28" i="392" s="1"/>
  <c r="H28" i="392"/>
  <c r="P27" i="392"/>
  <c r="K27" i="392"/>
  <c r="L27" i="392" s="1"/>
  <c r="H27" i="392"/>
  <c r="P26" i="392"/>
  <c r="K26" i="392" s="1"/>
  <c r="L26" i="392" s="1"/>
  <c r="H26" i="392"/>
  <c r="P25" i="392"/>
  <c r="K25" i="392"/>
  <c r="K38" i="392" s="1"/>
  <c r="H25" i="392"/>
  <c r="J24" i="392"/>
  <c r="H23" i="392"/>
  <c r="H22" i="392"/>
  <c r="H21" i="392"/>
  <c r="H20" i="392"/>
  <c r="P19" i="392"/>
  <c r="K19" i="392" s="1"/>
  <c r="L19" i="392" s="1"/>
  <c r="H19" i="392"/>
  <c r="P18" i="392"/>
  <c r="K18" i="392"/>
  <c r="L18" i="392" s="1"/>
  <c r="H18" i="392"/>
  <c r="P17" i="392"/>
  <c r="K17" i="392" s="1"/>
  <c r="H17" i="392"/>
  <c r="J16" i="392"/>
  <c r="I1" i="392" s="1"/>
  <c r="H15" i="392"/>
  <c r="H14" i="392"/>
  <c r="H13" i="392"/>
  <c r="H12" i="392"/>
  <c r="H11" i="392"/>
  <c r="H10" i="392"/>
  <c r="H9" i="392"/>
  <c r="H8" i="392"/>
  <c r="P7" i="392"/>
  <c r="K7" i="392"/>
  <c r="L7" i="392" s="1"/>
  <c r="H7" i="392"/>
  <c r="P6" i="392"/>
  <c r="K6" i="392" s="1"/>
  <c r="L6" i="392" s="1"/>
  <c r="H6" i="392"/>
  <c r="P5" i="392"/>
  <c r="K5" i="392"/>
  <c r="L5" i="392" s="1"/>
  <c r="H5" i="392"/>
  <c r="I2" i="392"/>
  <c r="E1" i="392"/>
  <c r="K91" i="392" l="1"/>
  <c r="L82" i="392"/>
  <c r="L91" i="392" s="1"/>
  <c r="G1" i="392"/>
  <c r="G2" i="392" s="1"/>
  <c r="K64" i="392"/>
  <c r="L112" i="392"/>
  <c r="L124" i="392" s="1"/>
  <c r="K124" i="392"/>
  <c r="K75" i="392"/>
  <c r="L101" i="392"/>
  <c r="L111" i="392" s="1"/>
  <c r="K111" i="392"/>
  <c r="L16" i="392"/>
  <c r="K24" i="392"/>
  <c r="L17" i="392"/>
  <c r="L24" i="392" s="1"/>
  <c r="L75" i="392"/>
  <c r="L92" i="392"/>
  <c r="L100" i="392" s="1"/>
  <c r="K100" i="392"/>
  <c r="K16" i="392"/>
  <c r="L25" i="392"/>
  <c r="L38" i="392" s="1"/>
  <c r="E2" i="392" l="1"/>
  <c r="M32" i="389" l="1"/>
  <c r="L32" i="389"/>
  <c r="K32" i="389"/>
  <c r="J32" i="389"/>
  <c r="I32" i="389"/>
  <c r="H32" i="389"/>
  <c r="G32" i="389"/>
  <c r="F32" i="389"/>
  <c r="E32" i="389"/>
  <c r="D32" i="389"/>
  <c r="J8" i="389" s="1"/>
  <c r="Q15" i="389"/>
  <c r="P15" i="389"/>
  <c r="O15" i="389"/>
  <c r="N15" i="389"/>
  <c r="M15" i="389"/>
  <c r="L15" i="389"/>
  <c r="K15" i="389"/>
  <c r="J15" i="389"/>
  <c r="I15" i="389"/>
  <c r="H15" i="389"/>
  <c r="G15" i="389"/>
  <c r="F15" i="389"/>
  <c r="E15" i="389"/>
  <c r="D15" i="389"/>
  <c r="H8" i="389"/>
  <c r="L7" i="389"/>
  <c r="J7" i="389"/>
  <c r="H7" i="389"/>
  <c r="F7" i="389"/>
  <c r="L6" i="389"/>
  <c r="J6" i="389"/>
  <c r="H6" i="389"/>
  <c r="F6" i="389"/>
  <c r="L8" i="389" l="1"/>
  <c r="F8" i="389"/>
</calcChain>
</file>

<file path=xl/sharedStrings.xml><?xml version="1.0" encoding="utf-8"?>
<sst xmlns="http://schemas.openxmlformats.org/spreadsheetml/2006/main" count="4351" uniqueCount="650">
  <si>
    <t>晉欣廠組合室生產人時性分析</t>
    <phoneticPr fontId="3" type="noConversion"/>
  </si>
  <si>
    <t>日期</t>
  </si>
  <si>
    <t>訂單量</t>
  </si>
  <si>
    <t>營業額</t>
  </si>
  <si>
    <t>異常停線</t>
    <phoneticPr fontId="7" type="noConversion"/>
  </si>
  <si>
    <t>短暫停線</t>
    <phoneticPr fontId="7" type="noConversion"/>
  </si>
  <si>
    <t>全溫層</t>
  </si>
  <si>
    <t>4度C(含4度飯糰)</t>
  </si>
  <si>
    <t>18度C 一配</t>
  </si>
  <si>
    <t>18度C 二配</t>
  </si>
  <si>
    <t>排關平均</t>
  </si>
  <si>
    <t>實績平均</t>
  </si>
  <si>
    <t>達成率平均</t>
  </si>
  <si>
    <t>壽司線</t>
  </si>
  <si>
    <t>產線異常
(5分鐘以上)</t>
    <phoneticPr fontId="14" type="noConversion"/>
  </si>
  <si>
    <t/>
  </si>
  <si>
    <t>短暫停線
(5分鐘以下)</t>
    <phoneticPr fontId="14" type="noConversion"/>
  </si>
  <si>
    <t>ET-600</t>
  </si>
  <si>
    <t>八爪機</t>
  </si>
  <si>
    <t>十爪機</t>
  </si>
  <si>
    <t>ET-55</t>
  </si>
  <si>
    <t>伺服包裝機</t>
  </si>
  <si>
    <t>熱麵固定線</t>
  </si>
  <si>
    <t>烤飯糰</t>
  </si>
  <si>
    <t>吸收產線</t>
  </si>
  <si>
    <t>大口固定線</t>
  </si>
  <si>
    <t>連續式
海苔機</t>
  </si>
  <si>
    <t>3300型
飯糰機A</t>
  </si>
  <si>
    <t>3300型
飯糰機B</t>
  </si>
  <si>
    <t>3600型
飯糰機A</t>
  </si>
  <si>
    <t>3600型
飯糰機B</t>
  </si>
  <si>
    <t>夾心型
飯糰機</t>
  </si>
  <si>
    <t>3300型</t>
  </si>
  <si>
    <t>3600型</t>
  </si>
  <si>
    <t>夾心型</t>
  </si>
  <si>
    <t>人時性</t>
  </si>
  <si>
    <t>結束</t>
  </si>
  <si>
    <t>出勤人數</t>
  </si>
  <si>
    <t>產線配置圖</t>
  </si>
  <si>
    <t>生產實績</t>
  </si>
  <si>
    <t>平均廠價</t>
  </si>
  <si>
    <t>多次生產數</t>
  </si>
  <si>
    <t>品類</t>
  </si>
  <si>
    <t>廠價</t>
  </si>
  <si>
    <t>生產量</t>
  </si>
  <si>
    <t>營收</t>
  </si>
  <si>
    <t>人數</t>
  </si>
  <si>
    <t>產能/時</t>
  </si>
  <si>
    <t>生產時間</t>
    <rPh sb="0" eb="4">
      <t>カイシジカン</t>
    </rPh>
    <phoneticPr fontId="4"/>
  </si>
  <si>
    <t>前置、換線時間/分</t>
    <rPh sb="0" eb="2">
      <t>キリカエ</t>
    </rPh>
    <phoneticPr fontId="4"/>
  </si>
  <si>
    <t>開始</t>
    <rPh sb="0" eb="2">
      <t>カイシジカン</t>
    </rPh>
    <phoneticPr fontId="4"/>
  </si>
  <si>
    <t>結束</t>
    <rPh sb="0" eb="2">
      <t>シュウリョウジカン</t>
    </rPh>
    <phoneticPr fontId="4"/>
  </si>
  <si>
    <t>椒麻香蔥雞涼拌麵</t>
  </si>
  <si>
    <t>台式麻醬涼麵</t>
  </si>
  <si>
    <t>大滿足香辣涼麵</t>
  </si>
  <si>
    <t>大滿足麻醬涼麵</t>
  </si>
  <si>
    <t>蔬活腿排補力餐盒</t>
  </si>
  <si>
    <t>嫩烤香料雞胸排蔬滿盒</t>
  </si>
  <si>
    <t>海陸雙拼肉肉餐盒</t>
  </si>
  <si>
    <t>日式蕎麥沾麵</t>
  </si>
  <si>
    <t>古早味炒炊粉</t>
  </si>
  <si>
    <t>大口日式塔塔醬蝦排飯糰</t>
  </si>
  <si>
    <t>大口義式香草雞腿排飯糰</t>
  </si>
  <si>
    <t>香辣醬粉絲煲</t>
  </si>
  <si>
    <t>優質池上飯</t>
  </si>
  <si>
    <t>媽媽煮藝-鹹酥雞</t>
  </si>
  <si>
    <t>糖燻豬耳絲</t>
  </si>
  <si>
    <t>燻之味-糖燻雞胗</t>
  </si>
  <si>
    <t>韓式蒜味炸雞</t>
  </si>
  <si>
    <t>好吃雞肉便當</t>
  </si>
  <si>
    <t>香腸腿排雙拼便當</t>
  </si>
  <si>
    <t>新招牌腿排便當</t>
  </si>
  <si>
    <t>二配起司控培根白醬焗烤飯</t>
  </si>
  <si>
    <t>淡麗清酒蒸蛤蜊烤飯糰</t>
  </si>
  <si>
    <t>糖燻野郎起司炙燒牛烤飯糰</t>
  </si>
  <si>
    <t>鐵板滑蛋炸豬排丼</t>
  </si>
  <si>
    <t>壹號醬雞豚雙拼</t>
  </si>
  <si>
    <t>二配香辣醬蒜味香腸蛋炒飯</t>
  </si>
  <si>
    <t>健身G肉餐盒</t>
  </si>
  <si>
    <t>烤蛋白餐盒</t>
  </si>
  <si>
    <t>二配里肌豬排可可咖哩歐姆蛋飯</t>
  </si>
  <si>
    <t>二配黃金雞排蘑菇白醬歐姆蛋飯</t>
  </si>
  <si>
    <t>二配哞哞培根奶香海陸焗飯</t>
  </si>
  <si>
    <t>二配港式香滑嫩蛋牛肉燴飯</t>
  </si>
  <si>
    <t>二配金咖哩濃厚辛口咖哩飯</t>
  </si>
  <si>
    <t>二配金咖哩果香甘口咖哩飯</t>
  </si>
  <si>
    <t>二配泰式綠咖哩雞</t>
  </si>
  <si>
    <t>二配川味麻婆燒豆腐燴飯</t>
  </si>
  <si>
    <t>大口歐風焙煎咖哩漢堡排飯糰</t>
  </si>
  <si>
    <t>大口蒜味香腸燒肉雙拼飯糰</t>
  </si>
  <si>
    <t>大口法式蕈菇起司雞排飯糰</t>
  </si>
  <si>
    <t>1.當日出勤人數較多</t>
  </si>
  <si>
    <t>2.當日出勤人數較少</t>
  </si>
  <si>
    <t>4.當日出勤新人較多</t>
  </si>
  <si>
    <t>5.機台夾盒</t>
  </si>
  <si>
    <t>6.封膜不順</t>
  </si>
  <si>
    <t>7.更換膠膜</t>
  </si>
  <si>
    <t>8.更換碳帶</t>
  </si>
  <si>
    <t>9.當日熱轉印碳帶異常</t>
  </si>
  <si>
    <t>10.訂單量過少</t>
  </si>
  <si>
    <t>11.新品上市，尚未熟悉</t>
  </si>
  <si>
    <t>換線/分</t>
    <rPh sb="0" eb="2">
      <t>キリカエ</t>
    </rPh>
    <phoneticPr fontId="4"/>
  </si>
  <si>
    <t>碳烤燒肉飯飯糰(區)</t>
  </si>
  <si>
    <t>平均</t>
  </si>
  <si>
    <t>鮭魚奶油醬油飯糰</t>
  </si>
  <si>
    <t>熟成紅鮭飯糰</t>
  </si>
  <si>
    <t>北海道秋鮭親子飯糰</t>
  </si>
  <si>
    <t>贅沢鮭魚肚飯糰</t>
  </si>
  <si>
    <t>經典肉鬆飯糰</t>
  </si>
  <si>
    <t>蔬食鮪魚飯糰</t>
  </si>
  <si>
    <t>明太子龍蝦風味沙拉飯糰</t>
  </si>
  <si>
    <t>鮪魚飯糰</t>
  </si>
  <si>
    <t>二配 夾心型
飯糰機</t>
  </si>
  <si>
    <t>二配雞肉飯飯糰</t>
  </si>
  <si>
    <t>二配三杯醬爆菇菇飯糰</t>
  </si>
  <si>
    <t>二配壹號醬炙烤牛飯糰</t>
  </si>
  <si>
    <t>二配鹽蔥燒肉飯糰</t>
  </si>
  <si>
    <t>二配熟成紅鮭飯糰</t>
  </si>
  <si>
    <t>二配北海道秋鮭親子飯糰</t>
  </si>
  <si>
    <t>二配明太子龍蝦風味沙拉飯糰</t>
  </si>
  <si>
    <t>二配鮪魚飯糰</t>
  </si>
  <si>
    <t>二配芝麻香鬆飯糰</t>
  </si>
  <si>
    <t>季節調理麵</t>
  </si>
  <si>
    <t>便當</t>
  </si>
  <si>
    <t>熱食義麵</t>
  </si>
  <si>
    <t>小菜微波</t>
  </si>
  <si>
    <t>飯糰</t>
  </si>
  <si>
    <t>微波主食</t>
  </si>
  <si>
    <t>0</t>
  </si>
  <si>
    <t>壽司手卷</t>
  </si>
  <si>
    <t>項目</t>
  </si>
  <si>
    <t>➀</t>
  </si>
  <si>
    <t>➁</t>
  </si>
  <si>
    <t>➂</t>
  </si>
  <si>
    <t>➃</t>
  </si>
  <si>
    <t>組合室</t>
  </si>
  <si>
    <t>二配濃起司燻腸紅醬焗烤飯</t>
  </si>
  <si>
    <t>媽媽煮藝-香滷牛肚絲</t>
  </si>
  <si>
    <t>壹號醬壽喜燒牛丼</t>
  </si>
  <si>
    <t>溫層</t>
  </si>
  <si>
    <t>➁4度C-各編組展開</t>
  </si>
  <si>
    <t>編組</t>
  </si>
  <si>
    <t>4度一組</t>
  </si>
  <si>
    <t xml:space="preserve">4度二組A
</t>
  </si>
  <si>
    <t xml:space="preserve">
4度二組B
</t>
  </si>
  <si>
    <t xml:space="preserve">
4度二組C1
</t>
  </si>
  <si>
    <t xml:space="preserve">
4度二組C2
</t>
  </si>
  <si>
    <t xml:space="preserve">
4度三組
</t>
  </si>
  <si>
    <t xml:space="preserve">
4度四組
</t>
  </si>
  <si>
    <t xml:space="preserve">
4度五組
</t>
  </si>
  <si>
    <t xml:space="preserve">
綜合一組
</t>
  </si>
  <si>
    <t xml:space="preserve">
綜合二組
</t>
  </si>
  <si>
    <t xml:space="preserve">
綜合三組
</t>
  </si>
  <si>
    <t xml:space="preserve">
綜合四組
</t>
  </si>
  <si>
    <t xml:space="preserve">
便當組
</t>
  </si>
  <si>
    <t>排關</t>
  </si>
  <si>
    <t>實績</t>
  </si>
  <si>
    <t>達成率</t>
  </si>
  <si>
    <t>作業
時間</t>
  </si>
  <si>
    <t>開始</t>
  </si>
  <si>
    <t>次數</t>
    <phoneticPr fontId="14" type="noConversion"/>
  </si>
  <si>
    <t>時間/分</t>
    <phoneticPr fontId="14" type="noConversion"/>
  </si>
  <si>
    <t>設備次數</t>
    <phoneticPr fontId="14" type="noConversion"/>
  </si>
  <si>
    <t>配置人數</t>
  </si>
  <si>
    <t>主要應用設備</t>
  </si>
  <si>
    <t>次要應用設備</t>
  </si>
  <si>
    <t>備註</t>
  </si>
  <si>
    <t>➂18度C 一配-各編組展開</t>
  </si>
  <si>
    <t>➃18度C 二配-各編組展開</t>
  </si>
  <si>
    <t>韓式泡菜豬肉豆腐丼飯</t>
  </si>
  <si>
    <t>二配溏心蛋五目飯糰</t>
  </si>
  <si>
    <t>香檸奶油魚排蔬滿盒</t>
  </si>
  <si>
    <t>Q彈燕麥飯</t>
  </si>
  <si>
    <t>炸醬炒泡麵</t>
  </si>
  <si>
    <t>長野稻荷壽司</t>
  </si>
  <si>
    <t>合計次數</t>
  </si>
  <si>
    <t>時間</t>
  </si>
  <si>
    <t>設備次數</t>
  </si>
  <si>
    <t>和風涓絲冷麵</t>
  </si>
  <si>
    <t>鐵道滷排便當</t>
  </si>
  <si>
    <t>鰹魚烏龍冷麵</t>
  </si>
  <si>
    <t>滿滿高麗菜豆芽鐵板麵</t>
  </si>
  <si>
    <t>二配兩粒飯糰(鮪魚.焦糖鮭魚)</t>
  </si>
  <si>
    <t>鮭鮪海饌雙手卷(捲)</t>
  </si>
  <si>
    <t>經典人氣雙手卷(捲)</t>
  </si>
  <si>
    <t>鮭鮪海饌雙手卷</t>
  </si>
  <si>
    <t>經典人氣雙手卷</t>
  </si>
  <si>
    <t>.</t>
    <phoneticPr fontId="3" type="noConversion"/>
  </si>
  <si>
    <t>二配香烤魚排青醬燉飯</t>
  </si>
  <si>
    <t>毛豆三兄弟</t>
  </si>
  <si>
    <t>黑胡椒毛豆</t>
  </si>
  <si>
    <t>日式炙烤親子丼</t>
  </si>
  <si>
    <t>懷舊滷雙拼便當</t>
  </si>
  <si>
    <t>二配打拋風味豬肉飯</t>
  </si>
  <si>
    <t>日式胡麻雞絲冷麵</t>
  </si>
  <si>
    <t>皮蛋辣拌麵</t>
  </si>
  <si>
    <t>二配欣手藝-鹽烤花魚</t>
  </si>
  <si>
    <t>二配厚香料優格咖哩雞排飯</t>
  </si>
  <si>
    <t>嘉義崇文白醋涼麵</t>
  </si>
  <si>
    <t>慢燉滷肉油蔥粄條</t>
  </si>
  <si>
    <t>雞汁油蔥手工麵線</t>
  </si>
  <si>
    <t>招牌雞絲胡麻涼麵</t>
  </si>
  <si>
    <t>燻之味-糖燻雞腿</t>
  </si>
  <si>
    <t>二配藤椒雞丁炒飯</t>
  </si>
  <si>
    <t>川味花椒口水雞涼麵</t>
  </si>
  <si>
    <t>韓式黑嚕嚕炸醬麵</t>
  </si>
  <si>
    <t>香辣醬雞肉炒飯飯糰</t>
  </si>
  <si>
    <t>麻油雞飯糰</t>
  </si>
  <si>
    <t>二配酸酸辣辣椒麻雞飯</t>
  </si>
  <si>
    <t>炙烤醬香燒豚飯</t>
  </si>
  <si>
    <t>二配西班牙風味海鮮燉飯</t>
  </si>
  <si>
    <t>二配鮭魚毛豆炊飯飯糰</t>
  </si>
  <si>
    <t>二配柚香雞胸五穀飯糰</t>
  </si>
  <si>
    <t>地中海布格麥烤魚餐盒</t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</si>
  <si>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</si>
  <si>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</si>
  <si>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</si>
  <si>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</si>
  <si>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</si>
  <si>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07月01日  星期三</t>
    <phoneticPr fontId="7" type="noConversion"/>
  </si>
  <si>
    <t>人時性</t>
    <phoneticPr fontId="7" type="noConversion"/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</si>
  <si>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</si>
  <si>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</si>
  <si>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</si>
  <si>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</si>
  <si>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</si>
  <si>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</si>
  <si>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</si>
  <si>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</si>
  <si>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</si>
  <si>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</si>
  <si>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</si>
  <si>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</si>
  <si>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</si>
  <si>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</si>
  <si>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</si>
  <si>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</si>
  <si>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</si>
  <si>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銀鮭美乃滋脆卷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</si>
  <si>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</si>
  <si>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</si>
  <si>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</si>
  <si>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</si>
  <si>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</si>
  <si>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</si>
  <si>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</si>
  <si>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山葵章魚飯糰</t>
    <phoneticPr fontId="3" type="noConversion"/>
  </si>
  <si>
    <t>椒鹽檸檬鯖魚飯糰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</si>
  <si>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</si>
  <si>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</si>
  <si>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</si>
  <si>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</si>
  <si>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</si>
  <si>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</si>
  <si>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</si>
  <si>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</si>
  <si>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</si>
  <si>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</si>
  <si>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</si>
  <si>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</si>
  <si>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</si>
  <si>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</si>
  <si>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</si>
  <si>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</si>
  <si>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</si>
  <si>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</si>
  <si>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</si>
  <si>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07月01日  星期 三 </t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</si>
  <si>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</si>
  <si>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</si>
  <si>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</si>
  <si>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</si>
  <si>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</si>
  <si>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</si>
  <si>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</si>
  <si>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</si>
  <si>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</si>
  <si>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 xml:space="preserve">07月01日  星期 三 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</si>
  <si>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</si>
  <si>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</si>
  <si>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</si>
  <si>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</si>
  <si>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</si>
  <si>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</si>
  <si>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</si>
  <si>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</si>
  <si>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</si>
  <si>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</si>
  <si>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</si>
  <si>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</si>
  <si>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</si>
  <si>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產能/時</t>
    <phoneticPr fontId="7" type="noConversion"/>
  </si>
  <si>
    <t>達成率</t>
    <phoneticPr fontId="7" type="noConversion"/>
  </si>
  <si>
    <t>達成率平均</t>
    <phoneticPr fontId="7" type="noConversion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</si>
  <si>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</si>
  <si>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</si>
  <si>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</si>
  <si>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</si>
  <si>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</si>
  <si>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</si>
  <si>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</si>
  <si>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</si>
  <si>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</si>
  <si>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</si>
  <si>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</si>
  <si>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</si>
  <si>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</si>
  <si>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</si>
  <si>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</si>
  <si>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</si>
  <si>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平均</t>
    <phoneticPr fontId="7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</si>
  <si>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</si>
  <si>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</si>
  <si>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</si>
  <si>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</si>
  <si>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</si>
  <si>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</si>
  <si>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</si>
  <si>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</si>
  <si>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</si>
  <si>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</si>
  <si>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</si>
  <si>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</si>
  <si>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</si>
  <si>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</si>
  <si>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</si>
  <si>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</si>
  <si>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</si>
  <si>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</si>
  <si>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</si>
  <si>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>07月02日  星期 四</t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</si>
  <si>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</si>
  <si>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</si>
  <si>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</si>
  <si>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</si>
  <si>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</si>
  <si>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07月02日  星期四</t>
    <phoneticPr fontId="7" type="noConversion"/>
  </si>
  <si>
    <t>人時性</t>
    <phoneticPr fontId="7" type="noConversion"/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</si>
  <si>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</si>
  <si>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</si>
  <si>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</si>
  <si>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</si>
  <si>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</si>
  <si>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</si>
  <si>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</si>
  <si>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</si>
  <si>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</si>
  <si>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</si>
  <si>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</si>
  <si>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</si>
  <si>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</si>
  <si>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</si>
  <si>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</si>
  <si>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</si>
  <si>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</si>
  <si>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銀鮭美乃滋脆卷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</si>
  <si>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</si>
  <si>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</si>
  <si>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</si>
  <si>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</si>
  <si>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</si>
  <si>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</si>
  <si>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</si>
  <si>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山葵章魚飯糰</t>
    <phoneticPr fontId="3" type="noConversion"/>
  </si>
  <si>
    <t>椒鹽檸檬鯖魚飯糰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</si>
  <si>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</si>
  <si>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</si>
  <si>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</si>
  <si>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</si>
  <si>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</si>
  <si>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</si>
  <si>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</si>
  <si>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</si>
  <si>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</si>
  <si>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</si>
  <si>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</si>
  <si>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</si>
  <si>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</si>
  <si>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</si>
  <si>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</si>
  <si>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</si>
  <si>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</si>
  <si>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</si>
  <si>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</si>
  <si>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 xml:space="preserve">晉欣廠四度C日報分析                              </t>
    <phoneticPr fontId="7" type="noConversion"/>
  </si>
  <si>
    <t>人時性差異分析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</si>
  <si>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</si>
  <si>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</si>
  <si>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</si>
  <si>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</si>
  <si>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</si>
  <si>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07月02日  星期 四</t>
    <phoneticPr fontId="7" type="noConversion"/>
  </si>
  <si>
    <t>達成率</t>
    <phoneticPr fontId="7" type="noConversion"/>
  </si>
  <si>
    <t>達成率平均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</si>
  <si>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</si>
  <si>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</si>
  <si>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</si>
  <si>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</si>
  <si>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</si>
  <si>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</si>
  <si>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</si>
  <si>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</si>
  <si>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</si>
  <si>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</si>
  <si>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</si>
  <si>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</si>
  <si>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</si>
  <si>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</si>
  <si>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</si>
  <si>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平均</t>
    <phoneticPr fontId="7" type="noConversion"/>
  </si>
  <si>
    <t>四度二組
(烤飯糰/十爪機)</t>
    <phoneticPr fontId="3" type="noConversion"/>
  </si>
  <si>
    <t xml:space="preserve">
4度二組C2
</t>
    <phoneticPr fontId="3" type="noConversion"/>
  </si>
  <si>
    <t>平均</t>
    <phoneticPr fontId="7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</si>
  <si>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</si>
  <si>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</si>
  <si>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</si>
  <si>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4度四組
</t>
    <phoneticPr fontId="3" type="noConversion"/>
  </si>
  <si>
    <t>平均</t>
    <phoneticPr fontId="7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</si>
  <si>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</si>
  <si>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</si>
  <si>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</si>
  <si>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</si>
  <si>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</si>
  <si>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</si>
  <si>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</si>
  <si>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</si>
  <si>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</si>
  <si>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</si>
  <si>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</si>
  <si>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</si>
  <si>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</si>
  <si>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</si>
  <si>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</si>
  <si>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</si>
  <si>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</si>
  <si>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</si>
  <si>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</si>
  <si>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</si>
  <si>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07月03日  星期五</t>
    <phoneticPr fontId="7" type="noConversion"/>
  </si>
  <si>
    <t>人時性</t>
    <phoneticPr fontId="7" type="noConversion"/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</si>
  <si>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</si>
  <si>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</si>
  <si>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</si>
  <si>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</si>
  <si>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生產量</t>
    <phoneticPr fontId="7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</si>
  <si>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</si>
  <si>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</si>
  <si>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</si>
  <si>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</si>
  <si>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稼動時間/分</t>
    <phoneticPr fontId="7" type="noConversion"/>
  </si>
  <si>
    <t>休息時間</t>
    <phoneticPr fontId="7" type="noConversion"/>
  </si>
  <si>
    <t>開始</t>
    <phoneticPr fontId="7" type="noConversion"/>
  </si>
  <si>
    <t>結束</t>
    <phoneticPr fontId="7" type="noConversion"/>
  </si>
  <si>
    <t>壽司線</t>
    <phoneticPr fontId="7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</si>
  <si>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</si>
  <si>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</si>
  <si>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</si>
  <si>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銀鮭美乃滋脆卷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</si>
  <si>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</si>
  <si>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</si>
  <si>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</si>
  <si>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</si>
  <si>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</si>
  <si>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</si>
  <si>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</si>
  <si>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山葵章魚飯糰</t>
    <phoneticPr fontId="3" type="noConversion"/>
  </si>
  <si>
    <t>椒鹽檸檬鯖魚飯糰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</si>
  <si>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</si>
  <si>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</si>
  <si>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</si>
  <si>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</si>
  <si>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</si>
  <si>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</si>
  <si>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</si>
  <si>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</si>
  <si>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</si>
  <si>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</si>
  <si>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</si>
  <si>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</si>
  <si>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</si>
  <si>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</si>
  <si>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</si>
  <si>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</si>
  <si>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</si>
  <si>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</si>
  <si>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</si>
  <si>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>07月04日  星期六</t>
    <phoneticPr fontId="7" type="noConversion"/>
  </si>
  <si>
    <t>07月05日  星期日</t>
    <phoneticPr fontId="7" type="noConversion"/>
  </si>
  <si>
    <t xml:space="preserve">晉欣廠四度C日報分析                              </t>
    <phoneticPr fontId="7" type="noConversion"/>
  </si>
  <si>
    <t>人時性差異分析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</si>
  <si>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</si>
  <si>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</si>
  <si>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</si>
  <si>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</si>
  <si>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</si>
  <si>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07月03日  星期 五</t>
    <phoneticPr fontId="7" type="noConversion"/>
  </si>
  <si>
    <t>達成率</t>
    <phoneticPr fontId="7" type="noConversion"/>
  </si>
  <si>
    <t>達成率平均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</si>
  <si>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</si>
  <si>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</si>
  <si>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</si>
  <si>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</si>
  <si>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</si>
  <si>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</si>
  <si>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</si>
  <si>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</si>
  <si>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</si>
  <si>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</si>
  <si>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</si>
  <si>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</si>
  <si>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</si>
  <si>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平均</t>
    <phoneticPr fontId="7" type="noConversion"/>
  </si>
  <si>
    <t>四度二組
(烤飯糰/八爪機)</t>
    <phoneticPr fontId="7" type="noConversion"/>
  </si>
  <si>
    <t xml:space="preserve">
4度二組C1
</t>
    <phoneticPr fontId="3" type="noConversion"/>
  </si>
  <si>
    <t>平均</t>
    <phoneticPr fontId="7" type="noConversion"/>
  </si>
  <si>
    <t>四度二組
(烤飯糰/十爪機)</t>
    <phoneticPr fontId="3" type="noConversion"/>
  </si>
  <si>
    <t xml:space="preserve">
4度二組C2
</t>
    <phoneticPr fontId="3" type="noConversion"/>
  </si>
  <si>
    <t>平均</t>
    <phoneticPr fontId="7" type="noConversion"/>
  </si>
  <si>
    <t>四度三組
(ET-55)</t>
    <phoneticPr fontId="7" type="noConversion"/>
  </si>
  <si>
    <t xml:space="preserve">
4度三組
</t>
    <phoneticPr fontId="3" type="noConversion"/>
  </si>
  <si>
    <t>平均</t>
    <phoneticPr fontId="7" type="noConversion"/>
  </si>
  <si>
    <t>四度四組
(ET-55)</t>
    <phoneticPr fontId="7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</si>
  <si>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</si>
  <si>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</si>
  <si>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</si>
  <si>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</si>
  <si>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</si>
  <si>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7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</si>
  <si>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</si>
  <si>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</si>
  <si>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</si>
  <si>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</si>
  <si>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</si>
  <si>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</si>
  <si>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
便當組
</t>
    <phoneticPr fontId="3" type="noConversion"/>
  </si>
  <si>
    <t>3.當日出勤熟手較少</t>
    <phoneticPr fontId="7" type="noConversion"/>
  </si>
  <si>
    <t>12.商品結構，產能較低</t>
    <phoneticPr fontId="3" type="noConversion"/>
  </si>
  <si>
    <t>13.區域出貨，分段生產</t>
    <phoneticPr fontId="3" type="noConversion"/>
  </si>
  <si>
    <t>07月04日  星期 六</t>
    <phoneticPr fontId="7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</si>
  <si>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</si>
  <si>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</si>
  <si>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</si>
  <si>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</si>
  <si>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</si>
  <si>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7" type="noConversion"/>
  </si>
  <si>
    <t xml:space="preserve">
4度三組
</t>
    <phoneticPr fontId="3" type="noConversion"/>
  </si>
  <si>
    <t>四度四組
(ET-55)</t>
    <phoneticPr fontId="7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</si>
  <si>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</si>
  <si>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</si>
  <si>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</si>
  <si>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平均</t>
    <phoneticPr fontId="7" type="noConversion"/>
  </si>
  <si>
    <t>綜合二組
(ET-55)</t>
    <phoneticPr fontId="7" type="noConversion"/>
  </si>
  <si>
    <t xml:space="preserve">
綜合二組
</t>
    <phoneticPr fontId="3" type="noConversion"/>
  </si>
  <si>
    <t>平均</t>
    <phoneticPr fontId="7" type="noConversion"/>
  </si>
  <si>
    <t>綜合三組
(ET-55)</t>
    <phoneticPr fontId="3" type="noConversion"/>
  </si>
  <si>
    <t>07月05日  星期 日</t>
    <phoneticPr fontId="7" type="noConversion"/>
  </si>
  <si>
    <t>07月03日  星期 五</t>
  </si>
  <si>
    <t>07月04日  星期 六</t>
  </si>
  <si>
    <t>07月05日  星期 日</t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</si>
  <si>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</si>
  <si>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</si>
  <si>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</si>
  <si>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</si>
  <si>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</si>
  <si>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</si>
  <si>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</si>
  <si>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</si>
  <si>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</si>
  <si>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>07月06日  星期 一</t>
    <phoneticPr fontId="7" type="noConversion"/>
  </si>
  <si>
    <t>人時性</t>
    <phoneticPr fontId="7" type="noConversion"/>
  </si>
  <si>
    <t>線別</t>
    <phoneticPr fontId="3" type="noConversion"/>
  </si>
  <si>
    <t>品名</t>
    <phoneticPr fontId="3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</si>
  <si>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</si>
  <si>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</si>
  <si>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</si>
  <si>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</si>
  <si>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</si>
  <si>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</si>
  <si>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</si>
  <si>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</si>
  <si>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</si>
  <si>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</si>
  <si>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產能/時</t>
    <phoneticPr fontId="7" type="noConversion"/>
  </si>
  <si>
    <t>達成率</t>
    <phoneticPr fontId="7" type="noConversion"/>
  </si>
  <si>
    <t>達成率平均</t>
    <phoneticPr fontId="7" type="noConversion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</si>
  <si>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</si>
  <si>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</si>
  <si>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</si>
  <si>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</si>
  <si>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</si>
  <si>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</si>
  <si>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4度一組</t>
    <phoneticPr fontId="3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</si>
  <si>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</si>
  <si>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</si>
  <si>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</si>
  <si>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</si>
  <si>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</si>
  <si>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7" type="noConversion"/>
  </si>
  <si>
    <t xml:space="preserve">
4度二組C2
</t>
    <phoneticPr fontId="3" type="noConversion"/>
  </si>
  <si>
    <t>平均</t>
    <phoneticPr fontId="7" type="noConversion"/>
  </si>
  <si>
    <t>四度三組
(ET-55)</t>
    <phoneticPr fontId="7" type="noConversion"/>
  </si>
  <si>
    <t xml:space="preserve">
4度三組
</t>
    <phoneticPr fontId="3" type="noConversion"/>
  </si>
  <si>
    <t>平均</t>
    <phoneticPr fontId="7" type="noConversion"/>
  </si>
  <si>
    <t>四度四組
(ET-55)</t>
    <phoneticPr fontId="7" type="noConversion"/>
  </si>
  <si>
    <t>二配玉米濃湯焗烤飯</t>
  </si>
  <si>
    <t xml:space="preserve">
4度四組
</t>
    <phoneticPr fontId="3" type="noConversion"/>
  </si>
  <si>
    <t>平均</t>
    <phoneticPr fontId="7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</si>
  <si>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</si>
  <si>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</si>
  <si>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</si>
  <si>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綜合三組
</t>
    <phoneticPr fontId="3" type="noConversion"/>
  </si>
  <si>
    <t>平均</t>
    <phoneticPr fontId="7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</si>
  <si>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</si>
  <si>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</si>
  <si>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7" type="noConversion"/>
  </si>
  <si>
    <t xml:space="preserve">晉欣廠18度C日報分析                              </t>
    <phoneticPr fontId="7" type="noConversion"/>
  </si>
  <si>
    <t>07月06日  星期一</t>
    <phoneticPr fontId="7" type="noConversion"/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</si>
  <si>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</si>
  <si>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</si>
  <si>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</si>
  <si>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銀鮭美乃滋脆卷</t>
    <phoneticPr fontId="3" type="noConversion"/>
  </si>
  <si>
    <t>連續式
海苔機</t>
    <phoneticPr fontId="7" type="noConversion"/>
  </si>
  <si>
    <t>3300型
飯糰機A</t>
    <phoneticPr fontId="7" type="noConversion"/>
  </si>
  <si>
    <t>煙燻培根飯糰(區)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</si>
  <si>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</si>
  <si>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</si>
  <si>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3600型(A)
飯糰機</t>
    <phoneticPr fontId="7" type="noConversion"/>
  </si>
  <si>
    <t>柚檸海灣貝飯糰</t>
    <phoneticPr fontId="3" type="noConversion"/>
  </si>
  <si>
    <t>山葵章魚飯糰</t>
    <phoneticPr fontId="3" type="noConversion"/>
  </si>
  <si>
    <t>椒鹽檸檬鯖魚飯糰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</si>
  <si>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</si>
  <si>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</si>
  <si>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</si>
  <si>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</si>
  <si>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鹽蔥燒肉飯糰</t>
    <phoneticPr fontId="3" type="noConversion"/>
  </si>
  <si>
    <t>雞肉飯飯糰</t>
    <phoneticPr fontId="3" type="noConversion"/>
  </si>
  <si>
    <t>3600型
飯糰機B</t>
    <phoneticPr fontId="7" type="noConversion"/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</si>
  <si>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</si>
  <si>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</si>
  <si>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</si>
  <si>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</si>
  <si>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</si>
  <si>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</si>
  <si>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</si>
  <si>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</si>
  <si>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二配贅沢鮭魚肚飯糰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</si>
  <si>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</si>
  <si>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</si>
  <si>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</si>
  <si>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>07月06日  星期 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</si>
</sst>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4" formatCode="_-&quot;$&quot;* #,##0.00_-;\-&quot;$&quot;* #,##0.00_-;_-&quot;$&quot;* &quot;-&quot;??_-;_-@_-"/>
    <numFmt numFmtId="43" formatCode="_-* #,##0.00_-;\-* #,##0.00_-;_-* &quot;-&quot;??_-;_-@_-"/>
    <numFmt numFmtId="176" formatCode="_-* #,##0_-;\-* #,##0_-;_-* &quot;-&quot;??_-;_-@_-"/>
    <numFmt numFmtId="177" formatCode="0,000&quot;元&quot;"/>
    <numFmt numFmtId="178" formatCode="0.0"/>
    <numFmt numFmtId="179" formatCode="#,##0.0_ "/>
    <numFmt numFmtId="180" formatCode="0.0%"/>
    <numFmt numFmtId="181" formatCode="&quot;¥&quot;#,##0;[Red]&quot;¥&quot;\-#,##0"/>
    <numFmt numFmtId="182" formatCode="0_ "/>
    <numFmt numFmtId="183" formatCode="0.0_ "/>
    <numFmt numFmtId="184" formatCode="h:mm;@"/>
  </numFmts>
  <fonts count="43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26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6"/>
      <color rgb="FFFF0000"/>
      <name val="微軟正黑體"/>
      <family val="2"/>
      <charset val="136"/>
    </font>
    <font>
      <sz val="16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11"/>
      <color indexed="8"/>
      <name val="ＭＳ Ｐゴシック"/>
      <family val="3"/>
      <charset val="128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1"/>
      <color theme="1"/>
      <name val="新細明體"/>
      <family val="2"/>
      <charset val="128"/>
      <scheme val="minor"/>
    </font>
    <font>
      <sz val="12"/>
      <color indexed="8"/>
      <name val="新細明體"/>
      <family val="1"/>
      <charset val="136"/>
    </font>
    <font>
      <sz val="12"/>
      <color theme="1"/>
      <name val="新細明體"/>
      <family val="2"/>
      <scheme val="minor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4"/>
      <name val="ＭＳ Ｐゴシック"/>
      <family val="3"/>
      <charset val="128"/>
    </font>
    <font>
      <sz val="11"/>
      <name val="ＭＳ Ｐゴシック"/>
      <family val="3"/>
      <charset val="128"/>
    </font>
    <font>
      <u/>
      <sz val="12"/>
      <color theme="10"/>
      <name val="新細明體"/>
      <family val="1"/>
      <charset val="136"/>
      <scheme val="minor"/>
    </font>
    <font>
      <sz val="11"/>
      <color theme="1"/>
      <name val="新細明體"/>
      <family val="3"/>
      <charset val="128"/>
      <scheme val="minor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4"/>
      <name val="微軟正黑體"/>
      <family val="2"/>
      <charset val="136"/>
    </font>
    <font>
      <sz val="12"/>
      <name val="微軟正黑體"/>
      <family val="2"/>
      <charset val="136"/>
    </font>
    <font>
      <sz val="18"/>
      <name val="微軟正黑體"/>
      <family val="2"/>
      <charset val="136"/>
    </font>
    <font>
      <sz val="1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0"/>
      <color rgb="FFFF0000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1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sz val="14"/>
      <color theme="1"/>
      <name val="Meiryo UI"/>
      <family val="2"/>
      <charset val="128"/>
    </font>
  </fonts>
  <fills count="2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EBEBE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2" tint="-0.249977111117893"/>
        <bgColor indexed="64"/>
      </patternFill>
    </fill>
  </fills>
  <borders count="9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 style="thin">
        <color indexed="64"/>
      </bottom>
      <diagonal/>
    </border>
    <border>
      <left/>
      <right/>
      <top style="medium">
        <color theme="1"/>
      </top>
      <bottom style="thin">
        <color indexed="64"/>
      </bottom>
      <diagonal/>
    </border>
    <border>
      <left/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/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 style="medium">
        <color theme="1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6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6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6" fillId="0" borderId="0">
      <alignment vertical="center"/>
    </xf>
    <xf numFmtId="0" fontId="17" fillId="0" borderId="0"/>
    <xf numFmtId="0" fontId="17" fillId="0" borderId="0"/>
    <xf numFmtId="0" fontId="16" fillId="0" borderId="0">
      <alignment vertical="center"/>
    </xf>
    <xf numFmtId="0" fontId="16" fillId="0" borderId="0">
      <alignment vertical="center"/>
    </xf>
    <xf numFmtId="0" fontId="17" fillId="0" borderId="0"/>
    <xf numFmtId="0" fontId="16" fillId="0" borderId="0">
      <alignment vertical="center"/>
    </xf>
    <xf numFmtId="0" fontId="17" fillId="0" borderId="0"/>
    <xf numFmtId="0" fontId="1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8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7" fillId="0" borderId="0"/>
    <xf numFmtId="0" fontId="20" fillId="0" borderId="0"/>
    <xf numFmtId="0" fontId="1" fillId="0" borderId="0">
      <alignment vertical="center"/>
    </xf>
    <xf numFmtId="0" fontId="18" fillId="0" borderId="0">
      <alignment vertical="center"/>
    </xf>
    <xf numFmtId="0" fontId="1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0" borderId="0"/>
    <xf numFmtId="0" fontId="17" fillId="0" borderId="0"/>
    <xf numFmtId="0" fontId="1" fillId="0" borderId="0">
      <alignment vertical="center"/>
    </xf>
    <xf numFmtId="0" fontId="1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0" borderId="0"/>
    <xf numFmtId="0" fontId="16" fillId="0" borderId="0">
      <alignment vertical="center"/>
    </xf>
    <xf numFmtId="0" fontId="17" fillId="0" borderId="0"/>
    <xf numFmtId="0" fontId="16" fillId="0" borderId="0">
      <alignment vertical="center"/>
    </xf>
    <xf numFmtId="0" fontId="16" fillId="0" borderId="0">
      <alignment vertical="center"/>
    </xf>
    <xf numFmtId="0" fontId="17" fillId="0" borderId="0"/>
    <xf numFmtId="0" fontId="16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7" fillId="0" borderId="0"/>
    <xf numFmtId="0" fontId="16" fillId="0" borderId="0">
      <alignment vertical="center"/>
    </xf>
    <xf numFmtId="0" fontId="17" fillId="0" borderId="0"/>
    <xf numFmtId="43" fontId="6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/>
    <xf numFmtId="44" fontId="20" fillId="0" borderId="0" applyFont="0" applyFill="0" applyBorder="0" applyAlignment="0" applyProtection="0">
      <alignment vertical="center"/>
    </xf>
    <xf numFmtId="181" fontId="24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0" borderId="0"/>
    <xf numFmtId="0" fontId="24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</cellStyleXfs>
  <cellXfs count="743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9" fillId="0" borderId="6" xfId="4" applyFont="1" applyBorder="1" applyAlignment="1">
      <alignment horizontal="center" vertical="center" wrapText="1"/>
    </xf>
    <xf numFmtId="0" fontId="9" fillId="0" borderId="7" xfId="4" applyFont="1" applyBorder="1" applyAlignment="1">
      <alignment horizontal="center" vertical="center"/>
    </xf>
    <xf numFmtId="0" fontId="11" fillId="0" borderId="0" xfId="1" applyFont="1">
      <alignment vertical="center"/>
    </xf>
    <xf numFmtId="0" fontId="12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178" fontId="13" fillId="0" borderId="2" xfId="1" applyNumberFormat="1" applyFont="1" applyBorder="1" applyAlignment="1">
      <alignment horizontal="center" vertical="center"/>
    </xf>
    <xf numFmtId="178" fontId="13" fillId="0" borderId="18" xfId="1" applyNumberFormat="1" applyFont="1" applyBorder="1" applyAlignment="1">
      <alignment horizontal="center" vertical="center"/>
    </xf>
    <xf numFmtId="180" fontId="13" fillId="0" borderId="2" xfId="6" applyNumberFormat="1" applyFont="1" applyBorder="1" applyAlignment="1">
      <alignment horizontal="center" vertical="center"/>
    </xf>
    <xf numFmtId="180" fontId="13" fillId="0" borderId="18" xfId="6" applyNumberFormat="1" applyFont="1" applyBorder="1" applyAlignment="1">
      <alignment horizontal="center" vertical="center"/>
    </xf>
    <xf numFmtId="20" fontId="11" fillId="0" borderId="2" xfId="1" applyNumberFormat="1" applyFont="1" applyBorder="1" applyAlignment="1">
      <alignment horizontal="center" vertical="center" wrapText="1"/>
    </xf>
    <xf numFmtId="20" fontId="11" fillId="0" borderId="18" xfId="1" applyNumberFormat="1" applyFont="1" applyBorder="1" applyAlignment="1">
      <alignment horizontal="center" vertical="center" wrapText="1"/>
    </xf>
    <xf numFmtId="0" fontId="11" fillId="0" borderId="2" xfId="1" applyFont="1" applyBorder="1" applyAlignment="1">
      <alignment horizontal="center" vertical="center" wrapText="1"/>
    </xf>
    <xf numFmtId="180" fontId="11" fillId="0" borderId="18" xfId="6" applyNumberFormat="1" applyFont="1" applyBorder="1" applyAlignment="1">
      <alignment horizontal="center" vertical="center"/>
    </xf>
    <xf numFmtId="0" fontId="11" fillId="0" borderId="26" xfId="1" applyFont="1" applyBorder="1">
      <alignment vertical="center"/>
    </xf>
    <xf numFmtId="0" fontId="11" fillId="0" borderId="26" xfId="1" applyFont="1" applyBorder="1" applyAlignment="1">
      <alignment horizontal="center" vertical="center"/>
    </xf>
    <xf numFmtId="0" fontId="11" fillId="0" borderId="27" xfId="1" applyFont="1" applyBorder="1">
      <alignment vertical="center"/>
    </xf>
    <xf numFmtId="178" fontId="11" fillId="0" borderId="2" xfId="1" applyNumberFormat="1" applyFont="1" applyBorder="1" applyAlignment="1">
      <alignment horizontal="center" vertical="center"/>
    </xf>
    <xf numFmtId="178" fontId="11" fillId="0" borderId="29" xfId="1" applyNumberFormat="1" applyFont="1" applyBorder="1" applyAlignment="1">
      <alignment horizontal="center" vertical="center"/>
    </xf>
    <xf numFmtId="178" fontId="11" fillId="0" borderId="18" xfId="1" applyNumberFormat="1" applyFont="1" applyBorder="1" applyAlignment="1">
      <alignment horizontal="center" vertical="center"/>
    </xf>
    <xf numFmtId="20" fontId="11" fillId="0" borderId="3" xfId="1" applyNumberFormat="1" applyFont="1" applyBorder="1" applyAlignment="1">
      <alignment horizontal="center" vertical="center" wrapText="1"/>
    </xf>
    <xf numFmtId="20" fontId="11" fillId="0" borderId="29" xfId="1" applyNumberFormat="1" applyFont="1" applyBorder="1" applyAlignment="1">
      <alignment horizontal="center" vertical="center" wrapText="1"/>
    </xf>
    <xf numFmtId="180" fontId="11" fillId="0" borderId="2" xfId="6" applyNumberFormat="1" applyFont="1" applyBorder="1" applyAlignment="1">
      <alignment horizontal="center" vertical="center"/>
    </xf>
    <xf numFmtId="49" fontId="11" fillId="0" borderId="29" xfId="6" applyNumberFormat="1" applyFont="1" applyBorder="1" applyAlignment="1">
      <alignment horizontal="center" vertical="center"/>
    </xf>
    <xf numFmtId="0" fontId="11" fillId="0" borderId="30" xfId="1" applyFont="1" applyBorder="1">
      <alignment vertical="center"/>
    </xf>
    <xf numFmtId="0" fontId="4" fillId="0" borderId="0" xfId="1" applyFont="1" applyAlignment="1">
      <alignment horizontal="center" vertical="center"/>
    </xf>
    <xf numFmtId="0" fontId="29" fillId="0" borderId="34" xfId="4" applyFont="1" applyBorder="1">
      <alignment vertical="center"/>
    </xf>
    <xf numFmtId="176" fontId="9" fillId="12" borderId="34" xfId="286" applyNumberFormat="1" applyFont="1" applyFill="1" applyBorder="1" applyAlignment="1">
      <alignment horizontal="center" vertical="center"/>
    </xf>
    <xf numFmtId="43" fontId="29" fillId="0" borderId="34" xfId="286" applyFont="1" applyBorder="1" applyAlignment="1">
      <alignment horizontal="center" vertical="center"/>
    </xf>
    <xf numFmtId="1" fontId="29" fillId="0" borderId="34" xfId="4" applyNumberFormat="1" applyFont="1" applyBorder="1" applyAlignment="1">
      <alignment horizontal="center" vertical="center"/>
    </xf>
    <xf numFmtId="0" fontId="14" fillId="0" borderId="35" xfId="4" applyFont="1" applyBorder="1" applyAlignment="1">
      <alignment horizontal="center" vertical="center" wrapText="1"/>
    </xf>
    <xf numFmtId="0" fontId="30" fillId="0" borderId="0" xfId="4" applyFont="1">
      <alignment vertical="center"/>
    </xf>
    <xf numFmtId="178" fontId="29" fillId="0" borderId="34" xfId="4" applyNumberFormat="1" applyFont="1" applyBorder="1" applyAlignment="1">
      <alignment horizontal="center" vertical="center"/>
    </xf>
    <xf numFmtId="178" fontId="32" fillId="0" borderId="34" xfId="4" applyNumberFormat="1" applyFont="1" applyBorder="1" applyAlignment="1">
      <alignment horizontal="center" vertical="center" wrapText="1"/>
    </xf>
    <xf numFmtId="2" fontId="29" fillId="0" borderId="34" xfId="4" applyNumberFormat="1" applyFont="1" applyBorder="1" applyAlignment="1">
      <alignment horizontal="center" vertical="center"/>
    </xf>
    <xf numFmtId="182" fontId="31" fillId="0" borderId="35" xfId="4" applyNumberFormat="1" applyFont="1" applyBorder="1" applyAlignment="1">
      <alignment horizontal="center" vertical="center"/>
    </xf>
    <xf numFmtId="0" fontId="31" fillId="0" borderId="35" xfId="4" applyFont="1" applyBorder="1" applyAlignment="1">
      <alignment horizontal="center" vertical="center"/>
    </xf>
    <xf numFmtId="0" fontId="35" fillId="3" borderId="34" xfId="4" applyFont="1" applyFill="1" applyBorder="1" applyAlignment="1">
      <alignment horizontal="center" vertical="center" wrapText="1"/>
    </xf>
    <xf numFmtId="0" fontId="30" fillId="0" borderId="42" xfId="4" applyFont="1" applyBorder="1" applyAlignment="1">
      <alignment horizontal="center"/>
    </xf>
    <xf numFmtId="0" fontId="30" fillId="0" borderId="43" xfId="4" applyFont="1" applyBorder="1" applyAlignment="1">
      <alignment horizontal="center"/>
    </xf>
    <xf numFmtId="0" fontId="30" fillId="0" borderId="39" xfId="160" applyFont="1" applyBorder="1" applyAlignment="1"/>
    <xf numFmtId="0" fontId="30" fillId="0" borderId="42" xfId="160" applyFont="1" applyBorder="1" applyAlignment="1"/>
    <xf numFmtId="1" fontId="30" fillId="0" borderId="34" xfId="4" applyNumberFormat="1" applyFont="1" applyBorder="1" applyAlignment="1">
      <alignment horizontal="center" vertical="center"/>
    </xf>
    <xf numFmtId="43" fontId="30" fillId="0" borderId="34" xfId="286" applyFont="1" applyBorder="1" applyAlignment="1">
      <alignment horizontal="center" vertical="center"/>
    </xf>
    <xf numFmtId="1" fontId="30" fillId="4" borderId="34" xfId="4" applyNumberFormat="1" applyFont="1" applyFill="1" applyBorder="1" applyAlignment="1">
      <alignment horizontal="center" vertical="center"/>
    </xf>
    <xf numFmtId="178" fontId="30" fillId="0" borderId="34" xfId="4" applyNumberFormat="1" applyFont="1" applyBorder="1" applyAlignment="1">
      <alignment horizontal="center" vertical="center"/>
    </xf>
    <xf numFmtId="182" fontId="30" fillId="0" borderId="34" xfId="4" applyNumberFormat="1" applyFont="1" applyBorder="1" applyAlignment="1">
      <alignment horizontal="center" vertical="center"/>
    </xf>
    <xf numFmtId="183" fontId="30" fillId="0" borderId="34" xfId="4" applyNumberFormat="1" applyFont="1" applyBorder="1" applyAlignment="1">
      <alignment horizontal="center" vertical="center"/>
    </xf>
    <xf numFmtId="184" fontId="30" fillId="0" borderId="34" xfId="4" applyNumberFormat="1" applyFont="1" applyBorder="1" applyAlignment="1">
      <alignment horizontal="center" vertical="center"/>
    </xf>
    <xf numFmtId="182" fontId="30" fillId="0" borderId="28" xfId="4" applyNumberFormat="1" applyFont="1" applyBorder="1" applyAlignment="1">
      <alignment horizontal="center" vertical="center"/>
    </xf>
    <xf numFmtId="0" fontId="30" fillId="0" borderId="28" xfId="4" applyFont="1" applyBorder="1" applyAlignment="1">
      <alignment horizontal="center" vertical="center"/>
    </xf>
    <xf numFmtId="20" fontId="30" fillId="0" borderId="34" xfId="4" applyNumberFormat="1" applyFont="1" applyBorder="1" applyAlignment="1">
      <alignment horizontal="center" vertical="center"/>
    </xf>
    <xf numFmtId="182" fontId="30" fillId="0" borderId="2" xfId="4" applyNumberFormat="1" applyFont="1" applyBorder="1" applyAlignment="1">
      <alignment horizontal="center" vertical="center"/>
    </xf>
    <xf numFmtId="0" fontId="30" fillId="0" borderId="3" xfId="4" applyFont="1" applyBorder="1" applyAlignment="1">
      <alignment horizontal="center" vertical="center"/>
    </xf>
    <xf numFmtId="0" fontId="30" fillId="14" borderId="1" xfId="160" applyFont="1" applyFill="1" applyBorder="1" applyAlignment="1"/>
    <xf numFmtId="1" fontId="30" fillId="0" borderId="2" xfId="4" applyNumberFormat="1" applyFont="1" applyBorder="1" applyAlignment="1">
      <alignment horizontal="center" vertical="center"/>
    </xf>
    <xf numFmtId="0" fontId="30" fillId="0" borderId="44" xfId="4" applyFont="1" applyBorder="1" applyAlignment="1">
      <alignment horizontal="center" vertical="center"/>
    </xf>
    <xf numFmtId="0" fontId="30" fillId="0" borderId="45" xfId="160" applyFont="1" applyBorder="1" applyAlignment="1"/>
    <xf numFmtId="0" fontId="30" fillId="0" borderId="46" xfId="160" applyFont="1" applyBorder="1" applyAlignment="1"/>
    <xf numFmtId="1" fontId="30" fillId="0" borderId="35" xfId="4" applyNumberFormat="1" applyFont="1" applyBorder="1" applyAlignment="1">
      <alignment horizontal="center" vertical="center"/>
    </xf>
    <xf numFmtId="0" fontId="30" fillId="4" borderId="35" xfId="4" applyFont="1" applyFill="1" applyBorder="1" applyAlignment="1">
      <alignment horizontal="center" vertical="center"/>
    </xf>
    <xf numFmtId="184" fontId="30" fillId="0" borderId="35" xfId="4" applyNumberFormat="1" applyFont="1" applyBorder="1" applyAlignment="1">
      <alignment horizontal="center" vertical="center"/>
    </xf>
    <xf numFmtId="20" fontId="30" fillId="0" borderId="35" xfId="4" applyNumberFormat="1" applyFont="1" applyBorder="1" applyAlignment="1">
      <alignment horizontal="center" vertical="center"/>
    </xf>
    <xf numFmtId="182" fontId="30" fillId="0" borderId="35" xfId="4" applyNumberFormat="1" applyFont="1" applyBorder="1" applyAlignment="1">
      <alignment horizontal="center" vertical="center"/>
    </xf>
    <xf numFmtId="0" fontId="30" fillId="0" borderId="0" xfId="4" applyFont="1" applyAlignment="1">
      <alignment horizontal="center"/>
    </xf>
    <xf numFmtId="0" fontId="30" fillId="0" borderId="46" xfId="4" applyFont="1" applyBorder="1" applyAlignment="1">
      <alignment horizontal="center" vertical="center"/>
    </xf>
    <xf numFmtId="1" fontId="30" fillId="0" borderId="42" xfId="4" applyNumberFormat="1" applyFont="1" applyBorder="1" applyAlignment="1">
      <alignment horizontal="center" vertical="center"/>
    </xf>
    <xf numFmtId="0" fontId="30" fillId="0" borderId="46" xfId="4" applyFont="1" applyBorder="1" applyAlignment="1">
      <alignment horizontal="center"/>
    </xf>
    <xf numFmtId="1" fontId="30" fillId="15" borderId="35" xfId="4" applyNumberFormat="1" applyFont="1" applyFill="1" applyBorder="1" applyAlignment="1">
      <alignment horizontal="center" vertical="center"/>
    </xf>
    <xf numFmtId="43" fontId="30" fillId="15" borderId="35" xfId="286" applyFont="1" applyFill="1" applyBorder="1" applyAlignment="1">
      <alignment horizontal="center" vertical="center"/>
    </xf>
    <xf numFmtId="0" fontId="30" fillId="15" borderId="35" xfId="4" applyFont="1" applyFill="1" applyBorder="1" applyAlignment="1">
      <alignment horizontal="center" vertical="center"/>
    </xf>
    <xf numFmtId="178" fontId="30" fillId="15" borderId="35" xfId="4" applyNumberFormat="1" applyFont="1" applyFill="1" applyBorder="1" applyAlignment="1">
      <alignment horizontal="center" vertical="center"/>
    </xf>
    <xf numFmtId="183" fontId="30" fillId="0" borderId="35" xfId="4" applyNumberFormat="1" applyFont="1" applyBorder="1" applyAlignment="1">
      <alignment horizontal="center" vertical="center"/>
    </xf>
    <xf numFmtId="180" fontId="30" fillId="0" borderId="35" xfId="341" applyNumberFormat="1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 wrapText="1"/>
    </xf>
    <xf numFmtId="178" fontId="30" fillId="0" borderId="35" xfId="4" applyNumberFormat="1" applyFont="1" applyBorder="1" applyAlignment="1">
      <alignment horizontal="center" vertical="center"/>
    </xf>
    <xf numFmtId="182" fontId="30" fillId="3" borderId="31" xfId="4" applyNumberFormat="1" applyFont="1" applyFill="1" applyBorder="1" applyAlignment="1">
      <alignment horizontal="center" vertical="center"/>
    </xf>
    <xf numFmtId="0" fontId="30" fillId="3" borderId="31" xfId="4" applyFont="1" applyFill="1" applyBorder="1" applyAlignment="1">
      <alignment horizontal="center" vertical="center"/>
    </xf>
    <xf numFmtId="0" fontId="30" fillId="0" borderId="32" xfId="4" applyFont="1" applyBorder="1" applyAlignment="1">
      <alignment horizontal="center"/>
    </xf>
    <xf numFmtId="0" fontId="30" fillId="0" borderId="3" xfId="4" applyFont="1" applyBorder="1" applyAlignment="1">
      <alignment horizontal="center"/>
    </xf>
    <xf numFmtId="0" fontId="30" fillId="0" borderId="3" xfId="160" applyFont="1" applyBorder="1" applyAlignment="1"/>
    <xf numFmtId="0" fontId="30" fillId="0" borderId="1" xfId="160" applyFont="1" applyBorder="1" applyAlignment="1"/>
    <xf numFmtId="43" fontId="30" fillId="0" borderId="2" xfId="286" applyFont="1" applyBorder="1" applyAlignment="1">
      <alignment horizontal="center" vertical="center"/>
    </xf>
    <xf numFmtId="1" fontId="30" fillId="4" borderId="48" xfId="4" applyNumberFormat="1" applyFont="1" applyFill="1" applyBorder="1" applyAlignment="1">
      <alignment horizontal="center" vertical="center"/>
    </xf>
    <xf numFmtId="178" fontId="30" fillId="0" borderId="2" xfId="4" applyNumberFormat="1" applyFont="1" applyBorder="1" applyAlignment="1">
      <alignment horizontal="center" vertical="center"/>
    </xf>
    <xf numFmtId="1" fontId="30" fillId="4" borderId="2" xfId="4" applyNumberFormat="1" applyFont="1" applyFill="1" applyBorder="1" applyAlignment="1">
      <alignment horizontal="center" vertical="center"/>
    </xf>
    <xf numFmtId="183" fontId="30" fillId="0" borderId="2" xfId="4" applyNumberFormat="1" applyFont="1" applyBorder="1" applyAlignment="1">
      <alignment horizontal="center" vertical="center"/>
    </xf>
    <xf numFmtId="184" fontId="30" fillId="0" borderId="2" xfId="4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 wrapText="1"/>
    </xf>
    <xf numFmtId="182" fontId="30" fillId="0" borderId="48" xfId="4" applyNumberFormat="1" applyFont="1" applyBorder="1" applyAlignment="1">
      <alignment horizontal="center" vertical="center"/>
    </xf>
    <xf numFmtId="180" fontId="30" fillId="0" borderId="48" xfId="341" applyNumberFormat="1" applyFont="1" applyBorder="1" applyAlignment="1">
      <alignment horizontal="center" vertical="center"/>
    </xf>
    <xf numFmtId="1" fontId="30" fillId="4" borderId="50" xfId="4" applyNumberFormat="1" applyFont="1" applyFill="1" applyBorder="1" applyAlignment="1">
      <alignment horizontal="center" vertical="center"/>
    </xf>
    <xf numFmtId="1" fontId="30" fillId="0" borderId="28" xfId="4" applyNumberFormat="1" applyFont="1" applyBorder="1" applyAlignment="1">
      <alignment horizontal="center" vertical="center"/>
    </xf>
    <xf numFmtId="178" fontId="30" fillId="0" borderId="28" xfId="4" applyNumberFormat="1" applyFont="1" applyBorder="1" applyAlignment="1">
      <alignment horizontal="center" vertical="center"/>
    </xf>
    <xf numFmtId="20" fontId="30" fillId="0" borderId="2" xfId="4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/>
    </xf>
    <xf numFmtId="0" fontId="30" fillId="14" borderId="39" xfId="160" applyFont="1" applyFill="1" applyBorder="1" applyAlignment="1"/>
    <xf numFmtId="0" fontId="30" fillId="0" borderId="1" xfId="4" applyFont="1" applyBorder="1" applyAlignment="1">
      <alignment horizontal="center"/>
    </xf>
    <xf numFmtId="0" fontId="12" fillId="0" borderId="2" xfId="1" applyFont="1" applyBorder="1" applyAlignment="1">
      <alignment horizontal="center" vertical="center"/>
    </xf>
    <xf numFmtId="1" fontId="30" fillId="15" borderId="2" xfId="4" applyNumberFormat="1" applyFont="1" applyFill="1" applyBorder="1" applyAlignment="1">
      <alignment horizontal="center" vertical="center"/>
    </xf>
    <xf numFmtId="43" fontId="30" fillId="15" borderId="2" xfId="286" applyFont="1" applyFill="1" applyBorder="1" applyAlignment="1">
      <alignment horizontal="center" vertical="center"/>
    </xf>
    <xf numFmtId="0" fontId="30" fillId="15" borderId="2" xfId="4" applyFont="1" applyFill="1" applyBorder="1" applyAlignment="1">
      <alignment horizontal="center" vertical="center"/>
    </xf>
    <xf numFmtId="178" fontId="30" fillId="15" borderId="2" xfId="4" applyNumberFormat="1" applyFont="1" applyFill="1" applyBorder="1" applyAlignment="1">
      <alignment horizontal="center" vertical="center"/>
    </xf>
    <xf numFmtId="180" fontId="30" fillId="0" borderId="2" xfId="341" applyNumberFormat="1" applyFont="1" applyFill="1" applyBorder="1" applyAlignment="1">
      <alignment horizontal="center" vertical="center"/>
    </xf>
    <xf numFmtId="182" fontId="30" fillId="3" borderId="2" xfId="4" applyNumberFormat="1" applyFont="1" applyFill="1" applyBorder="1" applyAlignment="1">
      <alignment horizontal="center" vertical="center"/>
    </xf>
    <xf numFmtId="0" fontId="30" fillId="3" borderId="2" xfId="4" applyFont="1" applyFill="1" applyBorder="1" applyAlignment="1">
      <alignment horizontal="center" vertical="center"/>
    </xf>
    <xf numFmtId="182" fontId="30" fillId="0" borderId="50" xfId="4" applyNumberFormat="1" applyFont="1" applyBorder="1" applyAlignment="1">
      <alignment horizontal="center" vertical="center"/>
    </xf>
    <xf numFmtId="180" fontId="30" fillId="0" borderId="50" xfId="341" applyNumberFormat="1" applyFont="1" applyBorder="1" applyAlignment="1">
      <alignment horizontal="center" vertical="center"/>
    </xf>
    <xf numFmtId="0" fontId="30" fillId="0" borderId="28" xfId="4" applyFont="1" applyBorder="1" applyAlignment="1">
      <alignment horizontal="center"/>
    </xf>
    <xf numFmtId="0" fontId="30" fillId="0" borderId="56" xfId="160" applyFont="1" applyBorder="1" applyAlignment="1"/>
    <xf numFmtId="43" fontId="30" fillId="0" borderId="28" xfId="286" applyFont="1" applyBorder="1" applyAlignment="1">
      <alignment horizontal="center" vertical="center"/>
    </xf>
    <xf numFmtId="1" fontId="30" fillId="4" borderId="28" xfId="4" applyNumberFormat="1" applyFont="1" applyFill="1" applyBorder="1" applyAlignment="1">
      <alignment horizontal="center" vertical="center"/>
    </xf>
    <xf numFmtId="1" fontId="30" fillId="0" borderId="41" xfId="4" applyNumberFormat="1" applyFont="1" applyBorder="1" applyAlignment="1">
      <alignment horizontal="center" vertical="center"/>
    </xf>
    <xf numFmtId="178" fontId="30" fillId="0" borderId="41" xfId="4" applyNumberFormat="1" applyFont="1" applyBorder="1" applyAlignment="1">
      <alignment horizontal="center" vertical="center"/>
    </xf>
    <xf numFmtId="182" fontId="30" fillId="0" borderId="41" xfId="4" applyNumberFormat="1" applyFont="1" applyBorder="1" applyAlignment="1">
      <alignment horizontal="center" vertical="center"/>
    </xf>
    <xf numFmtId="183" fontId="30" fillId="0" borderId="41" xfId="4" applyNumberFormat="1" applyFont="1" applyBorder="1" applyAlignment="1">
      <alignment horizontal="center" vertical="center"/>
    </xf>
    <xf numFmtId="184" fontId="30" fillId="0" borderId="28" xfId="4" applyNumberFormat="1" applyFont="1" applyBorder="1" applyAlignment="1">
      <alignment horizontal="center" vertical="center"/>
    </xf>
    <xf numFmtId="0" fontId="30" fillId="0" borderId="28" xfId="4" applyFont="1" applyBorder="1" applyAlignment="1">
      <alignment horizontal="center" vertical="center" wrapText="1"/>
    </xf>
    <xf numFmtId="180" fontId="30" fillId="0" borderId="54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/>
    </xf>
    <xf numFmtId="0" fontId="30" fillId="0" borderId="44" xfId="4" applyFont="1" applyBorder="1" applyAlignment="1">
      <alignment horizontal="center"/>
    </xf>
    <xf numFmtId="20" fontId="30" fillId="0" borderId="2" xfId="160" applyNumberFormat="1" applyFont="1" applyBorder="1" applyAlignment="1">
      <alignment horizontal="center" vertical="center"/>
    </xf>
    <xf numFmtId="182" fontId="30" fillId="0" borderId="2" xfId="160" applyNumberFormat="1" applyFont="1" applyBorder="1" applyAlignment="1">
      <alignment horizontal="center" vertical="center"/>
    </xf>
    <xf numFmtId="180" fontId="30" fillId="0" borderId="39" xfId="341" applyNumberFormat="1" applyFont="1" applyBorder="1" applyAlignment="1">
      <alignment horizontal="center" vertical="center"/>
    </xf>
    <xf numFmtId="0" fontId="30" fillId="0" borderId="43" xfId="4" applyFont="1" applyBorder="1" applyAlignment="1">
      <alignment horizontal="center" vertical="center"/>
    </xf>
    <xf numFmtId="1" fontId="30" fillId="14" borderId="34" xfId="4" applyNumberFormat="1" applyFont="1" applyFill="1" applyBorder="1" applyAlignment="1">
      <alignment horizontal="center" vertical="center"/>
    </xf>
    <xf numFmtId="0" fontId="30" fillId="0" borderId="32" xfId="4" applyFont="1" applyBorder="1" applyAlignment="1">
      <alignment horizontal="center" vertical="center"/>
    </xf>
    <xf numFmtId="180" fontId="30" fillId="0" borderId="45" xfId="341" applyNumberFormat="1" applyFont="1" applyBorder="1" applyAlignment="1">
      <alignment horizontal="center" vertical="center"/>
    </xf>
    <xf numFmtId="0" fontId="30" fillId="0" borderId="41" xfId="4" applyFont="1" applyBorder="1" applyAlignment="1">
      <alignment horizontal="center"/>
    </xf>
    <xf numFmtId="178" fontId="30" fillId="0" borderId="7" xfId="4" applyNumberFormat="1" applyFont="1" applyBorder="1" applyAlignment="1">
      <alignment horizontal="center" vertical="center"/>
    </xf>
    <xf numFmtId="182" fontId="30" fillId="3" borderId="2" xfId="160" applyNumberFormat="1" applyFont="1" applyFill="1" applyBorder="1" applyAlignment="1">
      <alignment horizontal="center" vertical="center"/>
    </xf>
    <xf numFmtId="0" fontId="4" fillId="0" borderId="10" xfId="136" applyFont="1" applyBorder="1" applyAlignment="1">
      <alignment horizontal="center"/>
    </xf>
    <xf numFmtId="1" fontId="4" fillId="0" borderId="2" xfId="136" applyNumberFormat="1" applyFont="1" applyBorder="1" applyAlignment="1">
      <alignment horizontal="center" vertical="center"/>
    </xf>
    <xf numFmtId="0" fontId="4" fillId="0" borderId="28" xfId="136" applyFont="1" applyBorder="1" applyAlignment="1">
      <alignment horizontal="center" vertical="center"/>
    </xf>
    <xf numFmtId="1" fontId="4" fillId="4" borderId="28" xfId="136" applyNumberFormat="1" applyFont="1" applyFill="1" applyBorder="1" applyAlignment="1">
      <alignment horizontal="center" vertical="center"/>
    </xf>
    <xf numFmtId="1" fontId="4" fillId="0" borderId="28" xfId="136" applyNumberFormat="1" applyFont="1" applyBorder="1" applyAlignment="1">
      <alignment horizontal="center" vertical="center"/>
    </xf>
    <xf numFmtId="178" fontId="4" fillId="0" borderId="28" xfId="136" applyNumberFormat="1" applyFont="1" applyBorder="1" applyAlignment="1">
      <alignment horizontal="center" vertical="center"/>
    </xf>
    <xf numFmtId="183" fontId="30" fillId="0" borderId="28" xfId="4" applyNumberFormat="1" applyFont="1" applyBorder="1" applyAlignment="1">
      <alignment horizontal="center" vertical="center"/>
    </xf>
    <xf numFmtId="180" fontId="30" fillId="0" borderId="56" xfId="341" applyNumberFormat="1" applyFont="1" applyBorder="1" applyAlignment="1">
      <alignment horizontal="center" vertical="center"/>
    </xf>
    <xf numFmtId="184" fontId="4" fillId="0" borderId="28" xfId="136" applyNumberFormat="1" applyFont="1" applyBorder="1" applyAlignment="1">
      <alignment horizontal="center" vertical="center"/>
    </xf>
    <xf numFmtId="0" fontId="30" fillId="14" borderId="34" xfId="4" applyFont="1" applyFill="1" applyBorder="1" applyAlignment="1">
      <alignment horizontal="center" vertical="center"/>
    </xf>
    <xf numFmtId="0" fontId="4" fillId="0" borderId="2" xfId="4" applyFont="1" applyBorder="1" applyAlignment="1">
      <alignment horizontal="center" vertical="center" wrapText="1"/>
    </xf>
    <xf numFmtId="182" fontId="4" fillId="0" borderId="32" xfId="136" applyNumberFormat="1" applyFont="1" applyBorder="1" applyAlignment="1">
      <alignment horizontal="center" vertical="center"/>
    </xf>
    <xf numFmtId="0" fontId="4" fillId="0" borderId="0" xfId="136" applyFont="1">
      <alignment vertical="center"/>
    </xf>
    <xf numFmtId="0" fontId="4" fillId="0" borderId="2" xfId="136" applyFont="1" applyBorder="1" applyAlignment="1">
      <alignment horizontal="center" vertical="center"/>
    </xf>
    <xf numFmtId="0" fontId="4" fillId="14" borderId="3" xfId="136" applyFont="1" applyFill="1" applyBorder="1" applyAlignment="1">
      <alignment horizontal="left"/>
    </xf>
    <xf numFmtId="0" fontId="4" fillId="0" borderId="1" xfId="136" applyFont="1" applyBorder="1" applyAlignment="1">
      <alignment horizontal="left"/>
    </xf>
    <xf numFmtId="1" fontId="4" fillId="4" borderId="2" xfId="136" applyNumberFormat="1" applyFont="1" applyFill="1" applyBorder="1" applyAlignment="1">
      <alignment horizontal="center" vertical="center"/>
    </xf>
    <xf numFmtId="0" fontId="4" fillId="0" borderId="3" xfId="136" applyFont="1" applyBorder="1" applyAlignment="1">
      <alignment horizontal="left"/>
    </xf>
    <xf numFmtId="184" fontId="4" fillId="0" borderId="2" xfId="136" applyNumberFormat="1" applyFont="1" applyBorder="1" applyAlignment="1">
      <alignment horizontal="center" vertical="center"/>
    </xf>
    <xf numFmtId="20" fontId="4" fillId="0" borderId="2" xfId="41" applyNumberFormat="1" applyFont="1" applyBorder="1" applyAlignment="1">
      <alignment horizontal="center" vertical="center"/>
    </xf>
    <xf numFmtId="182" fontId="4" fillId="0" borderId="2" xfId="41" applyNumberFormat="1" applyFont="1" applyBorder="1" applyAlignment="1">
      <alignment horizontal="center" vertical="center"/>
    </xf>
    <xf numFmtId="43" fontId="4" fillId="0" borderId="2" xfId="286" applyFont="1" applyBorder="1" applyAlignment="1">
      <alignment horizontal="center" vertical="center"/>
    </xf>
    <xf numFmtId="178" fontId="4" fillId="0" borderId="2" xfId="136" applyNumberFormat="1" applyFont="1" applyBorder="1" applyAlignment="1">
      <alignment horizontal="center" vertical="center"/>
    </xf>
    <xf numFmtId="0" fontId="4" fillId="0" borderId="45" xfId="136" applyFont="1" applyBorder="1" applyAlignment="1">
      <alignment horizontal="center"/>
    </xf>
    <xf numFmtId="0" fontId="30" fillId="0" borderId="45" xfId="4" applyFont="1" applyBorder="1" applyAlignment="1">
      <alignment horizontal="center"/>
    </xf>
    <xf numFmtId="182" fontId="30" fillId="0" borderId="56" xfId="4" applyNumberFormat="1" applyFont="1" applyBorder="1" applyAlignment="1">
      <alignment horizontal="center" vertical="center"/>
    </xf>
    <xf numFmtId="180" fontId="30" fillId="0" borderId="41" xfId="341" applyNumberFormat="1" applyFont="1" applyFill="1" applyBorder="1" applyAlignment="1">
      <alignment horizontal="center" vertical="center"/>
    </xf>
    <xf numFmtId="184" fontId="30" fillId="0" borderId="41" xfId="4" applyNumberFormat="1" applyFont="1" applyBorder="1" applyAlignment="1">
      <alignment horizontal="center" vertical="center"/>
    </xf>
    <xf numFmtId="20" fontId="30" fillId="0" borderId="41" xfId="4" applyNumberFormat="1" applyFont="1" applyBorder="1" applyAlignment="1">
      <alignment horizontal="center" vertical="center"/>
    </xf>
    <xf numFmtId="182" fontId="30" fillId="0" borderId="39" xfId="4" applyNumberFormat="1" applyFont="1" applyBorder="1" applyAlignment="1">
      <alignment horizontal="center" vertical="center"/>
    </xf>
    <xf numFmtId="0" fontId="30" fillId="0" borderId="54" xfId="4" applyFont="1" applyBorder="1" applyAlignment="1">
      <alignment horizontal="center"/>
    </xf>
    <xf numFmtId="0" fontId="30" fillId="0" borderId="54" xfId="160" applyFont="1" applyBorder="1" applyAlignment="1"/>
    <xf numFmtId="182" fontId="30" fillId="0" borderId="42" xfId="4" applyNumberFormat="1" applyFont="1" applyBorder="1" applyAlignment="1">
      <alignment horizontal="center" vertical="center"/>
    </xf>
    <xf numFmtId="184" fontId="4" fillId="14" borderId="28" xfId="136" applyNumberFormat="1" applyFont="1" applyFill="1" applyBorder="1" applyAlignment="1">
      <alignment horizontal="center" vertical="center"/>
    </xf>
    <xf numFmtId="1" fontId="30" fillId="4" borderId="35" xfId="4" applyNumberFormat="1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/>
    </xf>
    <xf numFmtId="1" fontId="30" fillId="15" borderId="41" xfId="4" applyNumberFormat="1" applyFont="1" applyFill="1" applyBorder="1" applyAlignment="1">
      <alignment horizontal="center" vertical="center"/>
    </xf>
    <xf numFmtId="43" fontId="30" fillId="15" borderId="34" xfId="286" applyFont="1" applyFill="1" applyBorder="1" applyAlignment="1">
      <alignment horizontal="center" vertical="center"/>
    </xf>
    <xf numFmtId="178" fontId="30" fillId="15" borderId="34" xfId="4" applyNumberFormat="1" applyFont="1" applyFill="1" applyBorder="1" applyAlignment="1">
      <alignment horizontal="center" vertical="center"/>
    </xf>
    <xf numFmtId="180" fontId="30" fillId="0" borderId="34" xfId="341" applyNumberFormat="1" applyFont="1" applyFill="1" applyBorder="1" applyAlignment="1">
      <alignment horizontal="center" vertical="center"/>
    </xf>
    <xf numFmtId="0" fontId="30" fillId="0" borderId="43" xfId="160" applyFont="1" applyBorder="1" applyAlignment="1"/>
    <xf numFmtId="1" fontId="30" fillId="0" borderId="50" xfId="4" applyNumberFormat="1" applyFont="1" applyBorder="1" applyAlignment="1">
      <alignment horizontal="center" vertical="center"/>
    </xf>
    <xf numFmtId="0" fontId="30" fillId="0" borderId="57" xfId="4" applyFont="1" applyBorder="1" applyAlignment="1">
      <alignment horizontal="center"/>
    </xf>
    <xf numFmtId="0" fontId="30" fillId="0" borderId="57" xfId="160" applyFont="1" applyBorder="1" applyAlignment="1"/>
    <xf numFmtId="0" fontId="30" fillId="0" borderId="58" xfId="160" applyFont="1" applyBorder="1" applyAlignment="1"/>
    <xf numFmtId="1" fontId="30" fillId="4" borderId="2" xfId="197" applyNumberFormat="1" applyFont="1" applyFill="1" applyBorder="1" applyAlignment="1">
      <alignment horizontal="center" vertical="center"/>
    </xf>
    <xf numFmtId="1" fontId="30" fillId="0" borderId="2" xfId="197" applyNumberFormat="1" applyFont="1" applyBorder="1" applyAlignment="1">
      <alignment horizontal="center" vertical="center"/>
    </xf>
    <xf numFmtId="20" fontId="30" fillId="0" borderId="34" xfId="160" applyNumberFormat="1" applyFont="1" applyBorder="1" applyAlignment="1">
      <alignment horizontal="center" vertical="center"/>
    </xf>
    <xf numFmtId="178" fontId="30" fillId="0" borderId="58" xfId="4" applyNumberFormat="1" applyFont="1" applyBorder="1" applyAlignment="1">
      <alignment horizontal="center" vertical="center"/>
    </xf>
    <xf numFmtId="183" fontId="30" fillId="0" borderId="50" xfId="4" applyNumberFormat="1" applyFont="1" applyBorder="1" applyAlignment="1">
      <alignment horizontal="center" vertical="center"/>
    </xf>
    <xf numFmtId="178" fontId="30" fillId="0" borderId="1" xfId="4" applyNumberFormat="1" applyFont="1" applyBorder="1" applyAlignment="1">
      <alignment horizontal="center" vertical="center"/>
    </xf>
    <xf numFmtId="178" fontId="30" fillId="15" borderId="6" xfId="4" applyNumberFormat="1" applyFont="1" applyFill="1" applyBorder="1" applyAlignment="1">
      <alignment horizontal="center" vertical="center"/>
    </xf>
    <xf numFmtId="180" fontId="30" fillId="0" borderId="43" xfId="341" applyNumberFormat="1" applyFont="1" applyBorder="1" applyAlignment="1">
      <alignment horizontal="center" vertical="center"/>
    </xf>
    <xf numFmtId="0" fontId="4" fillId="0" borderId="39" xfId="160" applyFont="1" applyBorder="1" applyAlignment="1"/>
    <xf numFmtId="0" fontId="30" fillId="14" borderId="31" xfId="4" applyFont="1" applyFill="1" applyBorder="1" applyAlignment="1">
      <alignment horizontal="center" vertical="center"/>
    </xf>
    <xf numFmtId="20" fontId="30" fillId="0" borderId="50" xfId="4" applyNumberFormat="1" applyFont="1" applyBorder="1" applyAlignment="1">
      <alignment horizontal="center" vertical="center"/>
    </xf>
    <xf numFmtId="0" fontId="30" fillId="0" borderId="31" xfId="4" applyFont="1" applyBorder="1" applyAlignment="1">
      <alignment horizontal="center" vertical="center"/>
    </xf>
    <xf numFmtId="1" fontId="30" fillId="4" borderId="31" xfId="4" applyNumberFormat="1" applyFont="1" applyFill="1" applyBorder="1" applyAlignment="1">
      <alignment horizontal="center" vertical="center"/>
    </xf>
    <xf numFmtId="1" fontId="30" fillId="0" borderId="31" xfId="4" applyNumberFormat="1" applyFont="1" applyBorder="1" applyAlignment="1">
      <alignment horizontal="center" vertical="center"/>
    </xf>
    <xf numFmtId="178" fontId="30" fillId="0" borderId="31" xfId="4" applyNumberFormat="1" applyFont="1" applyBorder="1" applyAlignment="1">
      <alignment horizontal="center" vertical="center"/>
    </xf>
    <xf numFmtId="182" fontId="30" fillId="0" borderId="31" xfId="4" applyNumberFormat="1" applyFont="1" applyBorder="1" applyAlignment="1">
      <alignment horizontal="center" vertical="center"/>
    </xf>
    <xf numFmtId="183" fontId="30" fillId="0" borderId="31" xfId="4" applyNumberFormat="1" applyFont="1" applyBorder="1" applyAlignment="1">
      <alignment horizontal="center" vertical="center"/>
    </xf>
    <xf numFmtId="0" fontId="30" fillId="0" borderId="45" xfId="4" applyFont="1" applyBorder="1" applyAlignment="1">
      <alignment horizontal="center" vertical="center"/>
    </xf>
    <xf numFmtId="0" fontId="30" fillId="0" borderId="1" xfId="4" applyFont="1" applyBorder="1" applyAlignment="1">
      <alignment horizontal="center" vertical="center"/>
    </xf>
    <xf numFmtId="20" fontId="30" fillId="0" borderId="35" xfId="160" applyNumberFormat="1" applyFont="1" applyBorder="1" applyAlignment="1">
      <alignment horizontal="center" vertical="center"/>
    </xf>
    <xf numFmtId="1" fontId="30" fillId="0" borderId="3" xfId="4" applyNumberFormat="1" applyFont="1" applyBorder="1" applyAlignment="1">
      <alignment horizontal="center" vertical="center"/>
    </xf>
    <xf numFmtId="0" fontId="30" fillId="4" borderId="1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/>
    </xf>
    <xf numFmtId="43" fontId="30" fillId="15" borderId="7" xfId="286" applyFont="1" applyFill="1" applyBorder="1" applyAlignment="1">
      <alignment horizontal="center" vertical="center"/>
    </xf>
    <xf numFmtId="1" fontId="30" fillId="15" borderId="7" xfId="4" applyNumberFormat="1" applyFont="1" applyFill="1" applyBorder="1" applyAlignment="1">
      <alignment horizontal="center" vertical="center"/>
    </xf>
    <xf numFmtId="178" fontId="30" fillId="15" borderId="7" xfId="4" applyNumberFormat="1" applyFont="1" applyFill="1" applyBorder="1" applyAlignment="1">
      <alignment horizontal="center" vertical="center"/>
    </xf>
    <xf numFmtId="182" fontId="30" fillId="0" borderId="7" xfId="4" applyNumberFormat="1" applyFont="1" applyBorder="1" applyAlignment="1">
      <alignment horizontal="center" vertical="center"/>
    </xf>
    <xf numFmtId="183" fontId="30" fillId="0" borderId="7" xfId="4" applyNumberFormat="1" applyFont="1" applyBorder="1" applyAlignment="1">
      <alignment horizontal="center" vertical="center"/>
    </xf>
    <xf numFmtId="180" fontId="30" fillId="0" borderId="7" xfId="341" applyNumberFormat="1" applyFont="1" applyFill="1" applyBorder="1" applyAlignment="1">
      <alignment horizontal="center" vertical="center"/>
    </xf>
    <xf numFmtId="0" fontId="30" fillId="14" borderId="3" xfId="4" applyFont="1" applyFill="1" applyBorder="1" applyAlignment="1">
      <alignment horizontal="center"/>
    </xf>
    <xf numFmtId="0" fontId="30" fillId="14" borderId="3" xfId="160" applyFont="1" applyFill="1" applyBorder="1" applyAlignment="1"/>
    <xf numFmtId="1" fontId="30" fillId="14" borderId="2" xfId="4" applyNumberFormat="1" applyFont="1" applyFill="1" applyBorder="1" applyAlignment="1">
      <alignment horizontal="center" vertical="center"/>
    </xf>
    <xf numFmtId="43" fontId="30" fillId="14" borderId="34" xfId="286" applyFont="1" applyFill="1" applyBorder="1" applyAlignment="1">
      <alignment horizontal="center" vertical="center"/>
    </xf>
    <xf numFmtId="184" fontId="30" fillId="14" borderId="2" xfId="4" applyNumberFormat="1" applyFont="1" applyFill="1" applyBorder="1" applyAlignment="1">
      <alignment horizontal="center" vertical="center"/>
    </xf>
    <xf numFmtId="0" fontId="30" fillId="14" borderId="2" xfId="4" applyFont="1" applyFill="1" applyBorder="1" applyAlignment="1">
      <alignment horizontal="center" vertical="center"/>
    </xf>
    <xf numFmtId="182" fontId="30" fillId="14" borderId="2" xfId="4" applyNumberFormat="1" applyFont="1" applyFill="1" applyBorder="1" applyAlignment="1">
      <alignment horizontal="center" vertical="center"/>
    </xf>
    <xf numFmtId="180" fontId="30" fillId="14" borderId="2" xfId="341" applyNumberFormat="1" applyFont="1" applyFill="1" applyBorder="1" applyAlignment="1">
      <alignment horizontal="center" vertical="center"/>
    </xf>
    <xf numFmtId="0" fontId="30" fillId="14" borderId="0" xfId="4" applyFont="1" applyFill="1">
      <alignment vertical="center"/>
    </xf>
    <xf numFmtId="20" fontId="30" fillId="0" borderId="34" xfId="197" applyNumberFormat="1" applyFont="1" applyBorder="1" applyAlignment="1">
      <alignment horizontal="center" vertical="center"/>
    </xf>
    <xf numFmtId="182" fontId="30" fillId="0" borderId="2" xfId="197" applyNumberFormat="1" applyFont="1" applyBorder="1" applyAlignment="1">
      <alignment horizontal="center" vertical="center"/>
    </xf>
    <xf numFmtId="0" fontId="30" fillId="0" borderId="0" xfId="197" applyFont="1">
      <alignment vertical="center"/>
    </xf>
    <xf numFmtId="20" fontId="30" fillId="0" borderId="35" xfId="197" applyNumberFormat="1" applyFont="1" applyBorder="1" applyAlignment="1">
      <alignment horizontal="center" vertical="center"/>
    </xf>
    <xf numFmtId="20" fontId="30" fillId="0" borderId="2" xfId="197" applyNumberFormat="1" applyFont="1" applyBorder="1" applyAlignment="1">
      <alignment horizontal="center" vertical="center"/>
    </xf>
    <xf numFmtId="0" fontId="30" fillId="0" borderId="2" xfId="197" applyFont="1" applyBorder="1" applyAlignment="1">
      <alignment horizontal="center" vertical="center"/>
    </xf>
    <xf numFmtId="0" fontId="30" fillId="0" borderId="50" xfId="197" applyFont="1" applyBorder="1" applyAlignment="1">
      <alignment horizontal="center" vertical="center"/>
    </xf>
    <xf numFmtId="0" fontId="30" fillId="0" borderId="3" xfId="197" applyFont="1" applyBorder="1" applyAlignment="1">
      <alignment horizontal="center" vertical="center"/>
    </xf>
    <xf numFmtId="178" fontId="30" fillId="0" borderId="2" xfId="197" applyNumberFormat="1" applyFont="1" applyBorder="1" applyAlignment="1">
      <alignment horizontal="center" vertical="center"/>
    </xf>
    <xf numFmtId="43" fontId="30" fillId="0" borderId="35" xfId="286" applyFont="1" applyBorder="1" applyAlignment="1">
      <alignment horizontal="center" vertical="center"/>
    </xf>
    <xf numFmtId="184" fontId="4" fillId="0" borderId="34" xfId="4" applyNumberFormat="1" applyFont="1" applyBorder="1" applyAlignment="1">
      <alignment horizontal="center" vertical="center"/>
    </xf>
    <xf numFmtId="0" fontId="4" fillId="0" borderId="34" xfId="4" applyFont="1" applyBorder="1" applyAlignment="1">
      <alignment horizontal="center" vertical="center"/>
    </xf>
    <xf numFmtId="0" fontId="30" fillId="4" borderId="41" xfId="4" applyFont="1" applyFill="1" applyBorder="1" applyAlignment="1">
      <alignment horizontal="center" vertical="center"/>
    </xf>
    <xf numFmtId="1" fontId="30" fillId="0" borderId="39" xfId="4" applyNumberFormat="1" applyFont="1" applyBorder="1" applyAlignment="1">
      <alignment horizontal="center" vertical="center"/>
    </xf>
    <xf numFmtId="43" fontId="30" fillId="0" borderId="61" xfId="286" applyFont="1" applyBorder="1" applyAlignment="1">
      <alignment horizontal="center" vertical="center"/>
    </xf>
    <xf numFmtId="1" fontId="30" fillId="0" borderId="3" xfId="197" applyNumberFormat="1" applyFont="1" applyBorder="1" applyAlignment="1">
      <alignment horizontal="center" vertical="center"/>
    </xf>
    <xf numFmtId="0" fontId="30" fillId="15" borderId="62" xfId="4" applyFont="1" applyFill="1" applyBorder="1" applyAlignment="1"/>
    <xf numFmtId="0" fontId="30" fillId="15" borderId="47" xfId="4" applyFont="1" applyFill="1" applyBorder="1" applyAlignment="1"/>
    <xf numFmtId="1" fontId="30" fillId="15" borderId="34" xfId="4" applyNumberFormat="1" applyFont="1" applyFill="1" applyBorder="1" applyAlignment="1">
      <alignment horizontal="center" vertical="center"/>
    </xf>
    <xf numFmtId="43" fontId="30" fillId="15" borderId="41" xfId="286" applyFont="1" applyFill="1" applyBorder="1" applyAlignment="1">
      <alignment horizontal="center" vertical="center"/>
    </xf>
    <xf numFmtId="0" fontId="30" fillId="15" borderId="34" xfId="4" applyFont="1" applyFill="1" applyBorder="1" applyAlignment="1">
      <alignment horizontal="center" vertical="center"/>
    </xf>
    <xf numFmtId="178" fontId="30" fillId="0" borderId="50" xfId="4" applyNumberFormat="1" applyFont="1" applyBorder="1" applyAlignment="1">
      <alignment horizontal="center" vertical="center"/>
    </xf>
    <xf numFmtId="0" fontId="30" fillId="0" borderId="50" xfId="4" applyFont="1" applyBorder="1" applyAlignment="1">
      <alignment horizontal="center" vertical="center"/>
    </xf>
    <xf numFmtId="0" fontId="30" fillId="0" borderId="50" xfId="4" applyFont="1" applyBorder="1" applyAlignment="1">
      <alignment horizontal="center" vertical="center" wrapText="1"/>
    </xf>
    <xf numFmtId="43" fontId="30" fillId="0" borderId="45" xfId="286" applyFont="1" applyBorder="1" applyAlignment="1">
      <alignment horizontal="center" vertical="center"/>
    </xf>
    <xf numFmtId="0" fontId="30" fillId="15" borderId="28" xfId="4" applyFont="1" applyFill="1" applyBorder="1" applyAlignment="1">
      <alignment horizontal="center" vertical="center"/>
    </xf>
    <xf numFmtId="1" fontId="30" fillId="15" borderId="28" xfId="4" applyNumberFormat="1" applyFont="1" applyFill="1" applyBorder="1" applyAlignment="1">
      <alignment horizontal="center" vertical="center"/>
    </xf>
    <xf numFmtId="178" fontId="30" fillId="15" borderId="28" xfId="4" applyNumberFormat="1" applyFont="1" applyFill="1" applyBorder="1" applyAlignment="1">
      <alignment horizontal="center" vertical="center"/>
    </xf>
    <xf numFmtId="180" fontId="30" fillId="0" borderId="56" xfId="341" applyNumberFormat="1" applyFont="1" applyFill="1" applyBorder="1" applyAlignment="1">
      <alignment horizontal="center" vertical="center"/>
    </xf>
    <xf numFmtId="43" fontId="30" fillId="0" borderId="41" xfId="286" applyFont="1" applyBorder="1" applyAlignment="1">
      <alignment horizontal="center" vertical="center"/>
    </xf>
    <xf numFmtId="184" fontId="30" fillId="0" borderId="42" xfId="4" applyNumberFormat="1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 wrapText="1"/>
    </xf>
    <xf numFmtId="0" fontId="30" fillId="0" borderId="2" xfId="160" applyFont="1" applyBorder="1" applyAlignment="1"/>
    <xf numFmtId="0" fontId="30" fillId="14" borderId="41" xfId="4" applyFont="1" applyFill="1" applyBorder="1" applyAlignment="1">
      <alignment horizontal="center" vertical="center"/>
    </xf>
    <xf numFmtId="0" fontId="30" fillId="14" borderId="63" xfId="4" applyFont="1" applyFill="1" applyBorder="1" applyAlignment="1">
      <alignment horizontal="center" vertical="center"/>
    </xf>
    <xf numFmtId="0" fontId="30" fillId="0" borderId="44" xfId="160" applyFont="1" applyBorder="1" applyAlignment="1"/>
    <xf numFmtId="184" fontId="30" fillId="0" borderId="45" xfId="4" applyNumberFormat="1" applyFont="1" applyBorder="1" applyAlignment="1">
      <alignment horizontal="center" vertical="center"/>
    </xf>
    <xf numFmtId="0" fontId="30" fillId="14" borderId="3" xfId="4" applyFont="1" applyFill="1" applyBorder="1" applyAlignment="1">
      <alignment horizontal="center" vertical="center"/>
    </xf>
    <xf numFmtId="0" fontId="30" fillId="0" borderId="40" xfId="160" applyFont="1" applyBorder="1" applyAlignment="1"/>
    <xf numFmtId="0" fontId="30" fillId="0" borderId="0" xfId="4" applyFont="1" applyAlignment="1">
      <alignment horizontal="center" vertical="center"/>
    </xf>
    <xf numFmtId="0" fontId="30" fillId="0" borderId="0" xfId="160" applyFont="1" applyAlignment="1"/>
    <xf numFmtId="0" fontId="30" fillId="0" borderId="7" xfId="4" applyFont="1" applyBorder="1" applyAlignment="1">
      <alignment horizontal="center"/>
    </xf>
    <xf numFmtId="180" fontId="30" fillId="0" borderId="6" xfId="341" applyNumberFormat="1" applyFont="1" applyFill="1" applyBorder="1" applyAlignment="1">
      <alignment horizontal="center" vertical="center"/>
    </xf>
    <xf numFmtId="180" fontId="30" fillId="0" borderId="63" xfId="341" applyNumberFormat="1" applyFont="1" applyBorder="1" applyAlignment="1">
      <alignment horizontal="center" vertical="center"/>
    </xf>
    <xf numFmtId="0" fontId="30" fillId="0" borderId="34" xfId="197" applyFont="1" applyBorder="1" applyAlignment="1">
      <alignment horizontal="center" vertical="center"/>
    </xf>
    <xf numFmtId="184" fontId="30" fillId="0" borderId="46" xfId="4" applyNumberFormat="1" applyFont="1" applyBorder="1" applyAlignment="1">
      <alignment horizontal="center" vertical="center"/>
    </xf>
    <xf numFmtId="1" fontId="30" fillId="4" borderId="1" xfId="197" applyNumberFormat="1" applyFont="1" applyFill="1" applyBorder="1" applyAlignment="1">
      <alignment horizontal="center" vertical="center"/>
    </xf>
    <xf numFmtId="182" fontId="30" fillId="0" borderId="46" xfId="4" applyNumberFormat="1" applyFont="1" applyBorder="1" applyAlignment="1">
      <alignment horizontal="center" vertical="center"/>
    </xf>
    <xf numFmtId="182" fontId="30" fillId="0" borderId="35" xfId="197" applyNumberFormat="1" applyFont="1" applyBorder="1" applyAlignment="1">
      <alignment horizontal="center" vertical="center"/>
    </xf>
    <xf numFmtId="0" fontId="30" fillId="0" borderId="34" xfId="197" applyFont="1" applyBorder="1" applyAlignment="1">
      <alignment horizontal="center" vertical="center" wrapText="1"/>
    </xf>
    <xf numFmtId="0" fontId="30" fillId="0" borderId="35" xfId="197" applyFont="1" applyBorder="1" applyAlignment="1">
      <alignment horizontal="center" vertical="center" wrapText="1"/>
    </xf>
    <xf numFmtId="0" fontId="30" fillId="0" borderId="31" xfId="4" applyFont="1" applyBorder="1" applyAlignment="1">
      <alignment horizontal="center"/>
    </xf>
    <xf numFmtId="0" fontId="12" fillId="0" borderId="31" xfId="1" applyFont="1" applyBorder="1" applyAlignment="1">
      <alignment horizontal="center" vertical="center"/>
    </xf>
    <xf numFmtId="1" fontId="30" fillId="15" borderId="31" xfId="4" applyNumberFormat="1" applyFont="1" applyFill="1" applyBorder="1" applyAlignment="1">
      <alignment horizontal="center" vertical="center"/>
    </xf>
    <xf numFmtId="178" fontId="30" fillId="15" borderId="31" xfId="4" applyNumberFormat="1" applyFont="1" applyFill="1" applyBorder="1" applyAlignment="1">
      <alignment horizontal="center" vertical="center"/>
    </xf>
    <xf numFmtId="180" fontId="30" fillId="0" borderId="45" xfId="341" applyNumberFormat="1" applyFont="1" applyFill="1" applyBorder="1" applyAlignment="1">
      <alignment horizontal="center" vertical="center"/>
    </xf>
    <xf numFmtId="184" fontId="30" fillId="0" borderId="31" xfId="4" applyNumberFormat="1" applyFont="1" applyBorder="1" applyAlignment="1">
      <alignment horizontal="center" vertical="center"/>
    </xf>
    <xf numFmtId="0" fontId="30" fillId="0" borderId="31" xfId="160" applyFont="1" applyBorder="1" applyAlignment="1"/>
    <xf numFmtId="0" fontId="30" fillId="0" borderId="0" xfId="4" applyFont="1" applyAlignment="1">
      <alignment vertical="center" wrapText="1"/>
    </xf>
    <xf numFmtId="0" fontId="30" fillId="0" borderId="2" xfId="4" applyFont="1" applyBorder="1">
      <alignment vertical="center"/>
    </xf>
    <xf numFmtId="0" fontId="11" fillId="0" borderId="67" xfId="97" applyFont="1" applyBorder="1" applyAlignment="1">
      <alignment horizontal="left" vertical="center"/>
    </xf>
    <xf numFmtId="176" fontId="11" fillId="12" borderId="68" xfId="237" applyNumberFormat="1" applyFont="1" applyFill="1" applyBorder="1" applyAlignment="1">
      <alignment horizontal="center" vertical="center"/>
    </xf>
    <xf numFmtId="2" fontId="4" fillId="14" borderId="68" xfId="97" applyNumberFormat="1" applyFont="1" applyFill="1" applyBorder="1" applyAlignment="1">
      <alignment horizontal="center" vertical="center"/>
    </xf>
    <xf numFmtId="43" fontId="11" fillId="0" borderId="69" xfId="237" applyFont="1" applyBorder="1" applyAlignment="1">
      <alignment horizontal="center" vertical="center"/>
    </xf>
    <xf numFmtId="0" fontId="11" fillId="0" borderId="69" xfId="97" applyFont="1" applyBorder="1" applyAlignment="1">
      <alignment horizontal="center" vertical="center"/>
    </xf>
    <xf numFmtId="1" fontId="11" fillId="0" borderId="68" xfId="97" applyNumberFormat="1" applyFont="1" applyBorder="1" applyAlignment="1">
      <alignment horizontal="center" vertical="center"/>
    </xf>
    <xf numFmtId="0" fontId="4" fillId="0" borderId="0" xfId="97" applyFont="1">
      <alignment vertical="center"/>
    </xf>
    <xf numFmtId="0" fontId="11" fillId="0" borderId="2" xfId="97" applyFont="1" applyBorder="1" applyAlignment="1">
      <alignment horizontal="left" vertical="center"/>
    </xf>
    <xf numFmtId="178" fontId="11" fillId="0" borderId="3" xfId="97" applyNumberFormat="1" applyFont="1" applyBorder="1" applyAlignment="1">
      <alignment horizontal="center" vertical="center"/>
    </xf>
    <xf numFmtId="2" fontId="40" fillId="0" borderId="3" xfId="97" applyNumberFormat="1" applyFont="1" applyBorder="1" applyAlignment="1">
      <alignment horizontal="center" vertical="center"/>
    </xf>
    <xf numFmtId="43" fontId="11" fillId="0" borderId="2" xfId="97" applyNumberFormat="1" applyFont="1" applyBorder="1" applyAlignment="1">
      <alignment horizontal="center" vertical="center"/>
    </xf>
    <xf numFmtId="0" fontId="11" fillId="0" borderId="2" xfId="97" applyFont="1" applyBorder="1" applyAlignment="1">
      <alignment horizontal="center" vertical="center"/>
    </xf>
    <xf numFmtId="0" fontId="11" fillId="0" borderId="3" xfId="97" applyFont="1" applyBorder="1" applyAlignment="1">
      <alignment horizontal="center" vertical="center"/>
    </xf>
    <xf numFmtId="0" fontId="4" fillId="0" borderId="34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/>
    </xf>
    <xf numFmtId="43" fontId="4" fillId="0" borderId="3" xfId="237" applyFont="1" applyBorder="1" applyAlignment="1">
      <alignment horizontal="center" vertical="center"/>
    </xf>
    <xf numFmtId="1" fontId="4" fillId="4" borderId="34" xfId="97" applyNumberFormat="1" applyFont="1" applyFill="1" applyBorder="1" applyAlignment="1">
      <alignment horizontal="center" vertical="center"/>
    </xf>
    <xf numFmtId="1" fontId="4" fillId="0" borderId="34" xfId="97" applyNumberFormat="1" applyFont="1" applyBorder="1" applyAlignment="1">
      <alignment horizontal="center" vertical="center"/>
    </xf>
    <xf numFmtId="178" fontId="4" fillId="0" borderId="34" xfId="97" applyNumberFormat="1" applyFont="1" applyBorder="1" applyAlignment="1">
      <alignment horizontal="center" vertical="center"/>
    </xf>
    <xf numFmtId="184" fontId="4" fillId="0" borderId="34" xfId="97" applyNumberFormat="1" applyFont="1" applyBorder="1" applyAlignment="1">
      <alignment horizontal="center" vertical="center"/>
    </xf>
    <xf numFmtId="20" fontId="4" fillId="0" borderId="34" xfId="97" applyNumberFormat="1" applyFont="1" applyBorder="1" applyAlignment="1">
      <alignment horizontal="center" vertical="center"/>
    </xf>
    <xf numFmtId="0" fontId="4" fillId="0" borderId="5" xfId="97" applyFont="1" applyBorder="1" applyAlignment="1">
      <alignment horizontal="center" vertical="center"/>
    </xf>
    <xf numFmtId="2" fontId="4" fillId="15" borderId="2" xfId="97" applyNumberFormat="1" applyFont="1" applyFill="1" applyBorder="1" applyAlignment="1">
      <alignment horizontal="right"/>
    </xf>
    <xf numFmtId="178" fontId="4" fillId="15" borderId="5" xfId="97" applyNumberFormat="1" applyFont="1" applyFill="1" applyBorder="1" applyAlignment="1">
      <alignment horizontal="center" vertical="center"/>
    </xf>
    <xf numFmtId="43" fontId="4" fillId="15" borderId="3" xfId="237" applyFont="1" applyFill="1" applyBorder="1" applyAlignment="1">
      <alignment horizontal="center" vertical="center"/>
    </xf>
    <xf numFmtId="0" fontId="4" fillId="15" borderId="3" xfId="97" applyFont="1" applyFill="1" applyBorder="1" applyAlignment="1">
      <alignment horizontal="center" vertical="center" wrapText="1"/>
    </xf>
    <xf numFmtId="1" fontId="4" fillId="15" borderId="34" xfId="97" applyNumberFormat="1" applyFont="1" applyFill="1" applyBorder="1" applyAlignment="1">
      <alignment horizontal="center" vertical="center"/>
    </xf>
    <xf numFmtId="178" fontId="4" fillId="15" borderId="34" xfId="97" applyNumberFormat="1" applyFont="1" applyFill="1" applyBorder="1" applyAlignment="1">
      <alignment horizontal="center" vertical="center"/>
    </xf>
    <xf numFmtId="43" fontId="4" fillId="0" borderId="10" xfId="237" applyFont="1" applyBorder="1" applyAlignment="1">
      <alignment horizontal="center" vertical="center"/>
    </xf>
    <xf numFmtId="0" fontId="4" fillId="0" borderId="10" xfId="97" applyFont="1" applyBorder="1" applyAlignment="1">
      <alignment horizontal="center" vertical="center" wrapText="1"/>
    </xf>
    <xf numFmtId="0" fontId="4" fillId="0" borderId="59" xfId="97" applyFont="1" applyBorder="1" applyAlignment="1">
      <alignment horizontal="left" vertical="center"/>
    </xf>
    <xf numFmtId="0" fontId="4" fillId="15" borderId="3" xfId="97" applyFont="1" applyFill="1" applyBorder="1" applyAlignment="1">
      <alignment horizontal="center" vertical="center"/>
    </xf>
    <xf numFmtId="0" fontId="4" fillId="0" borderId="2" xfId="97" applyFont="1" applyBorder="1" applyAlignment="1">
      <alignment horizontal="center" vertical="top"/>
    </xf>
    <xf numFmtId="0" fontId="4" fillId="0" borderId="32" xfId="97" applyFont="1" applyBorder="1" applyAlignment="1">
      <alignment horizontal="left" vertical="top"/>
    </xf>
    <xf numFmtId="0" fontId="4" fillId="0" borderId="32" xfId="97" applyFont="1" applyBorder="1" applyAlignment="1">
      <alignment horizontal="left" vertical="center"/>
    </xf>
    <xf numFmtId="0" fontId="4" fillId="0" borderId="1" xfId="97" applyFont="1" applyBorder="1" applyAlignment="1">
      <alignment horizontal="left" vertical="center"/>
    </xf>
    <xf numFmtId="0" fontId="4" fillId="0" borderId="1" xfId="97" applyFont="1" applyBorder="1" applyAlignment="1">
      <alignment horizontal="center" vertical="center"/>
    </xf>
    <xf numFmtId="1" fontId="4" fillId="15" borderId="1" xfId="97" applyNumberFormat="1" applyFont="1" applyFill="1" applyBorder="1" applyAlignment="1">
      <alignment horizontal="center" vertical="center"/>
    </xf>
    <xf numFmtId="0" fontId="4" fillId="14" borderId="34" xfId="97" applyFont="1" applyFill="1" applyBorder="1" applyAlignment="1">
      <alignment horizontal="center" vertical="center" wrapText="1"/>
    </xf>
    <xf numFmtId="0" fontId="4" fillId="0" borderId="84" xfId="97" applyFont="1" applyBorder="1" applyAlignment="1">
      <alignment horizontal="left" vertical="top"/>
    </xf>
    <xf numFmtId="0" fontId="4" fillId="0" borderId="31" xfId="97" applyFont="1" applyBorder="1" applyAlignment="1">
      <alignment horizontal="center" vertical="center"/>
    </xf>
    <xf numFmtId="43" fontId="4" fillId="0" borderId="4" xfId="237" applyFont="1" applyBorder="1" applyAlignment="1">
      <alignment horizontal="center" vertical="center"/>
    </xf>
    <xf numFmtId="0" fontId="4" fillId="0" borderId="42" xfId="97" applyFont="1" applyBorder="1" applyAlignment="1">
      <alignment horizontal="left" vertical="top"/>
    </xf>
    <xf numFmtId="43" fontId="4" fillId="15" borderId="34" xfId="237" applyFont="1" applyFill="1" applyBorder="1" applyAlignment="1">
      <alignment horizontal="center" vertical="center"/>
    </xf>
    <xf numFmtId="0" fontId="4" fillId="15" borderId="39" xfId="97" applyFont="1" applyFill="1" applyBorder="1" applyAlignment="1">
      <alignment horizontal="center" vertical="center" wrapText="1"/>
    </xf>
    <xf numFmtId="184" fontId="4" fillId="0" borderId="34" xfId="97" applyNumberFormat="1" applyFont="1" applyBorder="1" applyAlignment="1">
      <alignment horizontal="left" vertical="center"/>
    </xf>
    <xf numFmtId="0" fontId="4" fillId="0" borderId="1" xfId="97" applyFont="1" applyBorder="1" applyAlignment="1">
      <alignment vertical="top"/>
    </xf>
    <xf numFmtId="0" fontId="4" fillId="0" borderId="32" xfId="97" applyFont="1" applyBorder="1" applyAlignment="1">
      <alignment vertical="top"/>
    </xf>
    <xf numFmtId="1" fontId="4" fillId="0" borderId="2" xfId="97" applyNumberFormat="1" applyFont="1" applyBorder="1" applyAlignment="1">
      <alignment horizontal="center" vertical="center"/>
    </xf>
    <xf numFmtId="0" fontId="4" fillId="0" borderId="59" xfId="97" applyFont="1" applyBorder="1" applyAlignment="1">
      <alignment horizontal="left" vertical="top"/>
    </xf>
    <xf numFmtId="0" fontId="4" fillId="0" borderId="28" xfId="97" applyFont="1" applyBorder="1" applyAlignment="1">
      <alignment horizontal="center" vertical="center"/>
    </xf>
    <xf numFmtId="0" fontId="4" fillId="15" borderId="2" xfId="97" applyFont="1" applyFill="1" applyBorder="1" applyAlignment="1">
      <alignment horizontal="center" vertical="center"/>
    </xf>
    <xf numFmtId="0" fontId="4" fillId="0" borderId="1" xfId="97" applyFont="1" applyBorder="1" applyAlignment="1">
      <alignment horizontal="left" vertical="top"/>
    </xf>
    <xf numFmtId="43" fontId="4" fillId="0" borderId="2" xfId="237" applyFont="1" applyBorder="1" applyAlignment="1">
      <alignment horizontal="center" vertical="center"/>
    </xf>
    <xf numFmtId="43" fontId="12" fillId="0" borderId="2" xfId="237" applyFont="1" applyBorder="1" applyAlignment="1">
      <alignment horizontal="center" vertical="center"/>
    </xf>
    <xf numFmtId="184" fontId="4" fillId="0" borderId="34" xfId="97" quotePrefix="1" applyNumberFormat="1" applyFont="1" applyBorder="1" applyAlignment="1">
      <alignment horizontal="center" vertical="center"/>
    </xf>
    <xf numFmtId="178" fontId="4" fillId="15" borderId="2" xfId="97" applyNumberFormat="1" applyFont="1" applyFill="1" applyBorder="1" applyAlignment="1">
      <alignment horizontal="center" vertical="center"/>
    </xf>
    <xf numFmtId="43" fontId="4" fillId="15" borderId="2" xfId="237" applyFont="1" applyFill="1" applyBorder="1" applyAlignment="1">
      <alignment horizontal="center" vertical="center"/>
    </xf>
    <xf numFmtId="0" fontId="4" fillId="0" borderId="3" xfId="97" applyFont="1" applyBorder="1" applyAlignment="1">
      <alignment vertical="top"/>
    </xf>
    <xf numFmtId="43" fontId="4" fillId="15" borderId="4" xfId="237" applyFont="1" applyFill="1" applyBorder="1" applyAlignment="1">
      <alignment horizontal="center" vertical="center"/>
    </xf>
    <xf numFmtId="0" fontId="4" fillId="0" borderId="1" xfId="97" applyFont="1" applyBorder="1" applyAlignment="1"/>
    <xf numFmtId="2" fontId="4" fillId="15" borderId="2" xfId="160" applyNumberFormat="1" applyFont="1" applyFill="1" applyBorder="1" applyAlignment="1">
      <alignment horizontal="center" vertical="top"/>
    </xf>
    <xf numFmtId="0" fontId="4" fillId="15" borderId="28" xfId="97" applyFont="1" applyFill="1" applyBorder="1" applyAlignment="1">
      <alignment horizontal="center" vertical="center"/>
    </xf>
    <xf numFmtId="0" fontId="4" fillId="0" borderId="83" xfId="97" applyFont="1" applyBorder="1" applyAlignment="1"/>
    <xf numFmtId="2" fontId="4" fillId="0" borderId="0" xfId="97" applyNumberFormat="1" applyFont="1">
      <alignment vertical="center"/>
    </xf>
    <xf numFmtId="0" fontId="4" fillId="0" borderId="0" xfId="97" applyFont="1" applyAlignment="1">
      <alignment vertical="center" wrapText="1"/>
    </xf>
    <xf numFmtId="0" fontId="4" fillId="0" borderId="2" xfId="97" applyFont="1" applyBorder="1">
      <alignment vertical="center"/>
    </xf>
    <xf numFmtId="178" fontId="30" fillId="0" borderId="42" xfId="160" applyNumberFormat="1" applyFont="1" applyBorder="1" applyAlignment="1">
      <alignment horizontal="center"/>
    </xf>
    <xf numFmtId="178" fontId="30" fillId="15" borderId="35" xfId="4" applyNumberFormat="1" applyFont="1" applyFill="1" applyBorder="1" applyAlignment="1">
      <alignment horizontal="center"/>
    </xf>
    <xf numFmtId="178" fontId="30" fillId="0" borderId="47" xfId="160" applyNumberFormat="1" applyFont="1" applyBorder="1" applyAlignment="1">
      <alignment horizontal="center"/>
    </xf>
    <xf numFmtId="178" fontId="30" fillId="0" borderId="1" xfId="160" applyNumberFormat="1" applyFont="1" applyBorder="1" applyAlignment="1">
      <alignment horizontal="center"/>
    </xf>
    <xf numFmtId="178" fontId="30" fillId="15" borderId="2" xfId="4" applyNumberFormat="1" applyFont="1" applyFill="1" applyBorder="1" applyAlignment="1">
      <alignment horizontal="center"/>
    </xf>
    <xf numFmtId="178" fontId="30" fillId="0" borderId="55" xfId="160" applyNumberFormat="1" applyFont="1" applyBorder="1" applyAlignment="1">
      <alignment horizontal="center"/>
    </xf>
    <xf numFmtId="178" fontId="30" fillId="0" borderId="2" xfId="160" applyNumberFormat="1" applyFont="1" applyBorder="1" applyAlignment="1">
      <alignment horizontal="center"/>
    </xf>
    <xf numFmtId="178" fontId="30" fillId="0" borderId="43" xfId="160" applyNumberFormat="1" applyFont="1" applyBorder="1" applyAlignment="1">
      <alignment horizontal="center"/>
    </xf>
    <xf numFmtId="178" fontId="4" fillId="0" borderId="2" xfId="136" applyNumberFormat="1" applyFont="1" applyBorder="1" applyAlignment="1">
      <alignment horizontal="center"/>
    </xf>
    <xf numFmtId="178" fontId="30" fillId="15" borderId="34" xfId="4" applyNumberFormat="1" applyFont="1" applyFill="1" applyBorder="1" applyAlignment="1">
      <alignment horizontal="center"/>
    </xf>
    <xf numFmtId="178" fontId="30" fillId="15" borderId="39" xfId="4" applyNumberFormat="1" applyFont="1" applyFill="1" applyBorder="1" applyAlignment="1">
      <alignment horizontal="center"/>
    </xf>
    <xf numFmtId="178" fontId="30" fillId="14" borderId="1" xfId="160" applyNumberFormat="1" applyFont="1" applyFill="1" applyBorder="1" applyAlignment="1">
      <alignment horizontal="center"/>
    </xf>
    <xf numFmtId="178" fontId="30" fillId="15" borderId="28" xfId="4" applyNumberFormat="1" applyFont="1" applyFill="1" applyBorder="1" applyAlignment="1">
      <alignment horizontal="center"/>
    </xf>
    <xf numFmtId="178" fontId="30" fillId="0" borderId="44" xfId="160" applyNumberFormat="1" applyFont="1" applyBorder="1" applyAlignment="1">
      <alignment horizontal="center"/>
    </xf>
    <xf numFmtId="178" fontId="30" fillId="15" borderId="63" xfId="4" applyNumberFormat="1" applyFont="1" applyFill="1" applyBorder="1" applyAlignment="1">
      <alignment horizontal="center"/>
    </xf>
    <xf numFmtId="0" fontId="4" fillId="14" borderId="43" xfId="160" applyFont="1" applyFill="1" applyBorder="1" applyAlignment="1"/>
    <xf numFmtId="0" fontId="29" fillId="0" borderId="0" xfId="4" applyFont="1">
      <alignment vertical="center"/>
    </xf>
    <xf numFmtId="0" fontId="11" fillId="0" borderId="2" xfId="1" applyFont="1" applyBorder="1" applyAlignment="1">
      <alignment horizontal="center" vertical="center"/>
    </xf>
    <xf numFmtId="0" fontId="11" fillId="0" borderId="18" xfId="1" applyFont="1" applyBorder="1" applyAlignment="1">
      <alignment horizontal="center" vertical="center"/>
    </xf>
    <xf numFmtId="180" fontId="13" fillId="0" borderId="31" xfId="6" applyNumberFormat="1" applyFont="1" applyBorder="1" applyAlignment="1">
      <alignment horizontal="center" vertical="center"/>
    </xf>
    <xf numFmtId="20" fontId="11" fillId="0" borderId="89" xfId="1" applyNumberFormat="1" applyFont="1" applyBorder="1" applyAlignment="1">
      <alignment horizontal="center" vertical="center" wrapText="1"/>
    </xf>
    <xf numFmtId="0" fontId="12" fillId="8" borderId="2" xfId="2" applyFont="1" applyFill="1" applyBorder="1" applyAlignment="1">
      <alignment horizontal="center" vertical="center"/>
    </xf>
    <xf numFmtId="0" fontId="4" fillId="8" borderId="2" xfId="1" applyFont="1" applyFill="1" applyBorder="1" applyAlignment="1">
      <alignment horizontal="center" vertical="center" wrapText="1"/>
    </xf>
    <xf numFmtId="0" fontId="4" fillId="8" borderId="18" xfId="1" applyFont="1" applyFill="1" applyBorder="1" applyAlignment="1">
      <alignment horizontal="center" vertical="center" wrapText="1"/>
    </xf>
    <xf numFmtId="1" fontId="11" fillId="0" borderId="2" xfId="1" applyNumberFormat="1" applyFont="1" applyBorder="1" applyAlignment="1">
      <alignment horizontal="center" vertical="center"/>
    </xf>
    <xf numFmtId="1" fontId="13" fillId="0" borderId="18" xfId="1" applyNumberFormat="1" applyFont="1" applyBorder="1" applyAlignment="1">
      <alignment horizontal="center" vertical="center"/>
    </xf>
    <xf numFmtId="0" fontId="11" fillId="0" borderId="29" xfId="1" applyFont="1" applyBorder="1" applyAlignment="1">
      <alignment horizontal="center" vertical="center"/>
    </xf>
    <xf numFmtId="0" fontId="11" fillId="0" borderId="29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11" fillId="0" borderId="18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178" fontId="11" fillId="0" borderId="23" xfId="1" applyNumberFormat="1" applyFont="1" applyBorder="1" applyAlignment="1">
      <alignment horizontal="center" vertical="center"/>
    </xf>
    <xf numFmtId="178" fontId="13" fillId="0" borderId="23" xfId="1" applyNumberFormat="1" applyFont="1" applyBorder="1" applyAlignment="1">
      <alignment horizontal="center" vertical="center"/>
    </xf>
    <xf numFmtId="178" fontId="13" fillId="0" borderId="89" xfId="1" applyNumberFormat="1" applyFont="1" applyBorder="1" applyAlignment="1">
      <alignment horizontal="center" vertical="center"/>
    </xf>
    <xf numFmtId="180" fontId="13" fillId="0" borderId="23" xfId="6" applyNumberFormat="1" applyFont="1" applyBorder="1" applyAlignment="1">
      <alignment horizontal="center" vertical="center"/>
    </xf>
    <xf numFmtId="20" fontId="11" fillId="0" borderId="23" xfId="1" applyNumberFormat="1" applyFont="1" applyBorder="1" applyAlignment="1">
      <alignment horizontal="center" vertical="center" wrapText="1"/>
    </xf>
    <xf numFmtId="1" fontId="13" fillId="0" borderId="23" xfId="1" applyNumberFormat="1" applyFont="1" applyBorder="1" applyAlignment="1">
      <alignment horizontal="center" vertical="center"/>
    </xf>
    <xf numFmtId="1" fontId="13" fillId="0" borderId="2" xfId="1" applyNumberFormat="1" applyFont="1" applyBorder="1" applyAlignment="1">
      <alignment horizontal="center" vertical="center"/>
    </xf>
    <xf numFmtId="1" fontId="13" fillId="0" borderId="89" xfId="1" applyNumberFormat="1" applyFont="1" applyBorder="1" applyAlignment="1">
      <alignment horizontal="center" vertical="center"/>
    </xf>
    <xf numFmtId="1" fontId="13" fillId="0" borderId="29" xfId="1" applyNumberFormat="1" applyFont="1" applyBorder="1" applyAlignment="1">
      <alignment horizontal="center" vertical="center"/>
    </xf>
    <xf numFmtId="180" fontId="11" fillId="0" borderId="23" xfId="6" applyNumberFormat="1" applyFont="1" applyBorder="1" applyAlignment="1">
      <alignment horizontal="center" vertical="center" wrapText="1"/>
    </xf>
    <xf numFmtId="180" fontId="11" fillId="0" borderId="29" xfId="6" applyNumberFormat="1" applyFont="1" applyBorder="1" applyAlignment="1">
      <alignment horizontal="center" vertical="center"/>
    </xf>
    <xf numFmtId="180" fontId="11" fillId="0" borderId="20" xfId="6" applyNumberFormat="1" applyFont="1" applyBorder="1" applyAlignment="1">
      <alignment horizontal="center" vertical="center"/>
    </xf>
    <xf numFmtId="180" fontId="11" fillId="0" borderId="5" xfId="6" applyNumberFormat="1" applyFont="1" applyBorder="1" applyAlignment="1">
      <alignment horizontal="center" vertical="center"/>
    </xf>
    <xf numFmtId="180" fontId="11" fillId="0" borderId="31" xfId="6" applyNumberFormat="1" applyFont="1" applyBorder="1" applyAlignment="1">
      <alignment horizontal="center" vertical="center"/>
    </xf>
    <xf numFmtId="180" fontId="11" fillId="0" borderId="95" xfId="6" applyNumberFormat="1" applyFont="1" applyBorder="1" applyAlignment="1">
      <alignment horizontal="center" vertical="center"/>
    </xf>
    <xf numFmtId="0" fontId="11" fillId="0" borderId="25" xfId="1" applyFont="1" applyBorder="1">
      <alignment vertical="center"/>
    </xf>
    <xf numFmtId="0" fontId="30" fillId="14" borderId="57" xfId="160" applyFont="1" applyFill="1" applyBorder="1" applyAlignment="1"/>
    <xf numFmtId="0" fontId="38" fillId="0" borderId="39" xfId="160" applyFont="1" applyBorder="1" applyAlignment="1"/>
    <xf numFmtId="0" fontId="38" fillId="0" borderId="3" xfId="160" applyFont="1" applyBorder="1" applyAlignment="1"/>
    <xf numFmtId="0" fontId="30" fillId="0" borderId="54" xfId="4" applyFont="1" applyBorder="1" applyAlignment="1">
      <alignment horizontal="center" vertical="center"/>
    </xf>
    <xf numFmtId="0" fontId="11" fillId="0" borderId="65" xfId="97" applyFont="1" applyBorder="1" applyAlignment="1">
      <alignment vertical="center"/>
    </xf>
    <xf numFmtId="0" fontId="11" fillId="0" borderId="66" xfId="97" applyFont="1" applyBorder="1" applyAlignment="1">
      <alignment vertical="center"/>
    </xf>
    <xf numFmtId="0" fontId="11" fillId="0" borderId="2" xfId="97" applyFont="1" applyBorder="1" applyAlignment="1">
      <alignment vertical="center"/>
    </xf>
    <xf numFmtId="0" fontId="4" fillId="0" borderId="2" xfId="97" applyFont="1" applyFill="1" applyBorder="1" applyAlignment="1">
      <alignment horizontal="center"/>
    </xf>
    <xf numFmtId="2" fontId="4" fillId="0" borderId="2" xfId="160" applyNumberFormat="1" applyFont="1" applyFill="1" applyBorder="1" applyAlignment="1">
      <alignment horizontal="center" vertical="top"/>
    </xf>
    <xf numFmtId="0" fontId="4" fillId="0" borderId="59" xfId="160" applyFont="1" applyFill="1" applyBorder="1" applyAlignment="1">
      <alignment vertical="top"/>
    </xf>
    <xf numFmtId="0" fontId="4" fillId="0" borderId="87" xfId="97" applyFont="1" applyFill="1" applyBorder="1" applyAlignment="1">
      <alignment vertical="center"/>
    </xf>
    <xf numFmtId="0" fontId="4" fillId="0" borderId="88" xfId="97" applyFont="1" applyBorder="1" applyAlignment="1">
      <alignment vertical="center"/>
    </xf>
    <xf numFmtId="0" fontId="4" fillId="0" borderId="86" xfId="97" applyFont="1" applyFill="1" applyBorder="1" applyAlignment="1">
      <alignment vertical="center"/>
    </xf>
    <xf numFmtId="0" fontId="4" fillId="0" borderId="2" xfId="97" applyFont="1" applyFill="1" applyBorder="1" applyAlignment="1">
      <alignment horizontal="center" vertical="top"/>
    </xf>
    <xf numFmtId="0" fontId="4" fillId="0" borderId="0" xfId="97" applyFont="1" applyBorder="1" applyAlignment="1">
      <alignment horizontal="left" vertical="top"/>
    </xf>
    <xf numFmtId="0" fontId="4" fillId="0" borderId="43" xfId="97" applyFont="1" applyFill="1" applyBorder="1" applyAlignment="1">
      <alignment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32" xfId="97" applyFont="1" applyBorder="1" applyAlignment="1"/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6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32" xfId="97" applyFont="1" applyBorder="1" applyAlignment="1"/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6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32" xfId="97" applyFont="1" applyBorder="1" applyAlignment="1"/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0" fontId="30" fillId="0" borderId="46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" fillId="0" borderId="32" xfId="97" applyFont="1" applyBorder="1" applyAlignment="1"/>
    <xf numFmtId="0" fontId="33" fillId="3" borderId="34" xfId="97" applyFont="1" applyFill="1" applyBorder="1" applyAlignment="1">
      <alignment horizontal="center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34" xfId="97" applyFont="1" applyBorder="1" applyAlignment="1">
      <alignment horizontal="center" vertical="center" wrapText="1"/>
    </xf>
    <xf numFmtId="0" fontId="30" fillId="0" borderId="2" xfId="4" applyFont="1" applyBorder="1" applyAlignment="1">
      <alignment horizontal="center" vertical="center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180" fontId="30" fillId="0" borderId="42" xfId="341" applyNumberFormat="1" applyFont="1" applyBorder="1" applyAlignment="1">
      <alignment horizontal="center" vertical="center"/>
    </xf>
    <xf numFmtId="180" fontId="30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29" fillId="0" borderId="34" xfId="4" applyFont="1" applyBorder="1" applyAlignment="1">
      <alignment horizontal="center" vertical="center"/>
    </xf>
    <xf numFmtId="0" fontId="11" fillId="0" borderId="23" xfId="1" applyFont="1" applyBorder="1" applyAlignment="1">
      <alignment horizontal="center" vertical="center"/>
    </xf>
    <xf numFmtId="0" fontId="11" fillId="0" borderId="89" xfId="1" applyFont="1" applyBorder="1" applyAlignment="1">
      <alignment horizontal="center" vertical="center"/>
    </xf>
    <xf numFmtId="0" fontId="11" fillId="0" borderId="24" xfId="1" applyFont="1" applyBorder="1" applyAlignment="1">
      <alignment horizontal="center" vertical="center"/>
    </xf>
    <xf numFmtId="0" fontId="11" fillId="0" borderId="96" xfId="1" applyFont="1" applyBorder="1" applyAlignment="1">
      <alignment horizontal="center" vertical="center"/>
    </xf>
    <xf numFmtId="0" fontId="11" fillId="5" borderId="12" xfId="1" applyFont="1" applyFill="1" applyBorder="1" applyAlignment="1">
      <alignment horizontal="center" vertical="center"/>
    </xf>
    <xf numFmtId="0" fontId="11" fillId="5" borderId="15" xfId="1" applyFont="1" applyFill="1" applyBorder="1" applyAlignment="1">
      <alignment horizontal="center" vertical="center"/>
    </xf>
    <xf numFmtId="0" fontId="11" fillId="5" borderId="16" xfId="1" applyFont="1" applyFill="1" applyBorder="1" applyAlignment="1">
      <alignment horizontal="center" vertical="center"/>
    </xf>
    <xf numFmtId="0" fontId="11" fillId="9" borderId="90" xfId="1" applyFont="1" applyFill="1" applyBorder="1" applyAlignment="1">
      <alignment horizontal="center" vertical="center"/>
    </xf>
    <xf numFmtId="0" fontId="11" fillId="9" borderId="91" xfId="1" applyFont="1" applyFill="1" applyBorder="1" applyAlignment="1">
      <alignment horizontal="center" vertical="center"/>
    </xf>
    <xf numFmtId="0" fontId="11" fillId="9" borderId="92" xfId="1" applyFont="1" applyFill="1" applyBorder="1" applyAlignment="1">
      <alignment horizontal="center" vertical="center"/>
    </xf>
    <xf numFmtId="0" fontId="11" fillId="0" borderId="17" xfId="1" applyFont="1" applyBorder="1" applyAlignment="1">
      <alignment horizontal="center" vertical="center"/>
    </xf>
    <xf numFmtId="0" fontId="11" fillId="0" borderId="93" xfId="1" applyFont="1" applyBorder="1" applyAlignment="1">
      <alignment horizontal="center" vertical="center"/>
    </xf>
    <xf numFmtId="0" fontId="11" fillId="0" borderId="19" xfId="1" applyFont="1" applyBorder="1" applyAlignment="1">
      <alignment horizontal="center" vertical="center"/>
    </xf>
    <xf numFmtId="0" fontId="11" fillId="0" borderId="94" xfId="1" applyFont="1" applyBorder="1" applyAlignment="1">
      <alignment horizontal="center" vertical="center"/>
    </xf>
    <xf numFmtId="0" fontId="11" fillId="0" borderId="20" xfId="1" applyFont="1" applyBorder="1" applyAlignment="1">
      <alignment horizontal="center" vertical="center" textRotation="255"/>
    </xf>
    <xf numFmtId="0" fontId="11" fillId="0" borderId="21" xfId="1" applyFont="1" applyBorder="1" applyAlignment="1">
      <alignment horizontal="center" vertical="center" textRotation="255"/>
    </xf>
    <xf numFmtId="0" fontId="11" fillId="0" borderId="22" xfId="1" applyFont="1" applyBorder="1" applyAlignment="1">
      <alignment horizontal="center" vertical="center" textRotation="255"/>
    </xf>
    <xf numFmtId="0" fontId="11" fillId="0" borderId="20" xfId="1" applyFont="1" applyBorder="1" applyAlignment="1">
      <alignment horizontal="center" vertical="center" wrapText="1"/>
    </xf>
    <xf numFmtId="0" fontId="11" fillId="0" borderId="22" xfId="1" applyFont="1" applyBorder="1" applyAlignment="1">
      <alignment horizontal="center" vertical="center" wrapText="1"/>
    </xf>
    <xf numFmtId="0" fontId="11" fillId="0" borderId="12" xfId="1" applyFont="1" applyBorder="1" applyAlignment="1">
      <alignment horizontal="center" vertical="center"/>
    </xf>
    <xf numFmtId="0" fontId="11" fillId="0" borderId="16" xfId="1" applyFont="1" applyBorder="1" applyAlignment="1">
      <alignment horizontal="center" vertical="center"/>
    </xf>
    <xf numFmtId="0" fontId="12" fillId="8" borderId="20" xfId="2" applyFont="1" applyFill="1" applyBorder="1" applyAlignment="1">
      <alignment horizontal="center" vertical="center" wrapText="1"/>
    </xf>
    <xf numFmtId="0" fontId="4" fillId="8" borderId="22" xfId="2" applyFont="1" applyFill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1" fillId="0" borderId="13" xfId="1" applyFont="1" applyBorder="1" applyAlignment="1">
      <alignment horizontal="center" vertical="center"/>
    </xf>
    <xf numFmtId="0" fontId="11" fillId="4" borderId="14" xfId="1" applyFont="1" applyFill="1" applyBorder="1" applyAlignment="1">
      <alignment horizontal="center" vertical="center"/>
    </xf>
    <xf numFmtId="0" fontId="11" fillId="4" borderId="15" xfId="1" applyFont="1" applyFill="1" applyBorder="1" applyAlignment="1">
      <alignment horizontal="center" vertical="center"/>
    </xf>
    <xf numFmtId="0" fontId="11" fillId="4" borderId="16" xfId="1" applyFont="1" applyFill="1" applyBorder="1" applyAlignment="1">
      <alignment horizontal="center" vertical="center"/>
    </xf>
    <xf numFmtId="0" fontId="11" fillId="0" borderId="5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1" fontId="10" fillId="0" borderId="2" xfId="1" applyNumberFormat="1" applyFont="1" applyBorder="1" applyAlignment="1">
      <alignment horizontal="center" vertical="center"/>
    </xf>
    <xf numFmtId="0" fontId="13" fillId="0" borderId="3" xfId="1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178" fontId="13" fillId="7" borderId="3" xfId="1" applyNumberFormat="1" applyFont="1" applyFill="1" applyBorder="1" applyAlignment="1">
      <alignment horizontal="center" vertical="center"/>
    </xf>
    <xf numFmtId="178" fontId="13" fillId="7" borderId="1" xfId="1" applyNumberFormat="1" applyFont="1" applyFill="1" applyBorder="1" applyAlignment="1">
      <alignment horizontal="center" vertical="center"/>
    </xf>
    <xf numFmtId="178" fontId="13" fillId="7" borderId="3" xfId="236" applyNumberFormat="1" applyFont="1" applyFill="1" applyBorder="1" applyAlignment="1">
      <alignment horizontal="center" vertical="center"/>
    </xf>
    <xf numFmtId="178" fontId="13" fillId="7" borderId="1" xfId="236" applyNumberFormat="1" applyFont="1" applyFill="1" applyBorder="1" applyAlignment="1">
      <alignment horizontal="center" vertical="center"/>
    </xf>
    <xf numFmtId="179" fontId="13" fillId="7" borderId="3" xfId="236" applyNumberFormat="1" applyFont="1" applyFill="1" applyBorder="1" applyAlignment="1">
      <alignment horizontal="center" vertical="center"/>
    </xf>
    <xf numFmtId="179" fontId="13" fillId="7" borderId="1" xfId="236" applyNumberFormat="1" applyFont="1" applyFill="1" applyBorder="1" applyAlignment="1">
      <alignment horizontal="center" vertical="center"/>
    </xf>
    <xf numFmtId="180" fontId="13" fillId="0" borderId="3" xfId="317" applyNumberFormat="1" applyFont="1" applyFill="1" applyBorder="1" applyAlignment="1">
      <alignment horizontal="center" vertical="center"/>
    </xf>
    <xf numFmtId="180" fontId="13" fillId="0" borderId="1" xfId="317" applyNumberFormat="1" applyFont="1" applyFill="1" applyBorder="1" applyAlignment="1">
      <alignment horizontal="center" vertical="center"/>
    </xf>
    <xf numFmtId="178" fontId="11" fillId="0" borderId="3" xfId="236" applyNumberFormat="1" applyFont="1" applyBorder="1" applyAlignment="1">
      <alignment horizontal="center" vertical="center"/>
    </xf>
    <xf numFmtId="178" fontId="11" fillId="0" borderId="1" xfId="236" applyNumberFormat="1" applyFont="1" applyBorder="1" applyAlignment="1">
      <alignment horizontal="center" vertical="center"/>
    </xf>
    <xf numFmtId="179" fontId="11" fillId="0" borderId="3" xfId="236" applyNumberFormat="1" applyFont="1" applyBorder="1" applyAlignment="1">
      <alignment horizontal="center" vertical="center"/>
    </xf>
    <xf numFmtId="179" fontId="11" fillId="0" borderId="1" xfId="236" applyNumberFormat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8" fillId="3" borderId="1" xfId="4" applyFont="1" applyFill="1" applyBorder="1" applyAlignment="1">
      <alignment horizontal="center" vertical="center"/>
    </xf>
    <xf numFmtId="0" fontId="8" fillId="3" borderId="2" xfId="4" applyFont="1" applyFill="1" applyBorder="1" applyAlignment="1">
      <alignment horizontal="center" vertical="center"/>
    </xf>
    <xf numFmtId="0" fontId="11" fillId="0" borderId="4" xfId="1" applyFont="1" applyBorder="1" applyAlignment="1">
      <alignment horizontal="center" vertical="center"/>
    </xf>
    <xf numFmtId="0" fontId="11" fillId="0" borderId="8" xfId="1" applyFont="1" applyBorder="1" applyAlignment="1">
      <alignment horizontal="center" vertical="center"/>
    </xf>
    <xf numFmtId="0" fontId="11" fillId="0" borderId="9" xfId="1" applyFont="1" applyBorder="1" applyAlignment="1">
      <alignment horizontal="center" vertical="center"/>
    </xf>
    <xf numFmtId="0" fontId="11" fillId="0" borderId="10" xfId="1" applyFont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176" fontId="11" fillId="4" borderId="3" xfId="236" applyNumberFormat="1" applyFont="1" applyFill="1" applyBorder="1" applyAlignment="1">
      <alignment horizontal="center" vertical="center"/>
    </xf>
    <xf numFmtId="176" fontId="11" fillId="4" borderId="1" xfId="236" applyNumberFormat="1" applyFont="1" applyFill="1" applyBorder="1" applyAlignment="1">
      <alignment horizontal="center" vertical="center"/>
    </xf>
    <xf numFmtId="176" fontId="11" fillId="5" borderId="3" xfId="236" applyNumberFormat="1" applyFont="1" applyFill="1" applyBorder="1" applyAlignment="1">
      <alignment horizontal="center" vertical="center"/>
    </xf>
    <xf numFmtId="176" fontId="11" fillId="5" borderId="1" xfId="236" applyNumberFormat="1" applyFont="1" applyFill="1" applyBorder="1" applyAlignment="1">
      <alignment horizontal="center" vertical="center"/>
    </xf>
    <xf numFmtId="176" fontId="11" fillId="6" borderId="3" xfId="236" applyNumberFormat="1" applyFont="1" applyFill="1" applyBorder="1" applyAlignment="1">
      <alignment horizontal="center" vertical="center"/>
    </xf>
    <xf numFmtId="176" fontId="11" fillId="6" borderId="1" xfId="236" applyNumberFormat="1" applyFont="1" applyFill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8" fontId="11" fillId="0" borderId="3" xfId="1" applyNumberFormat="1" applyFont="1" applyBorder="1" applyAlignment="1">
      <alignment horizontal="center" vertical="center"/>
    </xf>
    <xf numFmtId="178" fontId="11" fillId="0" borderId="1" xfId="1" applyNumberFormat="1" applyFont="1" applyBorder="1" applyAlignment="1">
      <alignment horizontal="center" vertical="center"/>
    </xf>
    <xf numFmtId="0" fontId="42" fillId="0" borderId="3" xfId="2" applyFont="1" applyBorder="1" applyAlignment="1">
      <alignment horizontal="center" vertical="center"/>
    </xf>
    <xf numFmtId="0" fontId="42" fillId="0" borderId="1" xfId="2" applyFont="1" applyBorder="1" applyAlignment="1">
      <alignment horizontal="center" vertical="center"/>
    </xf>
    <xf numFmtId="177" fontId="11" fillId="0" borderId="3" xfId="236" applyNumberFormat="1" applyFont="1" applyBorder="1" applyAlignment="1">
      <alignment horizontal="center" vertical="center"/>
    </xf>
    <xf numFmtId="177" fontId="11" fillId="0" borderId="1" xfId="236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41" fillId="2" borderId="3" xfId="2" applyFont="1" applyFill="1" applyBorder="1" applyAlignment="1">
      <alignment horizontal="center" vertical="center"/>
    </xf>
    <xf numFmtId="0" fontId="41" fillId="2" borderId="1" xfId="2" applyFont="1" applyFill="1" applyBorder="1" applyAlignment="1">
      <alignment horizontal="center" vertical="center"/>
    </xf>
    <xf numFmtId="176" fontId="11" fillId="0" borderId="3" xfId="236" applyNumberFormat="1" applyFont="1" applyBorder="1" applyAlignment="1">
      <alignment horizontal="center" vertical="center"/>
    </xf>
    <xf numFmtId="176" fontId="11" fillId="0" borderId="1" xfId="236" applyNumberFormat="1" applyFont="1" applyBorder="1" applyAlignment="1">
      <alignment horizontal="center" vertical="center"/>
    </xf>
    <xf numFmtId="0" fontId="4" fillId="17" borderId="77" xfId="97" applyFont="1" applyFill="1" applyBorder="1" applyAlignment="1">
      <alignment horizontal="center" vertical="center" wrapText="1"/>
    </xf>
    <xf numFmtId="0" fontId="4" fillId="17" borderId="79" xfId="97" applyFont="1" applyFill="1" applyBorder="1" applyAlignment="1">
      <alignment horizontal="center" vertical="center" wrapText="1"/>
    </xf>
    <xf numFmtId="0" fontId="4" fillId="17" borderId="80" xfId="97" applyFont="1" applyFill="1" applyBorder="1" applyAlignment="1">
      <alignment horizontal="center" vertical="center" wrapText="1"/>
    </xf>
    <xf numFmtId="0" fontId="4" fillId="15" borderId="3" xfId="97" applyFont="1" applyFill="1" applyBorder="1" applyAlignment="1"/>
    <xf numFmtId="0" fontId="4" fillId="15" borderId="1" xfId="97" applyFont="1" applyFill="1" applyBorder="1" applyAlignment="1"/>
    <xf numFmtId="0" fontId="4" fillId="25" borderId="82" xfId="97" applyFont="1" applyFill="1" applyBorder="1" applyAlignment="1">
      <alignment horizontal="center" vertical="center" wrapText="1"/>
    </xf>
    <xf numFmtId="0" fontId="4" fillId="15" borderId="32" xfId="97" applyFont="1" applyFill="1" applyBorder="1" applyAlignment="1"/>
    <xf numFmtId="0" fontId="4" fillId="15" borderId="83" xfId="97" applyFont="1" applyFill="1" applyBorder="1" applyAlignment="1"/>
    <xf numFmtId="0" fontId="4" fillId="6" borderId="2" xfId="97" applyFont="1" applyFill="1" applyBorder="1" applyAlignment="1">
      <alignment horizontal="center" vertical="center" wrapText="1"/>
    </xf>
    <xf numFmtId="0" fontId="4" fillId="15" borderId="2" xfId="97" applyFont="1" applyFill="1" applyBorder="1" applyAlignment="1"/>
    <xf numFmtId="0" fontId="4" fillId="23" borderId="82" xfId="97" applyFont="1" applyFill="1" applyBorder="1" applyAlignment="1">
      <alignment horizontal="center" vertical="center" wrapText="1"/>
    </xf>
    <xf numFmtId="0" fontId="4" fillId="0" borderId="3" xfId="97" applyFont="1" applyBorder="1" applyAlignment="1"/>
    <xf numFmtId="0" fontId="4" fillId="0" borderId="32" xfId="97" applyFont="1" applyBorder="1" applyAlignment="1"/>
    <xf numFmtId="0" fontId="4" fillId="24" borderId="2" xfId="97" applyFont="1" applyFill="1" applyBorder="1" applyAlignment="1">
      <alignment horizontal="center" vertical="center" wrapText="1"/>
    </xf>
    <xf numFmtId="0" fontId="4" fillId="24" borderId="2" xfId="97" applyFont="1" applyFill="1" applyBorder="1" applyAlignment="1">
      <alignment horizontal="center" vertical="center"/>
    </xf>
    <xf numFmtId="0" fontId="4" fillId="15" borderId="31" xfId="97" applyFont="1" applyFill="1" applyBorder="1" applyAlignment="1"/>
    <xf numFmtId="0" fontId="4" fillId="9" borderId="77" xfId="97" applyFont="1" applyFill="1" applyBorder="1" applyAlignment="1">
      <alignment horizontal="center" vertical="center" wrapText="1"/>
    </xf>
    <xf numFmtId="0" fontId="4" fillId="9" borderId="79" xfId="97" applyFont="1" applyFill="1" applyBorder="1" applyAlignment="1">
      <alignment horizontal="center" vertical="center" wrapText="1"/>
    </xf>
    <xf numFmtId="0" fontId="4" fillId="9" borderId="80" xfId="97" applyFont="1" applyFill="1" applyBorder="1" applyAlignment="1">
      <alignment horizontal="center" vertical="center" wrapText="1"/>
    </xf>
    <xf numFmtId="0" fontId="4" fillId="9" borderId="78" xfId="97" applyFont="1" applyFill="1" applyBorder="1" applyAlignment="1">
      <alignment horizontal="center" vertical="center" wrapText="1"/>
    </xf>
    <xf numFmtId="0" fontId="4" fillId="15" borderId="34" xfId="97" applyFont="1" applyFill="1" applyBorder="1" applyAlignment="1"/>
    <xf numFmtId="0" fontId="4" fillId="7" borderId="85" xfId="97" applyFont="1" applyFill="1" applyBorder="1" applyAlignment="1">
      <alignment horizontal="center" vertical="center" wrapText="1"/>
    </xf>
    <xf numFmtId="0" fontId="4" fillId="7" borderId="80" xfId="97" applyFont="1" applyFill="1" applyBorder="1" applyAlignment="1">
      <alignment horizontal="center" vertical="center" wrapText="1"/>
    </xf>
    <xf numFmtId="0" fontId="4" fillId="7" borderId="81" xfId="97" applyFont="1" applyFill="1" applyBorder="1" applyAlignment="1">
      <alignment horizontal="center" vertical="center" wrapText="1"/>
    </xf>
    <xf numFmtId="0" fontId="4" fillId="22" borderId="85" xfId="97" applyFont="1" applyFill="1" applyBorder="1" applyAlignment="1">
      <alignment horizontal="center" vertical="center" wrapText="1"/>
    </xf>
    <xf numFmtId="0" fontId="4" fillId="22" borderId="80" xfId="97" applyFont="1" applyFill="1" applyBorder="1" applyAlignment="1">
      <alignment horizontal="center" vertical="center" wrapText="1"/>
    </xf>
    <xf numFmtId="0" fontId="4" fillId="22" borderId="81" xfId="97" applyFont="1" applyFill="1" applyBorder="1" applyAlignment="1">
      <alignment horizontal="center" vertical="center" wrapText="1"/>
    </xf>
    <xf numFmtId="0" fontId="4" fillId="8" borderId="82" xfId="97" applyFont="1" applyFill="1" applyBorder="1" applyAlignment="1">
      <alignment horizontal="center" vertical="center" wrapText="1"/>
    </xf>
    <xf numFmtId="0" fontId="4" fillId="8" borderId="82" xfId="97" applyFont="1" applyFill="1" applyBorder="1" applyAlignment="1">
      <alignment horizontal="center" vertical="center"/>
    </xf>
    <xf numFmtId="0" fontId="33" fillId="3" borderId="41" xfId="97" applyFont="1" applyFill="1" applyBorder="1" applyAlignment="1">
      <alignment horizontal="center" vertical="center"/>
    </xf>
    <xf numFmtId="0" fontId="33" fillId="3" borderId="34" xfId="97" applyFont="1" applyFill="1" applyBorder="1" applyAlignment="1">
      <alignment horizontal="center" vertical="center"/>
    </xf>
    <xf numFmtId="0" fontId="4" fillId="13" borderId="41" xfId="97" applyFont="1" applyFill="1" applyBorder="1" applyAlignment="1">
      <alignment horizontal="center" vertical="center"/>
    </xf>
    <xf numFmtId="0" fontId="4" fillId="13" borderId="34" xfId="97" applyFont="1" applyFill="1" applyBorder="1" applyAlignment="1">
      <alignment horizontal="center" vertical="center"/>
    </xf>
    <xf numFmtId="0" fontId="4" fillId="21" borderId="41" xfId="97" applyFont="1" applyFill="1" applyBorder="1" applyAlignment="1">
      <alignment horizontal="center" vertical="center"/>
    </xf>
    <xf numFmtId="0" fontId="4" fillId="21" borderId="34" xfId="97" applyFont="1" applyFill="1" applyBorder="1" applyAlignment="1">
      <alignment horizontal="center" vertical="center"/>
    </xf>
    <xf numFmtId="0" fontId="4" fillId="4" borderId="79" xfId="97" applyFont="1" applyFill="1" applyBorder="1" applyAlignment="1">
      <alignment horizontal="center" vertical="center"/>
    </xf>
    <xf numFmtId="0" fontId="4" fillId="4" borderId="80" xfId="97" applyFont="1" applyFill="1" applyBorder="1" applyAlignment="1">
      <alignment horizontal="center" vertical="center"/>
    </xf>
    <xf numFmtId="0" fontId="4" fillId="4" borderId="78" xfId="97" applyFont="1" applyFill="1" applyBorder="1" applyAlignment="1">
      <alignment horizontal="center" vertical="center"/>
    </xf>
    <xf numFmtId="0" fontId="4" fillId="13" borderId="79" xfId="97" applyFont="1" applyFill="1" applyBorder="1" applyAlignment="1">
      <alignment horizontal="center" vertical="center" wrapText="1"/>
    </xf>
    <xf numFmtId="0" fontId="4" fillId="13" borderId="80" xfId="97" applyFont="1" applyFill="1" applyBorder="1" applyAlignment="1">
      <alignment horizontal="center" vertical="center" wrapText="1"/>
    </xf>
    <xf numFmtId="0" fontId="4" fillId="13" borderId="81" xfId="97" applyFont="1" applyFill="1" applyBorder="1" applyAlignment="1">
      <alignment horizontal="center" vertical="center" wrapText="1"/>
    </xf>
    <xf numFmtId="0" fontId="39" fillId="0" borderId="70" xfId="97" applyFont="1" applyBorder="1" applyAlignment="1">
      <alignment horizontal="center" vertical="center"/>
    </xf>
    <xf numFmtId="0" fontId="39" fillId="0" borderId="71" xfId="97" applyFont="1" applyBorder="1" applyAlignment="1">
      <alignment horizontal="center" vertical="center"/>
    </xf>
    <xf numFmtId="0" fontId="39" fillId="0" borderId="72" xfId="97" applyFont="1" applyBorder="1" applyAlignment="1">
      <alignment horizontal="center" vertical="center"/>
    </xf>
    <xf numFmtId="0" fontId="39" fillId="0" borderId="74" xfId="97" applyFont="1" applyBorder="1" applyAlignment="1">
      <alignment horizontal="center" vertical="center"/>
    </xf>
    <xf numFmtId="0" fontId="39" fillId="0" borderId="75" xfId="97" applyFont="1" applyBorder="1" applyAlignment="1">
      <alignment horizontal="center" vertical="center"/>
    </xf>
    <xf numFmtId="0" fontId="39" fillId="0" borderId="76" xfId="97" applyFont="1" applyBorder="1" applyAlignment="1">
      <alignment horizontal="center" vertical="center"/>
    </xf>
    <xf numFmtId="0" fontId="11" fillId="0" borderId="73" xfId="97" applyFont="1" applyBorder="1" applyAlignment="1">
      <alignment horizontal="left" vertical="center"/>
    </xf>
    <xf numFmtId="0" fontId="11" fillId="0" borderId="1" xfId="97" applyFont="1" applyBorder="1" applyAlignment="1">
      <alignment horizontal="left" vertical="center"/>
    </xf>
    <xf numFmtId="0" fontId="4" fillId="0" borderId="77" xfId="97" applyFont="1" applyBorder="1" applyAlignment="1">
      <alignment horizontal="center" vertical="center"/>
    </xf>
    <xf numFmtId="0" fontId="4" fillId="0" borderId="78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2" fontId="4" fillId="0" borderId="2" xfId="97" applyNumberFormat="1" applyFont="1" applyBorder="1" applyAlignment="1">
      <alignment horizontal="center" vertical="center"/>
    </xf>
    <xf numFmtId="0" fontId="33" fillId="3" borderId="2" xfId="97" applyFont="1" applyFill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41" xfId="97" applyFont="1" applyBorder="1" applyAlignment="1">
      <alignment horizontal="center" vertical="center"/>
    </xf>
    <xf numFmtId="0" fontId="4" fillId="0" borderId="41" xfId="97" applyFont="1" applyBorder="1" applyAlignment="1">
      <alignment horizontal="center" vertical="center" wrapText="1"/>
    </xf>
    <xf numFmtId="0" fontId="4" fillId="0" borderId="34" xfId="97" applyFont="1" applyBorder="1" applyAlignment="1">
      <alignment horizontal="center" vertical="center" wrapText="1"/>
    </xf>
    <xf numFmtId="0" fontId="30" fillId="15" borderId="2" xfId="4" applyFont="1" applyFill="1" applyBorder="1" applyAlignment="1"/>
    <xf numFmtId="0" fontId="30" fillId="0" borderId="2" xfId="4" applyFont="1" applyBorder="1" applyAlignment="1">
      <alignment horizontal="center" vertical="center"/>
    </xf>
    <xf numFmtId="0" fontId="36" fillId="7" borderId="2" xfId="4" applyFont="1" applyFill="1" applyBorder="1" applyAlignment="1">
      <alignment horizontal="center" vertical="center" wrapText="1"/>
    </xf>
    <xf numFmtId="180" fontId="30" fillId="0" borderId="2" xfId="341" applyNumberFormat="1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/>
    </xf>
    <xf numFmtId="180" fontId="30" fillId="0" borderId="31" xfId="341" applyNumberFormat="1" applyFont="1" applyBorder="1" applyAlignment="1">
      <alignment horizontal="center" vertical="center"/>
    </xf>
    <xf numFmtId="0" fontId="30" fillId="19" borderId="35" xfId="4" applyFont="1" applyFill="1" applyBorder="1" applyAlignment="1">
      <alignment horizontal="center" vertical="center" wrapText="1"/>
    </xf>
    <xf numFmtId="0" fontId="30" fillId="19" borderId="7" xfId="4" applyFont="1" applyFill="1" applyBorder="1" applyAlignment="1">
      <alignment horizontal="center" vertical="center" wrapText="1"/>
    </xf>
    <xf numFmtId="0" fontId="30" fillId="19" borderId="63" xfId="4" applyFont="1" applyFill="1" applyBorder="1" applyAlignment="1">
      <alignment horizontal="center" vertical="center" wrapText="1"/>
    </xf>
    <xf numFmtId="0" fontId="30" fillId="19" borderId="64" xfId="4" applyFont="1" applyFill="1" applyBorder="1" applyAlignment="1">
      <alignment horizontal="center" vertical="center" wrapText="1"/>
    </xf>
    <xf numFmtId="180" fontId="30" fillId="0" borderId="7" xfId="341" applyNumberFormat="1" applyFont="1" applyBorder="1" applyAlignment="1">
      <alignment horizontal="center" vertical="center"/>
    </xf>
    <xf numFmtId="180" fontId="30" fillId="0" borderId="6" xfId="341" applyNumberFormat="1" applyFont="1" applyBorder="1" applyAlignment="1">
      <alignment horizontal="center" vertical="center"/>
    </xf>
    <xf numFmtId="180" fontId="30" fillId="0" borderId="61" xfId="341" applyNumberFormat="1" applyFont="1" applyBorder="1" applyAlignment="1">
      <alignment horizontal="center" vertical="center"/>
    </xf>
    <xf numFmtId="0" fontId="30" fillId="15" borderId="46" xfId="4" applyFont="1" applyFill="1" applyBorder="1" applyAlignment="1"/>
    <xf numFmtId="0" fontId="30" fillId="15" borderId="35" xfId="4" applyFont="1" applyFill="1" applyBorder="1" applyAlignment="1"/>
    <xf numFmtId="0" fontId="30" fillId="20" borderId="0" xfId="4" applyFont="1" applyFill="1" applyAlignment="1">
      <alignment horizontal="center" vertical="center" wrapText="1"/>
    </xf>
    <xf numFmtId="180" fontId="38" fillId="0" borderId="31" xfId="341" applyNumberFormat="1" applyFont="1" applyBorder="1" applyAlignment="1">
      <alignment horizontal="center" vertical="center"/>
    </xf>
    <xf numFmtId="180" fontId="38" fillId="0" borderId="33" xfId="341" applyNumberFormat="1" applyFont="1" applyBorder="1" applyAlignment="1">
      <alignment horizontal="center" vertical="center"/>
    </xf>
    <xf numFmtId="180" fontId="30" fillId="0" borderId="41" xfId="341" applyNumberFormat="1" applyFont="1" applyBorder="1" applyAlignment="1">
      <alignment horizontal="center" vertical="center"/>
    </xf>
    <xf numFmtId="180" fontId="30" fillId="0" borderId="34" xfId="341" applyNumberFormat="1" applyFont="1" applyBorder="1" applyAlignment="1">
      <alignment horizontal="center" vertical="center"/>
    </xf>
    <xf numFmtId="180" fontId="30" fillId="0" borderId="35" xfId="341" applyNumberFormat="1" applyFont="1" applyBorder="1" applyAlignment="1">
      <alignment horizontal="center" vertical="center"/>
    </xf>
    <xf numFmtId="0" fontId="30" fillId="13" borderId="59" xfId="4" applyFont="1" applyFill="1" applyBorder="1" applyAlignment="1">
      <alignment horizontal="center" vertical="center" wrapText="1"/>
    </xf>
    <xf numFmtId="0" fontId="30" fillId="13" borderId="0" xfId="4" applyFont="1" applyFill="1" applyAlignment="1">
      <alignment horizontal="center" vertical="center" wrapText="1"/>
    </xf>
    <xf numFmtId="0" fontId="30" fillId="13" borderId="55" xfId="4" applyFont="1" applyFill="1" applyBorder="1" applyAlignment="1">
      <alignment horizontal="center" vertical="center" wrapText="1"/>
    </xf>
    <xf numFmtId="180" fontId="30" fillId="0" borderId="60" xfId="341" applyNumberFormat="1" applyFont="1" applyBorder="1" applyAlignment="1">
      <alignment horizontal="center" vertical="center"/>
    </xf>
    <xf numFmtId="0" fontId="30" fillId="18" borderId="34" xfId="4" applyFont="1" applyFill="1" applyBorder="1" applyAlignment="1">
      <alignment horizontal="center" vertical="center" wrapText="1"/>
    </xf>
    <xf numFmtId="180" fontId="30" fillId="0" borderId="42" xfId="341" applyNumberFormat="1" applyFont="1" applyBorder="1" applyAlignment="1">
      <alignment horizontal="center" vertical="center"/>
    </xf>
    <xf numFmtId="0" fontId="30" fillId="17" borderId="35" xfId="4" applyFont="1" applyFill="1" applyBorder="1" applyAlignment="1">
      <alignment horizontal="center" vertical="center" wrapText="1"/>
    </xf>
    <xf numFmtId="0" fontId="30" fillId="17" borderId="7" xfId="4" applyFont="1" applyFill="1" applyBorder="1" applyAlignment="1">
      <alignment horizontal="center" vertical="center" wrapText="1"/>
    </xf>
    <xf numFmtId="180" fontId="30" fillId="0" borderId="46" xfId="341" applyNumberFormat="1" applyFont="1" applyBorder="1" applyAlignment="1">
      <alignment horizontal="center" vertical="center"/>
    </xf>
    <xf numFmtId="0" fontId="30" fillId="7" borderId="2" xfId="4" applyFont="1" applyFill="1" applyBorder="1" applyAlignment="1">
      <alignment horizontal="center" vertical="center" wrapText="1"/>
    </xf>
    <xf numFmtId="0" fontId="30" fillId="5" borderId="39" xfId="4" applyFont="1" applyFill="1" applyBorder="1" applyAlignment="1">
      <alignment horizontal="center" vertical="center" wrapText="1"/>
    </xf>
    <xf numFmtId="0" fontId="30" fillId="5" borderId="39" xfId="4" applyFont="1" applyFill="1" applyBorder="1" applyAlignment="1">
      <alignment horizontal="center" vertical="center"/>
    </xf>
    <xf numFmtId="0" fontId="30" fillId="5" borderId="34" xfId="4" applyFont="1" applyFill="1" applyBorder="1" applyAlignment="1">
      <alignment horizontal="center" vertical="center"/>
    </xf>
    <xf numFmtId="0" fontId="30" fillId="9" borderId="34" xfId="4" applyFont="1" applyFill="1" applyBorder="1" applyAlignment="1">
      <alignment horizontal="center" vertical="center" wrapText="1"/>
    </xf>
    <xf numFmtId="0" fontId="30" fillId="9" borderId="34" xfId="4" applyFont="1" applyFill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5" borderId="54" xfId="4" applyFont="1" applyFill="1" applyBorder="1" applyAlignment="1">
      <alignment horizontal="center" vertical="center" wrapText="1"/>
    </xf>
    <xf numFmtId="180" fontId="30" fillId="0" borderId="28" xfId="341" applyNumberFormat="1" applyFont="1" applyBorder="1" applyAlignment="1">
      <alignment horizontal="center" vertical="center"/>
    </xf>
    <xf numFmtId="0" fontId="30" fillId="15" borderId="31" xfId="4" applyFont="1" applyFill="1" applyBorder="1" applyAlignment="1"/>
    <xf numFmtId="0" fontId="37" fillId="16" borderId="44" xfId="136" applyFont="1" applyFill="1" applyBorder="1" applyAlignment="1">
      <alignment horizontal="center" vertical="center" wrapText="1"/>
    </xf>
    <xf numFmtId="0" fontId="37" fillId="16" borderId="0" xfId="136" applyFont="1" applyFill="1" applyAlignment="1">
      <alignment horizontal="center" vertical="center" wrapText="1"/>
    </xf>
    <xf numFmtId="0" fontId="37" fillId="16" borderId="55" xfId="136" applyFont="1" applyFill="1" applyBorder="1" applyAlignment="1">
      <alignment horizontal="center" vertical="center" wrapText="1"/>
    </xf>
    <xf numFmtId="180" fontId="30" fillId="0" borderId="49" xfId="341" applyNumberFormat="1" applyFont="1" applyBorder="1" applyAlignment="1">
      <alignment horizontal="center" vertical="center"/>
    </xf>
    <xf numFmtId="180" fontId="30" fillId="0" borderId="51" xfId="341" applyNumberFormat="1" applyFont="1" applyBorder="1" applyAlignment="1">
      <alignment horizontal="center" vertical="center"/>
    </xf>
    <xf numFmtId="180" fontId="30" fillId="0" borderId="52" xfId="341" applyNumberFormat="1" applyFont="1" applyBorder="1" applyAlignment="1">
      <alignment horizontal="center" vertical="center"/>
    </xf>
    <xf numFmtId="180" fontId="30" fillId="0" borderId="53" xfId="341" applyNumberFormat="1" applyFont="1" applyBorder="1" applyAlignment="1">
      <alignment horizontal="center" vertical="center"/>
    </xf>
    <xf numFmtId="0" fontId="30" fillId="15" borderId="28" xfId="4" applyFont="1" applyFill="1" applyBorder="1" applyAlignment="1"/>
    <xf numFmtId="0" fontId="30" fillId="4" borderId="2" xfId="4" applyFont="1" applyFill="1" applyBorder="1" applyAlignment="1">
      <alignment horizontal="center" vertical="center" wrapText="1"/>
    </xf>
    <xf numFmtId="0" fontId="30" fillId="4" borderId="2" xfId="4" applyFont="1" applyFill="1" applyBorder="1" applyAlignment="1">
      <alignment horizontal="center" vertical="center"/>
    </xf>
    <xf numFmtId="0" fontId="30" fillId="4" borderId="31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 wrapText="1"/>
    </xf>
    <xf numFmtId="0" fontId="30" fillId="0" borderId="34" xfId="4" applyFont="1" applyBorder="1" applyAlignment="1">
      <alignment horizontal="center" vertical="center" wrapText="1"/>
    </xf>
    <xf numFmtId="0" fontId="34" fillId="3" borderId="39" xfId="4" applyFont="1" applyFill="1" applyBorder="1" applyAlignment="1">
      <alignment horizontal="center" vertical="center" wrapText="1"/>
    </xf>
    <xf numFmtId="0" fontId="34" fillId="3" borderId="40" xfId="4" applyFont="1" applyFill="1" applyBorder="1" applyAlignment="1">
      <alignment horizontal="center" vertical="center" wrapText="1"/>
    </xf>
    <xf numFmtId="0" fontId="30" fillId="13" borderId="34" xfId="4" applyFont="1" applyFill="1" applyBorder="1" applyAlignment="1">
      <alignment horizontal="center" vertical="center"/>
    </xf>
    <xf numFmtId="0" fontId="30" fillId="4" borderId="34" xfId="4" applyFont="1" applyFill="1" applyBorder="1" applyAlignment="1">
      <alignment horizontal="center" vertical="center"/>
    </xf>
    <xf numFmtId="0" fontId="30" fillId="7" borderId="34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1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9" fillId="0" borderId="2" xfId="4" applyFont="1" applyBorder="1" applyAlignment="1">
      <alignment horizontal="center" vertical="center" wrapText="1"/>
    </xf>
    <xf numFmtId="0" fontId="9" fillId="0" borderId="2" xfId="4" applyFont="1" applyBorder="1" applyAlignment="1">
      <alignment horizontal="center" vertical="center"/>
    </xf>
    <xf numFmtId="0" fontId="33" fillId="3" borderId="39" xfId="4" applyFont="1" applyFill="1" applyBorder="1" applyAlignment="1">
      <alignment horizontal="center" vertical="center" wrapText="1"/>
    </xf>
    <xf numFmtId="0" fontId="33" fillId="3" borderId="40" xfId="4" applyFont="1" applyFill="1" applyBorder="1" applyAlignment="1">
      <alignment horizontal="center" vertical="center" wrapText="1"/>
    </xf>
    <xf numFmtId="0" fontId="5" fillId="0" borderId="36" xfId="98" applyFont="1" applyBorder="1" applyAlignment="1">
      <alignment horizontal="center" vertical="center" wrapText="1"/>
    </xf>
    <xf numFmtId="0" fontId="5" fillId="0" borderId="37" xfId="98" applyFont="1" applyBorder="1" applyAlignment="1">
      <alignment horizontal="center" vertical="center" wrapText="1"/>
    </xf>
    <xf numFmtId="0" fontId="5" fillId="0" borderId="38" xfId="98" applyFont="1" applyBorder="1" applyAlignment="1">
      <alignment horizontal="center" vertical="center" wrapText="1"/>
    </xf>
    <xf numFmtId="0" fontId="5" fillId="0" borderId="0" xfId="98" applyFont="1" applyAlignment="1">
      <alignment horizontal="center" vertical="center" wrapText="1"/>
    </xf>
  </cellXfs>
  <cellStyles count="366">
    <cellStyle name="パーセント 2" xfId="7"/>
    <cellStyle name="一般" xfId="0" builtinId="0"/>
    <cellStyle name="一般 10" xfId="8"/>
    <cellStyle name="一般 10 2" xfId="9"/>
    <cellStyle name="一般 11" xfId="10"/>
    <cellStyle name="一般 12" xfId="11"/>
    <cellStyle name="一般 13" xfId="12"/>
    <cellStyle name="一般 14" xfId="13"/>
    <cellStyle name="一般 15" xfId="14"/>
    <cellStyle name="一般 15 2" xfId="15"/>
    <cellStyle name="一般 16" xfId="16"/>
    <cellStyle name="一般 17" xfId="17"/>
    <cellStyle name="一般 18" xfId="18"/>
    <cellStyle name="一般 19" xfId="19"/>
    <cellStyle name="一般 2" xfId="20"/>
    <cellStyle name="一般 2 13" xfId="21"/>
    <cellStyle name="一般 2 17" xfId="22"/>
    <cellStyle name="一般 2 17 10" xfId="23"/>
    <cellStyle name="一般 2 17 11" xfId="24"/>
    <cellStyle name="一般 2 17 12" xfId="25"/>
    <cellStyle name="一般 2 17 13" xfId="26"/>
    <cellStyle name="一般 2 17 13 2" xfId="27"/>
    <cellStyle name="一般 2 17 13 3" xfId="28"/>
    <cellStyle name="一般 2 17 14" xfId="29"/>
    <cellStyle name="一般 2 17 14 2" xfId="30"/>
    <cellStyle name="一般 2 17 15" xfId="31"/>
    <cellStyle name="一般 2 17 16" xfId="32"/>
    <cellStyle name="一般 2 17 17" xfId="33"/>
    <cellStyle name="一般 2 17 2" xfId="1"/>
    <cellStyle name="一般 2 17 3" xfId="34"/>
    <cellStyle name="一般 2 17 4" xfId="35"/>
    <cellStyle name="一般 2 17 5" xfId="36"/>
    <cellStyle name="一般 2 17 6" xfId="37"/>
    <cellStyle name="一般 2 17 7" xfId="38"/>
    <cellStyle name="一般 2 17 8" xfId="39"/>
    <cellStyle name="一般 2 17 9" xfId="40"/>
    <cellStyle name="一般 2 18" xfId="41"/>
    <cellStyle name="一般 2 18 10" xfId="42"/>
    <cellStyle name="一般 2 18 11" xfId="43"/>
    <cellStyle name="一般 2 18 12" xfId="44"/>
    <cellStyle name="一般 2 18 13" xfId="45"/>
    <cellStyle name="一般 2 18 13 2" xfId="46"/>
    <cellStyle name="一般 2 18 13 3" xfId="47"/>
    <cellStyle name="一般 2 18 14" xfId="48"/>
    <cellStyle name="一般 2 18 14 2" xfId="49"/>
    <cellStyle name="一般 2 18 15" xfId="50"/>
    <cellStyle name="一般 2 18 16" xfId="51"/>
    <cellStyle name="一般 2 18 17" xfId="52"/>
    <cellStyle name="一般 2 18 17 2" xfId="53"/>
    <cellStyle name="一般 2 18 19" xfId="54"/>
    <cellStyle name="一般 2 18 2" xfId="55"/>
    <cellStyle name="一般 2 18 21" xfId="56"/>
    <cellStyle name="一般 2 18 22" xfId="57"/>
    <cellStyle name="一般 2 18 23" xfId="58"/>
    <cellStyle name="一般 2 18 3" xfId="59"/>
    <cellStyle name="一般 2 18 4" xfId="60"/>
    <cellStyle name="一般 2 18 5" xfId="61"/>
    <cellStyle name="一般 2 18 6" xfId="62"/>
    <cellStyle name="一般 2 18 7" xfId="63"/>
    <cellStyle name="一般 2 18 8" xfId="64"/>
    <cellStyle name="一般 2 18 9" xfId="65"/>
    <cellStyle name="一般 2 19" xfId="66"/>
    <cellStyle name="一般 2 19 10" xfId="67"/>
    <cellStyle name="一般 2 19 11" xfId="68"/>
    <cellStyle name="一般 2 19 11 2" xfId="69"/>
    <cellStyle name="一般 2 19 12" xfId="70"/>
    <cellStyle name="一般 2 19 12 2" xfId="71"/>
    <cellStyle name="一般 2 19 13" xfId="72"/>
    <cellStyle name="一般 2 19 13 2" xfId="73"/>
    <cellStyle name="一般 2 19 13 3" xfId="74"/>
    <cellStyle name="一般 2 19 14" xfId="75"/>
    <cellStyle name="一般 2 19 14 2" xfId="76"/>
    <cellStyle name="一般 2 19 15" xfId="77"/>
    <cellStyle name="一般 2 19 16" xfId="78"/>
    <cellStyle name="一般 2 19 17" xfId="79"/>
    <cellStyle name="一般 2 19 17 2" xfId="80"/>
    <cellStyle name="一般 2 19 18" xfId="81"/>
    <cellStyle name="一般 2 19 19" xfId="82"/>
    <cellStyle name="一般 2 19 2" xfId="83"/>
    <cellStyle name="一般 2 19 20" xfId="84"/>
    <cellStyle name="一般 2 19 21" xfId="85"/>
    <cellStyle name="一般 2 19 21 2" xfId="86"/>
    <cellStyle name="一般 2 19 22" xfId="87"/>
    <cellStyle name="一般 2 19 23" xfId="88"/>
    <cellStyle name="一般 2 19 3" xfId="89"/>
    <cellStyle name="一般 2 19 4" xfId="90"/>
    <cellStyle name="一般 2 19 5" xfId="91"/>
    <cellStyle name="一般 2 19 6" xfId="92"/>
    <cellStyle name="一般 2 19 7" xfId="93"/>
    <cellStyle name="一般 2 19 8" xfId="94"/>
    <cellStyle name="一般 2 19 9" xfId="95"/>
    <cellStyle name="一般 2 19 9 2" xfId="96"/>
    <cellStyle name="一般 2 2" xfId="97"/>
    <cellStyle name="一般 2 2 10" xfId="98"/>
    <cellStyle name="一般 2 2 10 2" xfId="99"/>
    <cellStyle name="一般 2 2 11" xfId="100"/>
    <cellStyle name="一般 2 2 11 2" xfId="101"/>
    <cellStyle name="一般 2 2 11 3" xfId="102"/>
    <cellStyle name="一般 2 2 11 4" xfId="103"/>
    <cellStyle name="一般 2 2 12" xfId="104"/>
    <cellStyle name="一般 2 2 12 2" xfId="105"/>
    <cellStyle name="一般 2 2 12 3" xfId="106"/>
    <cellStyle name="一般 2 2 12 4" xfId="107"/>
    <cellStyle name="一般 2 2 13" xfId="108"/>
    <cellStyle name="一般 2 2 13 2" xfId="109"/>
    <cellStyle name="一般 2 2 13 3" xfId="110"/>
    <cellStyle name="一般 2 2 13 4" xfId="111"/>
    <cellStyle name="一般 2 2 13 5" xfId="112"/>
    <cellStyle name="一般 2 2 14" xfId="113"/>
    <cellStyle name="一般 2 2 14 2" xfId="114"/>
    <cellStyle name="一般 2 2 14 3" xfId="115"/>
    <cellStyle name="一般 2 2 15" xfId="116"/>
    <cellStyle name="一般 2 2 15 2" xfId="117"/>
    <cellStyle name="一般 2 2 16" xfId="118"/>
    <cellStyle name="一般 2 2 17" xfId="119"/>
    <cellStyle name="一般 2 2 17 2" xfId="120"/>
    <cellStyle name="一般 2 2 18" xfId="121"/>
    <cellStyle name="一般 2 2 19" xfId="122"/>
    <cellStyle name="一般 2 2 2" xfId="123"/>
    <cellStyle name="一般 2 2 2 2" xfId="2"/>
    <cellStyle name="一般 2 2 2 3" xfId="124"/>
    <cellStyle name="一般 2 2 2 4" xfId="125"/>
    <cellStyle name="一般 2 2 2 5" xfId="126"/>
    <cellStyle name="一般 2 2 20" xfId="127"/>
    <cellStyle name="一般 2 2 21" xfId="128"/>
    <cellStyle name="一般 2 2 21 2" xfId="129"/>
    <cellStyle name="一般 2 2 22" xfId="130"/>
    <cellStyle name="一般 2 2 23" xfId="131"/>
    <cellStyle name="一般 2 2 3" xfId="132"/>
    <cellStyle name="一般 2 2 3 2" xfId="133"/>
    <cellStyle name="一般 2 2 3 3" xfId="134"/>
    <cellStyle name="一般 2 2 3 4" xfId="135"/>
    <cellStyle name="一般 2 2 4" xfId="136"/>
    <cellStyle name="一般 2 2 4 2" xfId="137"/>
    <cellStyle name="一般 2 2 4 2 2" xfId="138"/>
    <cellStyle name="一般 2 2 4 2 3" xfId="139"/>
    <cellStyle name="一般 2 2 4 3" xfId="140"/>
    <cellStyle name="一般 2 2 4 3 2" xfId="141"/>
    <cellStyle name="一般 2 2 4 4" xfId="142"/>
    <cellStyle name="一般 2 2 4 5" xfId="143"/>
    <cellStyle name="一般 2 2 5" xfId="144"/>
    <cellStyle name="一般 2 2 5 2" xfId="145"/>
    <cellStyle name="一般 2 2 5 3" xfId="146"/>
    <cellStyle name="一般 2 2 6" xfId="147"/>
    <cellStyle name="一般 2 2 6 2" xfId="148"/>
    <cellStyle name="一般 2 2 6 3" xfId="149"/>
    <cellStyle name="一般 2 2 6 4" xfId="150"/>
    <cellStyle name="一般 2 2 7" xfId="151"/>
    <cellStyle name="一般 2 2 7 2" xfId="152"/>
    <cellStyle name="一般 2 2 8" xfId="153"/>
    <cellStyle name="一般 2 2 8 2" xfId="154"/>
    <cellStyle name="一般 2 2 9" xfId="155"/>
    <cellStyle name="一般 2 2 9 2" xfId="156"/>
    <cellStyle name="一般 2 2 9 3" xfId="157"/>
    <cellStyle name="一般 2 3" xfId="158"/>
    <cellStyle name="一般 2 4" xfId="159"/>
    <cellStyle name="一般 2 4 2" xfId="160"/>
    <cellStyle name="一般 2 5" xfId="161"/>
    <cellStyle name="一般 2 6" xfId="162"/>
    <cellStyle name="一般 2 7" xfId="163"/>
    <cellStyle name="一般 2 8" xfId="4"/>
    <cellStyle name="一般 2 8 10" xfId="164"/>
    <cellStyle name="一般 2 8 11" xfId="165"/>
    <cellStyle name="一般 2 8 11 2" xfId="166"/>
    <cellStyle name="一般 2 8 12" xfId="167"/>
    <cellStyle name="一般 2 8 12 2" xfId="168"/>
    <cellStyle name="一般 2 8 13" xfId="169"/>
    <cellStyle name="一般 2 8 13 2" xfId="170"/>
    <cellStyle name="一般 2 8 13 3" xfId="171"/>
    <cellStyle name="一般 2 8 14" xfId="172"/>
    <cellStyle name="一般 2 8 14 10" xfId="173"/>
    <cellStyle name="一般 2 8 14 11" xfId="174"/>
    <cellStyle name="一般 2 8 14 2" xfId="175"/>
    <cellStyle name="一般 2 8 14 2 2" xfId="176"/>
    <cellStyle name="一般 2 8 14 3" xfId="177"/>
    <cellStyle name="一般 2 8 14 3 2" xfId="178"/>
    <cellStyle name="一般 2 8 14 4" xfId="179"/>
    <cellStyle name="一般 2 8 14 5" xfId="180"/>
    <cellStyle name="一般 2 8 14 6" xfId="181"/>
    <cellStyle name="一般 2 8 14 7" xfId="182"/>
    <cellStyle name="一般 2 8 14 7 2" xfId="183"/>
    <cellStyle name="一般 2 8 14 8" xfId="184"/>
    <cellStyle name="一般 2 8 14 9" xfId="185"/>
    <cellStyle name="一般 2 8 15" xfId="186"/>
    <cellStyle name="一般 2 8 16" xfId="187"/>
    <cellStyle name="一般 2 8 17" xfId="188"/>
    <cellStyle name="一般 2 8 18" xfId="189"/>
    <cellStyle name="一般 2 8 19" xfId="190"/>
    <cellStyle name="一般 2 8 2" xfId="191"/>
    <cellStyle name="一般 2 8 2 2" xfId="192"/>
    <cellStyle name="一般 2 8 2 3" xfId="193"/>
    <cellStyle name="一般 2 8 20" xfId="194"/>
    <cellStyle name="一般 2 8 21" xfId="195"/>
    <cellStyle name="一般 2 8 22" xfId="196"/>
    <cellStyle name="一般 2 8 23" xfId="197"/>
    <cellStyle name="一般 2 8 23 2" xfId="198"/>
    <cellStyle name="一般 2 8 23 3" xfId="199"/>
    <cellStyle name="一般 2 8 24" xfId="200"/>
    <cellStyle name="一般 2 8 3" xfId="201"/>
    <cellStyle name="一般 2 8 3 2" xfId="202"/>
    <cellStyle name="一般 2 8 4" xfId="203"/>
    <cellStyle name="一般 2 8 5" xfId="204"/>
    <cellStyle name="一般 2 8 6" xfId="205"/>
    <cellStyle name="一般 2 8 7" xfId="206"/>
    <cellStyle name="一般 2 8 8" xfId="207"/>
    <cellStyle name="一般 2 8 9" xfId="208"/>
    <cellStyle name="一般 2 8 9 2" xfId="209"/>
    <cellStyle name="一般 20" xfId="210"/>
    <cellStyle name="一般 21" xfId="211"/>
    <cellStyle name="一般 22" xfId="212"/>
    <cellStyle name="一般 23" xfId="213"/>
    <cellStyle name="一般 24" xfId="214"/>
    <cellStyle name="一般 3" xfId="215"/>
    <cellStyle name="一般 3 2" xfId="216"/>
    <cellStyle name="一般 3 2 2" xfId="217"/>
    <cellStyle name="一般 3 3" xfId="218"/>
    <cellStyle name="一般 3 4" xfId="219"/>
    <cellStyle name="一般 3 5" xfId="220"/>
    <cellStyle name="一般 3 5 2" xfId="221"/>
    <cellStyle name="一般 3 6" xfId="222"/>
    <cellStyle name="一般 3 7" xfId="223"/>
    <cellStyle name="一般 4" xfId="224"/>
    <cellStyle name="一般 4 2" xfId="225"/>
    <cellStyle name="一般 4 3" xfId="226"/>
    <cellStyle name="一般 5" xfId="227"/>
    <cellStyle name="一般 5 2" xfId="228"/>
    <cellStyle name="一般 6" xfId="229"/>
    <cellStyle name="一般 6 2" xfId="230"/>
    <cellStyle name="一般 7" xfId="231"/>
    <cellStyle name="一般 8" xfId="232"/>
    <cellStyle name="一般 8 2" xfId="233"/>
    <cellStyle name="一般 9" xfId="234"/>
    <cellStyle name="一般 9 2" xfId="235"/>
    <cellStyle name="千分位 10" xfId="236"/>
    <cellStyle name="千分位 2" xfId="237"/>
    <cellStyle name="千分位 2 10" xfId="238"/>
    <cellStyle name="千分位 2 10 2" xfId="239"/>
    <cellStyle name="千分位 2 11" xfId="240"/>
    <cellStyle name="千分位 2 11 2" xfId="241"/>
    <cellStyle name="千分位 2 11 3" xfId="242"/>
    <cellStyle name="千分位 2 11 4" xfId="243"/>
    <cellStyle name="千分位 2 12" xfId="244"/>
    <cellStyle name="千分位 2 12 2" xfId="245"/>
    <cellStyle name="千分位 2 12 3" xfId="246"/>
    <cellStyle name="千分位 2 12 4" xfId="247"/>
    <cellStyle name="千分位 2 13" xfId="248"/>
    <cellStyle name="千分位 2 13 2" xfId="249"/>
    <cellStyle name="千分位 2 13 3" xfId="250"/>
    <cellStyle name="千分位 2 13 4" xfId="251"/>
    <cellStyle name="千分位 2 13 5" xfId="252"/>
    <cellStyle name="千分位 2 14" xfId="253"/>
    <cellStyle name="千分位 2 14 2" xfId="254"/>
    <cellStyle name="千分位 2 14 3" xfId="255"/>
    <cellStyle name="千分位 2 15" xfId="256"/>
    <cellStyle name="千分位 2 15 2" xfId="257"/>
    <cellStyle name="千分位 2 16" xfId="258"/>
    <cellStyle name="千分位 2 17" xfId="259"/>
    <cellStyle name="千分位 2 17 2" xfId="260"/>
    <cellStyle name="千分位 2 18" xfId="261"/>
    <cellStyle name="千分位 2 19" xfId="262"/>
    <cellStyle name="千分位 2 2" xfId="263"/>
    <cellStyle name="千分位 2 2 2" xfId="264"/>
    <cellStyle name="千分位 2 2 3" xfId="265"/>
    <cellStyle name="千分位 2 20" xfId="266"/>
    <cellStyle name="千分位 2 21" xfId="267"/>
    <cellStyle name="千分位 2 21 2" xfId="268"/>
    <cellStyle name="千分位 2 22" xfId="269"/>
    <cellStyle name="千分位 2 23" xfId="270"/>
    <cellStyle name="千分位 2 24" xfId="271"/>
    <cellStyle name="千分位 2 3" xfId="272"/>
    <cellStyle name="千分位 2 3 2" xfId="273"/>
    <cellStyle name="千分位 2 3 3" xfId="274"/>
    <cellStyle name="千分位 2 4" xfId="275"/>
    <cellStyle name="千分位 2 4 2" xfId="276"/>
    <cellStyle name="千分位 2 5" xfId="277"/>
    <cellStyle name="千分位 2 5 2" xfId="278"/>
    <cellStyle name="千分位 2 5 3" xfId="279"/>
    <cellStyle name="千分位 2 6" xfId="280"/>
    <cellStyle name="千分位 2 6 2" xfId="281"/>
    <cellStyle name="千分位 2 6 3" xfId="282"/>
    <cellStyle name="千分位 2 6 4" xfId="283"/>
    <cellStyle name="千分位 2 7" xfId="284"/>
    <cellStyle name="千分位 2 7 2" xfId="285"/>
    <cellStyle name="千分位 2 8" xfId="286"/>
    <cellStyle name="千分位 2 8 2" xfId="287"/>
    <cellStyle name="千分位 2 8 2 2" xfId="288"/>
    <cellStyle name="千分位 2 8 3" xfId="289"/>
    <cellStyle name="千分位 2 8 3 2" xfId="290"/>
    <cellStyle name="千分位 2 8 3 3" xfId="291"/>
    <cellStyle name="千分位 2 8 4" xfId="292"/>
    <cellStyle name="千分位 2 8 5" xfId="293"/>
    <cellStyle name="千分位 2 8 6" xfId="294"/>
    <cellStyle name="千分位 2 9" xfId="295"/>
    <cellStyle name="千分位 2 9 2" xfId="296"/>
    <cellStyle name="千分位 2 9 3" xfId="297"/>
    <cellStyle name="千分位 3" xfId="298"/>
    <cellStyle name="千分位 4" xfId="299"/>
    <cellStyle name="千分位 5" xfId="300"/>
    <cellStyle name="千分位 5 2" xfId="301"/>
    <cellStyle name="千分位 6" xfId="302"/>
    <cellStyle name="千分位 7" xfId="303"/>
    <cellStyle name="千分位 8" xfId="304"/>
    <cellStyle name="千分位 9" xfId="3"/>
    <cellStyle name="好_1001024-晉欣重要管制流程 (3)" xfId="305"/>
    <cellStyle name="好_Sheet1" xfId="306"/>
    <cellStyle name="好_工作日報表---" xfId="307"/>
    <cellStyle name="好_晉欣重要管制流程-油炸作業" xfId="308"/>
    <cellStyle name="好_晉欣重要管制流程-原物料驗收" xfId="309"/>
    <cellStyle name="好_晉欣重要管制流程-烤箱作業" xfId="310"/>
    <cellStyle name="好_晉欣重要管制流程-理貨作業" xfId="311"/>
    <cellStyle name="好_晉欣重要管制流程-煮麵作業" xfId="312"/>
    <cellStyle name="好_晉欣重要管制流程-飯糰機操作&amp;丼飯作業&amp;三明治&amp;標籤&amp;炊飯&amp;美生菜" xfId="313"/>
    <cellStyle name="好_晉欣重要管制流程-準備室作業" xfId="314"/>
    <cellStyle name="好_晉欣重要管制流程-補料作業" xfId="315"/>
    <cellStyle name="好_配料相關一、二--------" xfId="316"/>
    <cellStyle name="百分比 2" xfId="317"/>
    <cellStyle name="百分比 2 2" xfId="318"/>
    <cellStyle name="百分比 2 2 2" xfId="319"/>
    <cellStyle name="百分比 2 2 2 2" xfId="6"/>
    <cellStyle name="百分比 2 3" xfId="320"/>
    <cellStyle name="百分比 2 4" xfId="321"/>
    <cellStyle name="百分比 2 5" xfId="5"/>
    <cellStyle name="百分比 3" xfId="322"/>
    <cellStyle name="百分比 3 2" xfId="323"/>
    <cellStyle name="百分比 3 3" xfId="324"/>
    <cellStyle name="百分比 4" xfId="325"/>
    <cellStyle name="百分比 4 2" xfId="326"/>
    <cellStyle name="百分比 4 2 2" xfId="327"/>
    <cellStyle name="百分比 4 2 2 2" xfId="328"/>
    <cellStyle name="百分比 4 2 3" xfId="329"/>
    <cellStyle name="百分比 4 3" xfId="330"/>
    <cellStyle name="百分比 4 3 2" xfId="331"/>
    <cellStyle name="百分比 4 3 2 2" xfId="332"/>
    <cellStyle name="百分比 4 3 2 2 2" xfId="333"/>
    <cellStyle name="百分比 4 3 2 2 2 2" xfId="334"/>
    <cellStyle name="百分比 4 3 2 2 2 2 2" xfId="335"/>
    <cellStyle name="百分比 4 4" xfId="336"/>
    <cellStyle name="百分比 5" xfId="337"/>
    <cellStyle name="百分比 5 2" xfId="338"/>
    <cellStyle name="百分比 5 3" xfId="339"/>
    <cellStyle name="百分比 6" xfId="340"/>
    <cellStyle name="百分比 7" xfId="341"/>
    <cellStyle name="桁区切り 2" xfId="342"/>
    <cellStyle name="貨幣 2" xfId="343"/>
    <cellStyle name="通貨 2" xfId="344"/>
    <cellStyle name="超連結 2" xfId="345"/>
    <cellStyle name="標準 2" xfId="346"/>
    <cellStyle name="標準 3" xfId="347"/>
    <cellStyle name="標準 3 2" xfId="348"/>
    <cellStyle name="標準 4" xfId="349"/>
    <cellStyle name="標準 4 2" xfId="350"/>
    <cellStyle name="標準 5" xfId="351"/>
    <cellStyle name="標準 6" xfId="352"/>
    <cellStyle name="標準 7" xfId="353"/>
    <cellStyle name="壞_1001024-晉欣重要管制流程 (3)" xfId="354"/>
    <cellStyle name="壞_Sheet1" xfId="355"/>
    <cellStyle name="壞_工作日報表---" xfId="356"/>
    <cellStyle name="壞_晉欣重要管制流程-油炸作業" xfId="357"/>
    <cellStyle name="壞_晉欣重要管制流程-原物料驗收" xfId="358"/>
    <cellStyle name="壞_晉欣重要管制流程-烤箱作業" xfId="359"/>
    <cellStyle name="壞_晉欣重要管制流程-理貨作業" xfId="360"/>
    <cellStyle name="壞_晉欣重要管制流程-煮麵作業" xfId="361"/>
    <cellStyle name="壞_晉欣重要管制流程-飯糰機操作&amp;丼飯作業&amp;三明治&amp;標籤&amp;炊飯&amp;美生菜" xfId="362"/>
    <cellStyle name="壞_晉欣重要管制流程-準備室作業" xfId="363"/>
    <cellStyle name="壞_晉欣重要管制流程-補料作業" xfId="364"/>
    <cellStyle name="壞_配料相關一、二--------" xfId="365"/>
  </cellStyles>
  <dxfs count="180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P32" sqref="P32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601" t="s">
        <v>0</v>
      </c>
      <c r="C1" s="602"/>
      <c r="D1" s="602"/>
      <c r="E1" s="602"/>
      <c r="F1" s="602"/>
      <c r="G1" s="602"/>
      <c r="H1" s="602"/>
      <c r="I1" s="602"/>
      <c r="J1" s="602"/>
      <c r="K1" s="602"/>
      <c r="L1" s="602"/>
      <c r="M1" s="603"/>
      <c r="N1" s="1"/>
      <c r="O1" s="1"/>
    </row>
    <row r="2" spans="2:17" ht="27.75" customHeight="1">
      <c r="B2" s="601"/>
      <c r="C2" s="602"/>
      <c r="D2" s="602"/>
      <c r="E2" s="602"/>
      <c r="F2" s="602"/>
      <c r="G2" s="602"/>
      <c r="H2" s="602"/>
      <c r="I2" s="602"/>
      <c r="J2" s="602"/>
      <c r="K2" s="602"/>
      <c r="L2" s="602"/>
      <c r="M2" s="603"/>
      <c r="N2" s="1"/>
      <c r="O2" s="1"/>
    </row>
    <row r="3" spans="2:17" ht="46.5" customHeight="1">
      <c r="B3" s="594" t="s">
        <v>1</v>
      </c>
      <c r="C3" s="555"/>
      <c r="D3" s="604" t="s">
        <v>267</v>
      </c>
      <c r="E3" s="605"/>
      <c r="F3" s="594" t="s">
        <v>2</v>
      </c>
      <c r="G3" s="555"/>
      <c r="H3" s="606">
        <v>268923.40000000002</v>
      </c>
      <c r="I3" s="607"/>
      <c r="J3" s="594" t="s">
        <v>3</v>
      </c>
      <c r="K3" s="555"/>
      <c r="L3" s="599">
        <v>8760270.1541740764</v>
      </c>
      <c r="M3" s="600"/>
      <c r="N3" s="359"/>
      <c r="O3" s="359"/>
      <c r="P3" s="359"/>
      <c r="Q3" s="359"/>
    </row>
    <row r="4" spans="2:17" ht="24" customHeight="1">
      <c r="B4" s="594" t="s">
        <v>130</v>
      </c>
      <c r="C4" s="555"/>
      <c r="D4" s="586" t="s">
        <v>130</v>
      </c>
      <c r="E4" s="587"/>
      <c r="F4" s="597" t="s">
        <v>131</v>
      </c>
      <c r="G4" s="598"/>
      <c r="H4" s="597" t="s">
        <v>132</v>
      </c>
      <c r="I4" s="598"/>
      <c r="J4" s="597" t="s">
        <v>133</v>
      </c>
      <c r="K4" s="598"/>
      <c r="L4" s="599" t="s">
        <v>134</v>
      </c>
      <c r="M4" s="600"/>
      <c r="N4" s="580" t="s">
        <v>4</v>
      </c>
      <c r="O4" s="581"/>
      <c r="P4" s="581" t="s">
        <v>5</v>
      </c>
      <c r="Q4" s="581"/>
    </row>
    <row r="5" spans="2:17" ht="24" customHeight="1">
      <c r="B5" s="582" t="s">
        <v>35</v>
      </c>
      <c r="C5" s="561"/>
      <c r="D5" s="586" t="s">
        <v>135</v>
      </c>
      <c r="E5" s="587"/>
      <c r="F5" s="586" t="s">
        <v>6</v>
      </c>
      <c r="G5" s="587"/>
      <c r="H5" s="588" t="s">
        <v>7</v>
      </c>
      <c r="I5" s="589"/>
      <c r="J5" s="590" t="s">
        <v>8</v>
      </c>
      <c r="K5" s="591"/>
      <c r="L5" s="592" t="s">
        <v>9</v>
      </c>
      <c r="M5" s="593"/>
      <c r="N5" s="3" t="s">
        <v>175</v>
      </c>
      <c r="O5" s="4" t="s">
        <v>176</v>
      </c>
      <c r="P5" s="3" t="s">
        <v>175</v>
      </c>
      <c r="Q5" s="4" t="s">
        <v>177</v>
      </c>
    </row>
    <row r="6" spans="2:17" ht="39.6" customHeight="1">
      <c r="B6" s="583"/>
      <c r="C6" s="584"/>
      <c r="D6" s="594" t="s">
        <v>10</v>
      </c>
      <c r="E6" s="555"/>
      <c r="F6" s="595">
        <f>AVERAGE(D13:O13,P13:Q13,D30:E30,G30:H30,J30:M30)</f>
        <v>381.38234435074196</v>
      </c>
      <c r="G6" s="596"/>
      <c r="H6" s="574">
        <f>AVERAGE(D13:P13,Q13)</f>
        <v>144.31511255116598</v>
      </c>
      <c r="I6" s="575"/>
      <c r="J6" s="574">
        <f>AVERAGE(D30:E30,G30:H30)</f>
        <v>711.25</v>
      </c>
      <c r="K6" s="575"/>
      <c r="L6" s="576">
        <f>AVERAGE(J30:M30)</f>
        <v>881.25</v>
      </c>
      <c r="M6" s="577"/>
      <c r="N6" s="578">
        <v>0</v>
      </c>
      <c r="O6" s="563">
        <v>0</v>
      </c>
      <c r="P6" s="579">
        <v>11</v>
      </c>
      <c r="Q6" s="563">
        <v>7</v>
      </c>
    </row>
    <row r="7" spans="2:17" s="5" customFormat="1" ht="39.6" customHeight="1">
      <c r="B7" s="583"/>
      <c r="C7" s="584"/>
      <c r="D7" s="564" t="s">
        <v>11</v>
      </c>
      <c r="E7" s="565"/>
      <c r="F7" s="566">
        <f>AVERAGE(D14:O14,P14:Q14,D31:E31,J31:M31,G31:H31)</f>
        <v>364.81719569424456</v>
      </c>
      <c r="G7" s="567"/>
      <c r="H7" s="568">
        <f>AVERAGE(D14:P14,Q14)</f>
        <v>131.42161120475163</v>
      </c>
      <c r="I7" s="569"/>
      <c r="J7" s="568">
        <f>AVERAGE(D31:E31,G31:H31)</f>
        <v>711.61582382610084</v>
      </c>
      <c r="K7" s="569"/>
      <c r="L7" s="570">
        <f>AVERAGE(J31:M31)</f>
        <v>834.90311327561358</v>
      </c>
      <c r="M7" s="571"/>
      <c r="N7" s="578"/>
      <c r="O7" s="563"/>
      <c r="P7" s="579"/>
      <c r="Q7" s="563"/>
    </row>
    <row r="8" spans="2:17" s="5" customFormat="1" ht="39.6" customHeight="1">
      <c r="B8" s="585"/>
      <c r="C8" s="562"/>
      <c r="D8" s="564" t="s">
        <v>12</v>
      </c>
      <c r="E8" s="565"/>
      <c r="F8" s="572">
        <f>AVERAGE(D15:O15,P15:Q15,D32:E32,G32:H32,J32:M32)</f>
        <v>0.92320152119599086</v>
      </c>
      <c r="G8" s="573"/>
      <c r="H8" s="572">
        <f>AVERAGE(D15:O15,P15:Q15)</f>
        <v>0.90738617838826041</v>
      </c>
      <c r="I8" s="573"/>
      <c r="J8" s="572">
        <f>AVERAGE(D32:E32,G32:H32)</f>
        <v>0.95028190255253187</v>
      </c>
      <c r="K8" s="573"/>
      <c r="L8" s="572">
        <f>AVERAGE(J32:M32)</f>
        <v>0.9514748396665067</v>
      </c>
      <c r="M8" s="573"/>
      <c r="N8" s="578"/>
      <c r="O8" s="563"/>
      <c r="P8" s="579"/>
      <c r="Q8" s="563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551" t="s">
        <v>139</v>
      </c>
      <c r="C10" s="557"/>
      <c r="D10" s="558" t="s">
        <v>140</v>
      </c>
      <c r="E10" s="559"/>
      <c r="F10" s="559"/>
      <c r="G10" s="559"/>
      <c r="H10" s="559"/>
      <c r="I10" s="559"/>
      <c r="J10" s="559"/>
      <c r="K10" s="559"/>
      <c r="L10" s="559"/>
      <c r="M10" s="559"/>
      <c r="N10" s="559"/>
      <c r="O10" s="559"/>
      <c r="P10" s="559"/>
      <c r="Q10" s="560"/>
    </row>
    <row r="11" spans="2:17" ht="17.25" customHeight="1">
      <c r="B11" s="542" t="s">
        <v>141</v>
      </c>
      <c r="C11" s="561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" customHeight="1">
      <c r="B12" s="544"/>
      <c r="C12" s="562"/>
      <c r="D12" s="14" t="s">
        <v>142</v>
      </c>
      <c r="E12" s="360" t="s">
        <v>143</v>
      </c>
      <c r="F12" s="360" t="s">
        <v>144</v>
      </c>
      <c r="G12" s="360" t="s">
        <v>145</v>
      </c>
      <c r="H12" s="14" t="s">
        <v>146</v>
      </c>
      <c r="I12" s="360" t="s">
        <v>147</v>
      </c>
      <c r="J12" s="360" t="s">
        <v>148</v>
      </c>
      <c r="K12" s="360" t="s">
        <v>149</v>
      </c>
      <c r="L12" s="360" t="s">
        <v>150</v>
      </c>
      <c r="M12" s="360" t="s">
        <v>151</v>
      </c>
      <c r="N12" s="360" t="s">
        <v>152</v>
      </c>
      <c r="O12" s="360" t="s">
        <v>153</v>
      </c>
      <c r="P12" s="360" t="s">
        <v>154</v>
      </c>
      <c r="Q12" s="361" t="s">
        <v>13</v>
      </c>
    </row>
    <row r="13" spans="2:17" ht="39.9" customHeight="1">
      <c r="B13" s="546" t="s">
        <v>35</v>
      </c>
      <c r="C13" s="14" t="s">
        <v>155</v>
      </c>
      <c r="D13" s="19">
        <v>137.63871548619449</v>
      </c>
      <c r="E13" s="19">
        <v>120.90124821858569</v>
      </c>
      <c r="F13" s="19">
        <v>152.21134953797491</v>
      </c>
      <c r="G13" s="19">
        <v>314.46258503401361</v>
      </c>
      <c r="H13" s="19">
        <v>228.57142857142858</v>
      </c>
      <c r="I13" s="19">
        <v>87.277740920929773</v>
      </c>
      <c r="J13" s="19">
        <v>88.589119858469687</v>
      </c>
      <c r="K13" s="19">
        <v>101.08741776315789</v>
      </c>
      <c r="L13" s="19">
        <v>83.700101288078585</v>
      </c>
      <c r="M13" s="19">
        <v>80.88570964448158</v>
      </c>
      <c r="N13" s="19">
        <v>88.025958482808335</v>
      </c>
      <c r="O13" s="19">
        <v>226.9047619047619</v>
      </c>
      <c r="P13" s="19">
        <v>160.15543900543898</v>
      </c>
      <c r="Q13" s="21">
        <v>150</v>
      </c>
    </row>
    <row r="14" spans="2:17" ht="39.9" customHeight="1">
      <c r="B14" s="547"/>
      <c r="C14" s="14" t="s">
        <v>156</v>
      </c>
      <c r="D14" s="19">
        <v>127.04636271241952</v>
      </c>
      <c r="E14" s="19">
        <v>106.42673974022325</v>
      </c>
      <c r="F14" s="19">
        <v>130.3203060998608</v>
      </c>
      <c r="G14" s="19">
        <v>285.41826181011271</v>
      </c>
      <c r="H14" s="19">
        <v>224.40157971473451</v>
      </c>
      <c r="I14" s="19">
        <v>78.643421047612449</v>
      </c>
      <c r="J14" s="19">
        <v>80.097359885478099</v>
      </c>
      <c r="K14" s="19">
        <v>84.212183248162674</v>
      </c>
      <c r="L14" s="19">
        <v>77.199883759520318</v>
      </c>
      <c r="M14" s="19">
        <v>72.521560916405235</v>
      </c>
      <c r="N14" s="19">
        <v>80.30594711750669</v>
      </c>
      <c r="O14" s="19">
        <v>194.8011834780346</v>
      </c>
      <c r="P14" s="19">
        <v>150.36686379554831</v>
      </c>
      <c r="Q14" s="9">
        <v>148.14090354090357</v>
      </c>
    </row>
    <row r="15" spans="2:17" ht="39.9" customHeight="1">
      <c r="B15" s="548"/>
      <c r="C15" s="360" t="s">
        <v>157</v>
      </c>
      <c r="D15" s="10">
        <f t="shared" ref="D15:Q15" si="0">D14/D13</f>
        <v>0.92304234505270866</v>
      </c>
      <c r="E15" s="10">
        <f t="shared" si="0"/>
        <v>0.88027825442965668</v>
      </c>
      <c r="F15" s="10">
        <f t="shared" si="0"/>
        <v>0.85617995304185546</v>
      </c>
      <c r="G15" s="10">
        <f t="shared" si="0"/>
        <v>0.9076382227769344</v>
      </c>
      <c r="H15" s="10">
        <f t="shared" si="0"/>
        <v>0.9817569112519634</v>
      </c>
      <c r="I15" s="10">
        <f t="shared" si="0"/>
        <v>0.90107076807659725</v>
      </c>
      <c r="J15" s="10">
        <f t="shared" si="0"/>
        <v>0.90414443685005497</v>
      </c>
      <c r="K15" s="10">
        <f t="shared" si="0"/>
        <v>0.83306295789914298</v>
      </c>
      <c r="L15" s="10">
        <f t="shared" si="0"/>
        <v>0.92233919160759614</v>
      </c>
      <c r="M15" s="10">
        <f t="shared" si="0"/>
        <v>0.89659299813478255</v>
      </c>
      <c r="N15" s="10">
        <f t="shared" si="0"/>
        <v>0.91229846856130081</v>
      </c>
      <c r="O15" s="10">
        <f t="shared" si="0"/>
        <v>0.85851518426835816</v>
      </c>
      <c r="P15" s="362">
        <f t="shared" si="0"/>
        <v>0.93888078187867074</v>
      </c>
      <c r="Q15" s="11">
        <f t="shared" si="0"/>
        <v>0.98760602360602379</v>
      </c>
    </row>
    <row r="16" spans="2:17" ht="22.8" customHeight="1">
      <c r="B16" s="549" t="s">
        <v>158</v>
      </c>
      <c r="C16" s="360" t="s">
        <v>159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363">
        <v>0.4375</v>
      </c>
    </row>
    <row r="17" spans="2:23" ht="22.8" customHeight="1">
      <c r="B17" s="550"/>
      <c r="C17" s="360" t="s">
        <v>36</v>
      </c>
      <c r="D17" s="12">
        <v>0.72777777777777775</v>
      </c>
      <c r="E17" s="12">
        <v>0.64374999999999982</v>
      </c>
      <c r="F17" s="12">
        <v>0.57152777777777763</v>
      </c>
      <c r="G17" s="12">
        <v>0.63611111111111107</v>
      </c>
      <c r="H17" s="12">
        <v>0.62430555555555567</v>
      </c>
      <c r="I17" s="12">
        <v>0.70277777777777761</v>
      </c>
      <c r="J17" s="12">
        <v>0.74236111111111103</v>
      </c>
      <c r="K17" s="12">
        <v>0.72916666666666663</v>
      </c>
      <c r="L17" s="12">
        <v>0.97083333333333321</v>
      </c>
      <c r="M17" s="12">
        <v>0.95694444444444426</v>
      </c>
      <c r="N17" s="12">
        <v>0.96249999999999969</v>
      </c>
      <c r="O17" s="22">
        <v>0.87499999999999989</v>
      </c>
      <c r="P17" s="12">
        <v>0.62916666666666665</v>
      </c>
      <c r="Q17" s="363">
        <v>0.56597222222222221</v>
      </c>
    </row>
    <row r="18" spans="2:23" ht="22.8" customHeight="1">
      <c r="B18" s="553" t="s">
        <v>14</v>
      </c>
      <c r="C18" s="364" t="s">
        <v>160</v>
      </c>
      <c r="D18" s="365" t="s">
        <v>15</v>
      </c>
      <c r="E18" s="365" t="s">
        <v>15</v>
      </c>
      <c r="F18" s="365" t="s">
        <v>15</v>
      </c>
      <c r="G18" s="365" t="s">
        <v>15</v>
      </c>
      <c r="H18" s="365" t="s">
        <v>15</v>
      </c>
      <c r="I18" s="365" t="s">
        <v>15</v>
      </c>
      <c r="J18" s="365" t="s">
        <v>15</v>
      </c>
      <c r="K18" s="365" t="s">
        <v>15</v>
      </c>
      <c r="L18" s="365" t="s">
        <v>15</v>
      </c>
      <c r="M18" s="365" t="s">
        <v>15</v>
      </c>
      <c r="N18" s="365" t="s">
        <v>15</v>
      </c>
      <c r="O18" s="365" t="s">
        <v>15</v>
      </c>
      <c r="P18" s="365" t="s">
        <v>15</v>
      </c>
      <c r="Q18" s="366"/>
    </row>
    <row r="19" spans="2:23" ht="22.8" customHeight="1">
      <c r="B19" s="554"/>
      <c r="C19" s="364" t="s">
        <v>161</v>
      </c>
      <c r="D19" s="365" t="s">
        <v>15</v>
      </c>
      <c r="E19" s="365" t="s">
        <v>15</v>
      </c>
      <c r="F19" s="365" t="s">
        <v>15</v>
      </c>
      <c r="G19" s="365" t="s">
        <v>15</v>
      </c>
      <c r="H19" s="365" t="s">
        <v>15</v>
      </c>
      <c r="I19" s="365" t="s">
        <v>15</v>
      </c>
      <c r="J19" s="365" t="s">
        <v>15</v>
      </c>
      <c r="K19" s="365" t="s">
        <v>15</v>
      </c>
      <c r="L19" s="365" t="s">
        <v>15</v>
      </c>
      <c r="M19" s="365" t="s">
        <v>15</v>
      </c>
      <c r="N19" s="365" t="s">
        <v>15</v>
      </c>
      <c r="O19" s="365" t="s">
        <v>15</v>
      </c>
      <c r="P19" s="365" t="s">
        <v>15</v>
      </c>
      <c r="Q19" s="366"/>
    </row>
    <row r="20" spans="2:23" ht="22.8" customHeight="1">
      <c r="B20" s="553" t="s">
        <v>16</v>
      </c>
      <c r="C20" s="364" t="s">
        <v>160</v>
      </c>
      <c r="D20" s="365" t="s">
        <v>15</v>
      </c>
      <c r="E20" s="365">
        <v>2</v>
      </c>
      <c r="F20" s="365">
        <v>1</v>
      </c>
      <c r="G20" s="365">
        <v>1</v>
      </c>
      <c r="H20" s="365">
        <v>1</v>
      </c>
      <c r="I20" s="365" t="s">
        <v>15</v>
      </c>
      <c r="J20" s="365">
        <v>1</v>
      </c>
      <c r="K20" s="365">
        <v>1</v>
      </c>
      <c r="L20" s="365">
        <v>1</v>
      </c>
      <c r="M20" s="365">
        <v>1</v>
      </c>
      <c r="N20" s="365">
        <v>1</v>
      </c>
      <c r="O20" s="365" t="s">
        <v>15</v>
      </c>
      <c r="P20" s="365">
        <v>1</v>
      </c>
      <c r="Q20" s="366"/>
    </row>
    <row r="21" spans="2:23" ht="22.8" customHeight="1">
      <c r="B21" s="554"/>
      <c r="C21" s="364" t="s">
        <v>162</v>
      </c>
      <c r="D21" s="365">
        <v>2</v>
      </c>
      <c r="E21" s="365">
        <v>1</v>
      </c>
      <c r="F21" s="365" t="s">
        <v>15</v>
      </c>
      <c r="G21" s="365" t="s">
        <v>15</v>
      </c>
      <c r="H21" s="365" t="s">
        <v>15</v>
      </c>
      <c r="I21" s="365">
        <v>1</v>
      </c>
      <c r="J21" s="365" t="s">
        <v>15</v>
      </c>
      <c r="K21" s="365" t="s">
        <v>15</v>
      </c>
      <c r="L21" s="365">
        <v>1</v>
      </c>
      <c r="M21" s="365">
        <v>1</v>
      </c>
      <c r="N21" s="365" t="s">
        <v>15</v>
      </c>
      <c r="O21" s="365" t="s">
        <v>15</v>
      </c>
      <c r="P21" s="365">
        <v>1</v>
      </c>
      <c r="Q21" s="366"/>
    </row>
    <row r="22" spans="2:23" ht="22.8" customHeight="1">
      <c r="B22" s="532" t="s">
        <v>163</v>
      </c>
      <c r="C22" s="555"/>
      <c r="D22" s="367">
        <v>18.857142857142858</v>
      </c>
      <c r="E22" s="367">
        <v>16.857142857142858</v>
      </c>
      <c r="F22" s="367">
        <v>14.571428571428571</v>
      </c>
      <c r="G22" s="367">
        <v>6</v>
      </c>
      <c r="H22" s="367">
        <v>6.6</v>
      </c>
      <c r="I22" s="367">
        <v>17.714285714285715</v>
      </c>
      <c r="J22" s="367">
        <v>18.142857142857142</v>
      </c>
      <c r="K22" s="367">
        <v>17.75</v>
      </c>
      <c r="L22" s="367">
        <v>16.8</v>
      </c>
      <c r="M22" s="367">
        <v>18.666666666666668</v>
      </c>
      <c r="N22" s="367">
        <v>17.222222222222221</v>
      </c>
      <c r="O22" s="367">
        <v>9.5714285714285712</v>
      </c>
      <c r="P22" s="367">
        <v>13.833333333333334</v>
      </c>
      <c r="Q22" s="368">
        <v>12.666666666666666</v>
      </c>
    </row>
    <row r="23" spans="2:23" ht="22.8" customHeight="1">
      <c r="B23" s="532" t="s">
        <v>164</v>
      </c>
      <c r="C23" s="555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532" t="s">
        <v>165</v>
      </c>
      <c r="C24" s="555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534" t="s">
        <v>166</v>
      </c>
      <c r="C25" s="556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187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551"/>
      <c r="C27" s="552"/>
      <c r="D27" s="536" t="s">
        <v>167</v>
      </c>
      <c r="E27" s="537"/>
      <c r="F27" s="537"/>
      <c r="G27" s="537"/>
      <c r="H27" s="538"/>
      <c r="I27" s="539" t="s">
        <v>168</v>
      </c>
      <c r="J27" s="540"/>
      <c r="K27" s="540"/>
      <c r="L27" s="540"/>
      <c r="M27" s="541"/>
      <c r="N27" s="359"/>
      <c r="O27" s="359"/>
      <c r="P27" s="359"/>
      <c r="Q27" s="359"/>
    </row>
    <row r="28" spans="2:23" ht="17.25" customHeight="1">
      <c r="B28" s="542" t="s">
        <v>141</v>
      </c>
      <c r="C28" s="543"/>
      <c r="D28" s="369">
        <v>1</v>
      </c>
      <c r="E28" s="407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544"/>
      <c r="C29" s="545"/>
      <c r="D29" s="370" t="s">
        <v>26</v>
      </c>
      <c r="E29" s="371" t="s">
        <v>27</v>
      </c>
      <c r="F29" s="14" t="s">
        <v>28</v>
      </c>
      <c r="G29" s="14" t="s">
        <v>29</v>
      </c>
      <c r="H29" s="372" t="s">
        <v>30</v>
      </c>
      <c r="I29" s="370" t="s">
        <v>31</v>
      </c>
      <c r="J29" s="14" t="s">
        <v>27</v>
      </c>
      <c r="K29" s="14" t="s">
        <v>28</v>
      </c>
      <c r="L29" s="14" t="s">
        <v>29</v>
      </c>
      <c r="M29" s="372" t="s">
        <v>30</v>
      </c>
      <c r="N29" s="359"/>
      <c r="O29" s="359"/>
      <c r="P29" s="359"/>
      <c r="Q29" s="359"/>
    </row>
    <row r="30" spans="2:23" ht="39.9" customHeight="1">
      <c r="B30" s="546" t="s">
        <v>35</v>
      </c>
      <c r="C30" s="373" t="s">
        <v>155</v>
      </c>
      <c r="D30" s="20">
        <v>220</v>
      </c>
      <c r="E30" s="408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" customHeight="1">
      <c r="B31" s="547"/>
      <c r="C31" s="373" t="s">
        <v>156</v>
      </c>
      <c r="D31" s="375">
        <v>161.75267973856214</v>
      </c>
      <c r="E31" s="8">
        <v>820.47598162071756</v>
      </c>
      <c r="F31" s="8">
        <v>0</v>
      </c>
      <c r="G31" s="8">
        <v>912.18918017306464</v>
      </c>
      <c r="H31" s="376">
        <v>952.04545377205875</v>
      </c>
      <c r="I31" s="375">
        <v>0</v>
      </c>
      <c r="J31" s="8">
        <v>942.66666666667004</v>
      </c>
      <c r="K31" s="8">
        <v>622.55873015872942</v>
      </c>
      <c r="L31" s="8">
        <v>902.44333333333384</v>
      </c>
      <c r="M31" s="376">
        <v>871.94372294372101</v>
      </c>
      <c r="N31" s="359"/>
      <c r="O31" s="359"/>
      <c r="P31" s="359"/>
      <c r="Q31" s="359"/>
    </row>
    <row r="32" spans="2:23" ht="39.9" customHeight="1">
      <c r="B32" s="548"/>
      <c r="C32" s="406" t="s">
        <v>157</v>
      </c>
      <c r="D32" s="377">
        <f t="shared" ref="D32:M32" si="1">D31/D30</f>
        <v>0.73523945335710061</v>
      </c>
      <c r="E32" s="10">
        <f t="shared" si="1"/>
        <v>0.99451634135844558</v>
      </c>
      <c r="F32" s="10">
        <f t="shared" si="1"/>
        <v>0</v>
      </c>
      <c r="G32" s="10">
        <f t="shared" si="1"/>
        <v>1.0135435335256273</v>
      </c>
      <c r="H32" s="10">
        <f t="shared" si="1"/>
        <v>1.0578282819689542</v>
      </c>
      <c r="I32" s="375">
        <f t="shared" si="1"/>
        <v>0</v>
      </c>
      <c r="J32" s="10">
        <f t="shared" si="1"/>
        <v>1.1426262626262667</v>
      </c>
      <c r="K32" s="10">
        <f t="shared" si="1"/>
        <v>0.69173192239858827</v>
      </c>
      <c r="L32" s="10">
        <f t="shared" si="1"/>
        <v>1.0027148148148153</v>
      </c>
      <c r="M32" s="11">
        <f t="shared" si="1"/>
        <v>0.9688263588263567</v>
      </c>
      <c r="N32" s="359"/>
      <c r="O32" s="359"/>
      <c r="P32" s="359"/>
      <c r="Q32" s="359"/>
    </row>
    <row r="33" spans="2:17" ht="25.8" customHeight="1">
      <c r="B33" s="549" t="s">
        <v>158</v>
      </c>
      <c r="C33" s="406" t="s">
        <v>159</v>
      </c>
      <c r="D33" s="378">
        <v>0.17361111111111113</v>
      </c>
      <c r="E33" s="12">
        <v>0.18055555555555555</v>
      </c>
      <c r="F33" s="12">
        <v>0</v>
      </c>
      <c r="G33" s="12">
        <v>2843.0769230769156</v>
      </c>
      <c r="H33" s="363">
        <v>0.18055555555555555</v>
      </c>
      <c r="I33" s="378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0.72222222222222221</v>
      </c>
      <c r="N33" s="359"/>
      <c r="O33" s="359"/>
      <c r="P33" s="359"/>
      <c r="Q33" s="359"/>
    </row>
    <row r="34" spans="2:17" ht="25.8" customHeight="1">
      <c r="B34" s="550"/>
      <c r="C34" s="406" t="s">
        <v>36</v>
      </c>
      <c r="D34" s="378">
        <v>0.39583333333333331</v>
      </c>
      <c r="E34" s="12">
        <v>0.37708333333333338</v>
      </c>
      <c r="F34" s="12">
        <v>0</v>
      </c>
      <c r="G34" s="12">
        <v>1066.6666666666658</v>
      </c>
      <c r="H34" s="363">
        <v>0.47847222222222219</v>
      </c>
      <c r="I34" s="23">
        <v>0</v>
      </c>
      <c r="J34" s="12">
        <v>0.73263888888888884</v>
      </c>
      <c r="K34" s="12">
        <v>0.85416666666666663</v>
      </c>
      <c r="L34" s="12">
        <v>1.0416666666666667</v>
      </c>
      <c r="M34" s="13">
        <v>1.125</v>
      </c>
      <c r="N34" s="359"/>
      <c r="O34" s="359"/>
      <c r="P34" s="359"/>
      <c r="Q34" s="359"/>
    </row>
    <row r="35" spans="2:17" ht="25.8" customHeight="1">
      <c r="B35" s="532" t="s">
        <v>163</v>
      </c>
      <c r="C35" s="533"/>
      <c r="D35" s="379">
        <v>11</v>
      </c>
      <c r="E35" s="380">
        <v>3.5</v>
      </c>
      <c r="F35" s="380">
        <v>0</v>
      </c>
      <c r="G35" s="380">
        <v>3.5</v>
      </c>
      <c r="H35" s="381">
        <v>3.3333333333333335</v>
      </c>
      <c r="I35" s="382">
        <v>0</v>
      </c>
      <c r="J35" s="380">
        <v>3</v>
      </c>
      <c r="K35" s="380">
        <v>3.6666666666666665</v>
      </c>
      <c r="L35" s="380">
        <v>3.4</v>
      </c>
      <c r="M35" s="368">
        <v>3.4285714285714284</v>
      </c>
      <c r="N35" s="359"/>
      <c r="O35" s="359"/>
      <c r="P35" s="359"/>
      <c r="Q35" s="359"/>
    </row>
    <row r="36" spans="2:17" ht="25.8" customHeight="1">
      <c r="B36" s="532" t="s">
        <v>164</v>
      </c>
      <c r="C36" s="533"/>
      <c r="D36" s="38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8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59"/>
      <c r="O36" s="359"/>
      <c r="P36" s="359"/>
      <c r="Q36" s="359"/>
    </row>
    <row r="37" spans="2:17" ht="25.8" customHeight="1">
      <c r="B37" s="532" t="s">
        <v>165</v>
      </c>
      <c r="C37" s="533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8" customHeight="1" thickBot="1">
      <c r="B38" s="534" t="s">
        <v>166</v>
      </c>
      <c r="C38" s="535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179" priority="4" operator="lessThan">
      <formula>0.8</formula>
    </cfRule>
  </conditionalFormatting>
  <conditionalFormatting sqref="J32:L32">
    <cfRule type="cellIs" dxfId="178" priority="3" operator="lessThan">
      <formula>0.8</formula>
    </cfRule>
  </conditionalFormatting>
  <conditionalFormatting sqref="M32">
    <cfRule type="cellIs" dxfId="177" priority="2" operator="lessThan">
      <formula>0.8</formula>
    </cfRule>
  </conditionalFormatting>
  <conditionalFormatting sqref="H32">
    <cfRule type="cellIs" dxfId="17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H6" sqref="H6"/>
    </sheetView>
  </sheetViews>
  <sheetFormatPr defaultColWidth="7.88671875" defaultRowHeight="15.6"/>
  <cols>
    <col min="1" max="1" width="13.6640625" style="282" customWidth="1"/>
    <col min="2" max="2" width="12.77734375" style="282" customWidth="1"/>
    <col min="3" max="3" width="12.77734375" style="342" hidden="1" customWidth="1"/>
    <col min="4" max="5" width="18.33203125" style="282" customWidth="1"/>
    <col min="6" max="6" width="9.77734375" style="340" customWidth="1"/>
    <col min="7" max="7" width="21.109375" style="282" bestFit="1" customWidth="1"/>
    <col min="8" max="8" width="15.6640625" style="282" customWidth="1"/>
    <col min="9" max="9" width="12.21875" style="282" bestFit="1" customWidth="1"/>
    <col min="10" max="15" width="9.77734375" style="282" customWidth="1"/>
    <col min="16" max="16" width="9.77734375" style="341" customWidth="1"/>
    <col min="17" max="18" width="9.77734375" style="282" customWidth="1"/>
    <col min="19" max="16384" width="7.88671875" style="282"/>
  </cols>
  <sheetData>
    <row r="1" spans="1:18" ht="26.25" customHeight="1">
      <c r="A1" s="394" t="s">
        <v>214</v>
      </c>
      <c r="B1" s="395"/>
      <c r="C1" s="396"/>
      <c r="D1" s="276" t="s">
        <v>215</v>
      </c>
      <c r="E1" s="277">
        <f>SUM(G5:G124)</f>
        <v>86041</v>
      </c>
      <c r="F1" s="278" t="s">
        <v>3</v>
      </c>
      <c r="G1" s="279">
        <f>SUM(H5:H124)</f>
        <v>1599609.4945454546</v>
      </c>
      <c r="H1" s="280" t="s">
        <v>216</v>
      </c>
      <c r="I1" s="281">
        <f>+J16+J64+J24+J38+J51+J81+J100+J91+J57+J124+J111</f>
        <v>45.828571428571429</v>
      </c>
      <c r="J1" s="649" t="s">
        <v>217</v>
      </c>
      <c r="K1" s="650"/>
      <c r="L1" s="651"/>
      <c r="M1" s="649" t="s">
        <v>218</v>
      </c>
      <c r="N1" s="650"/>
      <c r="O1" s="650"/>
      <c r="P1" s="650"/>
      <c r="Q1" s="650"/>
      <c r="R1" s="651"/>
    </row>
    <row r="2" spans="1:18" ht="26.25" customHeight="1" thickBot="1">
      <c r="A2" s="655" t="s">
        <v>219</v>
      </c>
      <c r="B2" s="656"/>
      <c r="C2" s="283"/>
      <c r="D2" s="411" t="s">
        <v>220</v>
      </c>
      <c r="E2" s="284">
        <f>AVERAGE(L16,L24,L38,L51,L100,L111,L91)</f>
        <v>599.67304917648619</v>
      </c>
      <c r="F2" s="285" t="s">
        <v>40</v>
      </c>
      <c r="G2" s="286">
        <f>G1/E1</f>
        <v>18.591247132709459</v>
      </c>
      <c r="H2" s="287" t="s">
        <v>221</v>
      </c>
      <c r="I2" s="288">
        <f>COUNT(I5:I124)</f>
        <v>0</v>
      </c>
      <c r="J2" s="652"/>
      <c r="K2" s="653"/>
      <c r="L2" s="654"/>
      <c r="M2" s="652"/>
      <c r="N2" s="653"/>
      <c r="O2" s="653"/>
      <c r="P2" s="653"/>
      <c r="Q2" s="653"/>
      <c r="R2" s="654"/>
    </row>
    <row r="3" spans="1:18" ht="23.25" customHeight="1">
      <c r="A3" s="657" t="s">
        <v>222</v>
      </c>
      <c r="B3" s="659" t="s">
        <v>223</v>
      </c>
      <c r="C3" s="413"/>
      <c r="D3" s="660" t="s">
        <v>224</v>
      </c>
      <c r="E3" s="660"/>
      <c r="F3" s="661" t="s">
        <v>43</v>
      </c>
      <c r="G3" s="662" t="s">
        <v>225</v>
      </c>
      <c r="H3" s="663" t="s">
        <v>226</v>
      </c>
      <c r="I3" s="664" t="s">
        <v>227</v>
      </c>
      <c r="J3" s="637" t="s">
        <v>228</v>
      </c>
      <c r="K3" s="639" t="s">
        <v>229</v>
      </c>
      <c r="L3" s="641" t="s">
        <v>220</v>
      </c>
      <c r="M3" s="666" t="s">
        <v>48</v>
      </c>
      <c r="N3" s="666"/>
      <c r="O3" s="637" t="s">
        <v>101</v>
      </c>
      <c r="P3" s="667" t="s">
        <v>230</v>
      </c>
      <c r="Q3" s="637" t="s">
        <v>231</v>
      </c>
      <c r="R3" s="637"/>
    </row>
    <row r="4" spans="1:18" ht="15.75" customHeight="1">
      <c r="A4" s="658"/>
      <c r="B4" s="659"/>
      <c r="C4" s="413"/>
      <c r="D4" s="660"/>
      <c r="E4" s="660"/>
      <c r="F4" s="661"/>
      <c r="G4" s="662"/>
      <c r="H4" s="663"/>
      <c r="I4" s="665"/>
      <c r="J4" s="638"/>
      <c r="K4" s="640"/>
      <c r="L4" s="642"/>
      <c r="M4" s="416" t="s">
        <v>50</v>
      </c>
      <c r="N4" s="416" t="s">
        <v>51</v>
      </c>
      <c r="O4" s="638"/>
      <c r="P4" s="668"/>
      <c r="Q4" s="289" t="s">
        <v>232</v>
      </c>
      <c r="R4" s="289" t="s">
        <v>233</v>
      </c>
    </row>
    <row r="5" spans="1:18">
      <c r="A5" s="643" t="s">
        <v>234</v>
      </c>
      <c r="B5" s="397" t="s">
        <v>129</v>
      </c>
      <c r="C5" s="397"/>
      <c r="D5" s="306" t="s">
        <v>174</v>
      </c>
      <c r="E5" s="410"/>
      <c r="F5" s="398">
        <v>25.64</v>
      </c>
      <c r="G5" s="413">
        <v>827</v>
      </c>
      <c r="H5" s="291">
        <f>F5*G5</f>
        <v>21204.28</v>
      </c>
      <c r="I5" s="414"/>
      <c r="J5" s="292">
        <v>10</v>
      </c>
      <c r="K5" s="293">
        <f t="shared" ref="K5:K7" si="0">G5/P5*60</f>
        <v>1417.7142857142844</v>
      </c>
      <c r="L5" s="294">
        <f t="shared" ref="L5:L7" si="1">K5/J5</f>
        <v>141.77142857142843</v>
      </c>
      <c r="M5" s="295">
        <v>0.4375</v>
      </c>
      <c r="N5" s="295">
        <v>0.46180555555555558</v>
      </c>
      <c r="O5" s="289">
        <v>5</v>
      </c>
      <c r="P5" s="417">
        <f t="shared" ref="P5:P7" si="2">(N5-M5)*24*60</f>
        <v>35.000000000000036</v>
      </c>
      <c r="Q5" s="296"/>
      <c r="R5" s="296"/>
    </row>
    <row r="6" spans="1:18">
      <c r="A6" s="643"/>
      <c r="B6" s="397" t="s">
        <v>129</v>
      </c>
      <c r="C6" s="397"/>
      <c r="D6" s="306" t="s">
        <v>185</v>
      </c>
      <c r="E6" s="410"/>
      <c r="F6" s="398">
        <v>29.85</v>
      </c>
      <c r="G6" s="413">
        <v>2224</v>
      </c>
      <c r="H6" s="291">
        <f t="shared" ref="H6:H15" si="3">F6*G6</f>
        <v>66386.400000000009</v>
      </c>
      <c r="I6" s="414"/>
      <c r="J6" s="292">
        <v>12</v>
      </c>
      <c r="K6" s="293">
        <f t="shared" si="0"/>
        <v>1779.2000000000005</v>
      </c>
      <c r="L6" s="294">
        <f t="shared" si="1"/>
        <v>148.26666666666671</v>
      </c>
      <c r="M6" s="295">
        <v>0.46527777777777773</v>
      </c>
      <c r="N6" s="295">
        <v>0.51736111111111105</v>
      </c>
      <c r="O6" s="289">
        <v>5</v>
      </c>
      <c r="P6" s="417">
        <f t="shared" si="2"/>
        <v>74.999999999999972</v>
      </c>
      <c r="Q6" s="289"/>
      <c r="R6" s="289"/>
    </row>
    <row r="7" spans="1:18">
      <c r="A7" s="643"/>
      <c r="B7" s="397" t="s">
        <v>129</v>
      </c>
      <c r="C7" s="397"/>
      <c r="D7" s="306" t="s">
        <v>186</v>
      </c>
      <c r="E7" s="410"/>
      <c r="F7" s="398">
        <v>29.52</v>
      </c>
      <c r="G7" s="413">
        <v>2007</v>
      </c>
      <c r="H7" s="291">
        <f t="shared" si="3"/>
        <v>59246.64</v>
      </c>
      <c r="I7" s="414"/>
      <c r="J7" s="292">
        <v>12</v>
      </c>
      <c r="K7" s="293">
        <f t="shared" si="0"/>
        <v>1852.6153846153866</v>
      </c>
      <c r="L7" s="294">
        <f t="shared" si="1"/>
        <v>154.38461538461556</v>
      </c>
      <c r="M7" s="295">
        <v>0.52083333333333337</v>
      </c>
      <c r="N7" s="295">
        <v>0.56597222222222221</v>
      </c>
      <c r="O7" s="289">
        <v>5</v>
      </c>
      <c r="P7" s="417">
        <f t="shared" si="2"/>
        <v>64.999999999999929</v>
      </c>
      <c r="Q7" s="296"/>
      <c r="R7" s="296"/>
    </row>
    <row r="8" spans="1:18">
      <c r="A8" s="643"/>
      <c r="B8" s="397">
        <v>0</v>
      </c>
      <c r="C8" s="397"/>
      <c r="D8" s="306"/>
      <c r="E8" s="410"/>
      <c r="F8" s="398" t="s">
        <v>128</v>
      </c>
      <c r="G8" s="413"/>
      <c r="H8" s="291">
        <f t="shared" si="3"/>
        <v>0</v>
      </c>
      <c r="I8" s="414"/>
      <c r="J8" s="292"/>
      <c r="K8" s="293"/>
      <c r="L8" s="294"/>
      <c r="M8" s="295"/>
      <c r="N8" s="295"/>
      <c r="O8" s="289"/>
      <c r="P8" s="417"/>
      <c r="Q8" s="296"/>
      <c r="R8" s="296"/>
    </row>
    <row r="9" spans="1:18">
      <c r="A9" s="643"/>
      <c r="B9" s="397">
        <v>0</v>
      </c>
      <c r="C9" s="397"/>
      <c r="D9" s="306"/>
      <c r="E9" s="410"/>
      <c r="F9" s="398" t="s">
        <v>128</v>
      </c>
      <c r="G9" s="297"/>
      <c r="H9" s="291">
        <f t="shared" si="3"/>
        <v>0</v>
      </c>
      <c r="I9" s="414"/>
      <c r="J9" s="292"/>
      <c r="K9" s="293"/>
      <c r="L9" s="294"/>
      <c r="M9" s="295"/>
      <c r="N9" s="295"/>
      <c r="O9" s="289"/>
      <c r="P9" s="417"/>
      <c r="Q9" s="296"/>
      <c r="R9" s="296"/>
    </row>
    <row r="10" spans="1:18">
      <c r="A10" s="643"/>
      <c r="B10" s="397">
        <v>0</v>
      </c>
      <c r="C10" s="397"/>
      <c r="D10" s="306"/>
      <c r="E10" s="410"/>
      <c r="F10" s="398" t="s">
        <v>128</v>
      </c>
      <c r="G10" s="297"/>
      <c r="H10" s="291">
        <f t="shared" si="3"/>
        <v>0</v>
      </c>
      <c r="I10" s="414"/>
      <c r="J10" s="292"/>
      <c r="K10" s="293"/>
      <c r="L10" s="294"/>
      <c r="M10" s="295"/>
      <c r="N10" s="295"/>
      <c r="O10" s="289"/>
      <c r="P10" s="417"/>
      <c r="Q10" s="296"/>
      <c r="R10" s="296"/>
    </row>
    <row r="11" spans="1:18">
      <c r="A11" s="643"/>
      <c r="B11" s="397">
        <v>0</v>
      </c>
      <c r="C11" s="397"/>
      <c r="D11" s="306"/>
      <c r="E11" s="410"/>
      <c r="F11" s="398" t="s">
        <v>128</v>
      </c>
      <c r="G11" s="297"/>
      <c r="H11" s="291">
        <f t="shared" si="3"/>
        <v>0</v>
      </c>
      <c r="I11" s="414"/>
      <c r="J11" s="292"/>
      <c r="K11" s="293"/>
      <c r="L11" s="294"/>
      <c r="M11" s="295"/>
      <c r="N11" s="295"/>
      <c r="O11" s="289"/>
      <c r="P11" s="417"/>
      <c r="Q11" s="296"/>
      <c r="R11" s="296"/>
    </row>
    <row r="12" spans="1:18">
      <c r="A12" s="644"/>
      <c r="B12" s="397">
        <v>0</v>
      </c>
      <c r="C12" s="438"/>
      <c r="D12" s="306"/>
      <c r="E12" s="410"/>
      <c r="F12" s="398" t="s">
        <v>128</v>
      </c>
      <c r="G12" s="412"/>
      <c r="H12" s="291">
        <f t="shared" si="3"/>
        <v>0</v>
      </c>
      <c r="I12" s="414"/>
      <c r="J12" s="292"/>
      <c r="K12" s="293"/>
      <c r="L12" s="294"/>
      <c r="M12" s="295"/>
      <c r="N12" s="295"/>
      <c r="O12" s="289"/>
      <c r="P12" s="417"/>
      <c r="Q12" s="296"/>
      <c r="R12" s="289"/>
    </row>
    <row r="13" spans="1:18">
      <c r="A13" s="644"/>
      <c r="B13" s="397">
        <v>0</v>
      </c>
      <c r="C13" s="397"/>
      <c r="D13" s="306"/>
      <c r="E13" s="410"/>
      <c r="F13" s="398" t="s">
        <v>128</v>
      </c>
      <c r="G13" s="297"/>
      <c r="H13" s="291">
        <f t="shared" si="3"/>
        <v>0</v>
      </c>
      <c r="I13" s="414"/>
      <c r="J13" s="292"/>
      <c r="K13" s="293"/>
      <c r="L13" s="294"/>
      <c r="M13" s="295"/>
      <c r="N13" s="295"/>
      <c r="O13" s="289"/>
      <c r="P13" s="417"/>
      <c r="Q13" s="289"/>
      <c r="R13" s="289"/>
    </row>
    <row r="14" spans="1:18">
      <c r="A14" s="644"/>
      <c r="B14" s="397">
        <v>0</v>
      </c>
      <c r="C14" s="397"/>
      <c r="D14" s="409"/>
      <c r="E14" s="410"/>
      <c r="F14" s="398" t="s">
        <v>128</v>
      </c>
      <c r="G14" s="297"/>
      <c r="H14" s="291">
        <f t="shared" si="3"/>
        <v>0</v>
      </c>
      <c r="I14" s="414"/>
      <c r="J14" s="292"/>
      <c r="K14" s="293"/>
      <c r="L14" s="294"/>
      <c r="M14" s="295"/>
      <c r="N14" s="295"/>
      <c r="O14" s="289"/>
      <c r="P14" s="417"/>
      <c r="Q14" s="289"/>
      <c r="R14" s="289"/>
    </row>
    <row r="15" spans="1:18">
      <c r="A15" s="644"/>
      <c r="B15" s="397">
        <v>0</v>
      </c>
      <c r="C15" s="397"/>
      <c r="D15" s="399"/>
      <c r="E15" s="399"/>
      <c r="F15" s="398" t="s">
        <v>128</v>
      </c>
      <c r="G15" s="297"/>
      <c r="H15" s="291">
        <f t="shared" si="3"/>
        <v>0</v>
      </c>
      <c r="I15" s="414"/>
      <c r="J15" s="292"/>
      <c r="K15" s="293"/>
      <c r="L15" s="294"/>
      <c r="M15" s="295"/>
      <c r="N15" s="295"/>
      <c r="O15" s="289"/>
      <c r="P15" s="417"/>
      <c r="Q15" s="289"/>
      <c r="R15" s="289"/>
    </row>
    <row r="16" spans="1:18" ht="15.75" customHeight="1">
      <c r="A16" s="645"/>
      <c r="B16" s="397">
        <v>0</v>
      </c>
      <c r="C16" s="290" t="s">
        <v>235</v>
      </c>
      <c r="D16" s="628" t="s">
        <v>236</v>
      </c>
      <c r="E16" s="628"/>
      <c r="F16" s="298"/>
      <c r="G16" s="299"/>
      <c r="H16" s="300"/>
      <c r="I16" s="301"/>
      <c r="J16" s="302">
        <f>AVERAGE(J5:J15)</f>
        <v>11.333333333333334</v>
      </c>
      <c r="K16" s="302">
        <f>AVERAGE(K5:K15)</f>
        <v>1683.1765567765572</v>
      </c>
      <c r="L16" s="303">
        <f>AVERAGE(L5:L15)</f>
        <v>148.14090354090357</v>
      </c>
      <c r="M16" s="295"/>
      <c r="N16" s="295"/>
      <c r="O16" s="293"/>
      <c r="P16" s="293"/>
      <c r="Q16" s="294"/>
      <c r="R16" s="294"/>
    </row>
    <row r="17" spans="1:18" ht="15.75" customHeight="1">
      <c r="A17" s="646" t="s">
        <v>237</v>
      </c>
      <c r="B17" s="397">
        <v>0</v>
      </c>
      <c r="C17" s="438"/>
      <c r="D17" s="306" t="s">
        <v>183</v>
      </c>
      <c r="E17" s="306"/>
      <c r="F17" s="398" t="s">
        <v>128</v>
      </c>
      <c r="G17" s="413">
        <v>2224</v>
      </c>
      <c r="H17" s="304">
        <f t="shared" ref="H17:H23" si="4">F17*G17</f>
        <v>0</v>
      </c>
      <c r="I17" s="305"/>
      <c r="J17" s="292">
        <v>9</v>
      </c>
      <c r="K17" s="293">
        <f t="shared" ref="K17:K19" si="5">G17/P17*60</f>
        <v>1569.8823529411775</v>
      </c>
      <c r="L17" s="294">
        <f>K17/J17</f>
        <v>174.43137254901973</v>
      </c>
      <c r="M17" s="295">
        <v>0.17361111111111113</v>
      </c>
      <c r="N17" s="295">
        <v>0.23263888888888887</v>
      </c>
      <c r="O17" s="289">
        <v>10</v>
      </c>
      <c r="P17" s="417">
        <f>(N17-M17)*24*60</f>
        <v>84.999999999999943</v>
      </c>
      <c r="Q17" s="289"/>
      <c r="R17" s="289"/>
    </row>
    <row r="18" spans="1:18" ht="15.75" customHeight="1">
      <c r="A18" s="646"/>
      <c r="B18" s="397">
        <v>0</v>
      </c>
      <c r="C18" s="438"/>
      <c r="D18" s="306" t="s">
        <v>184</v>
      </c>
      <c r="E18" s="306"/>
      <c r="F18" s="398" t="s">
        <v>128</v>
      </c>
      <c r="G18" s="412">
        <v>2007</v>
      </c>
      <c r="H18" s="291">
        <f t="shared" si="4"/>
        <v>0</v>
      </c>
      <c r="I18" s="414"/>
      <c r="J18" s="292">
        <v>9</v>
      </c>
      <c r="K18" s="293">
        <f t="shared" si="5"/>
        <v>1605.5999999999997</v>
      </c>
      <c r="L18" s="294">
        <f t="shared" ref="L18:L19" si="6">K18/J18</f>
        <v>178.39999999999998</v>
      </c>
      <c r="M18" s="295">
        <v>0.23611111111111113</v>
      </c>
      <c r="N18" s="295">
        <v>0.28819444444444448</v>
      </c>
      <c r="O18" s="289">
        <v>5</v>
      </c>
      <c r="P18" s="417">
        <f t="shared" ref="P18:P19" si="7">(N18-M18)*24*60</f>
        <v>75.000000000000014</v>
      </c>
      <c r="Q18" s="296"/>
      <c r="R18" s="296"/>
    </row>
    <row r="19" spans="1:18" ht="15.75" customHeight="1">
      <c r="A19" s="646"/>
      <c r="B19" s="397" t="s">
        <v>129</v>
      </c>
      <c r="C19" s="438"/>
      <c r="D19" s="306" t="s">
        <v>238</v>
      </c>
      <c r="E19" s="306"/>
      <c r="F19" s="398">
        <v>19.63</v>
      </c>
      <c r="G19" s="412">
        <v>4966</v>
      </c>
      <c r="H19" s="291">
        <f t="shared" si="4"/>
        <v>97482.58</v>
      </c>
      <c r="I19" s="414"/>
      <c r="J19" s="292">
        <v>15</v>
      </c>
      <c r="K19" s="293">
        <f t="shared" si="5"/>
        <v>1986.4000000000005</v>
      </c>
      <c r="L19" s="294">
        <f t="shared" si="6"/>
        <v>132.4266666666667</v>
      </c>
      <c r="M19" s="295">
        <v>0.29166666666666669</v>
      </c>
      <c r="N19" s="295">
        <v>0.39583333333333331</v>
      </c>
      <c r="O19" s="289">
        <v>5</v>
      </c>
      <c r="P19" s="417">
        <f t="shared" si="7"/>
        <v>149.99999999999994</v>
      </c>
      <c r="Q19" s="296">
        <v>0.47569444444444442</v>
      </c>
      <c r="R19" s="296">
        <v>0.50347222222222221</v>
      </c>
    </row>
    <row r="20" spans="1:18" ht="15.75" customHeight="1">
      <c r="A20" s="647"/>
      <c r="B20" s="397">
        <v>0</v>
      </c>
      <c r="C20" s="438"/>
      <c r="D20" s="306"/>
      <c r="E20" s="306"/>
      <c r="F20" s="398" t="s">
        <v>128</v>
      </c>
      <c r="G20" s="412"/>
      <c r="H20" s="291">
        <f t="shared" si="4"/>
        <v>0</v>
      </c>
      <c r="I20" s="414"/>
      <c r="J20" s="292"/>
      <c r="K20" s="293"/>
      <c r="L20" s="294"/>
      <c r="M20" s="295"/>
      <c r="N20" s="295"/>
      <c r="O20" s="289"/>
      <c r="P20" s="417"/>
      <c r="Q20" s="296"/>
      <c r="R20" s="296"/>
    </row>
    <row r="21" spans="1:18" ht="15.75" customHeight="1">
      <c r="A21" s="647"/>
      <c r="B21" s="397">
        <v>0</v>
      </c>
      <c r="C21" s="438"/>
      <c r="D21" s="306"/>
      <c r="E21" s="306"/>
      <c r="F21" s="398" t="s">
        <v>128</v>
      </c>
      <c r="G21" s="412"/>
      <c r="H21" s="291">
        <f t="shared" si="4"/>
        <v>0</v>
      </c>
      <c r="I21" s="414"/>
      <c r="J21" s="292"/>
      <c r="K21" s="293"/>
      <c r="L21" s="294"/>
      <c r="M21" s="295"/>
      <c r="N21" s="295"/>
      <c r="O21" s="289"/>
      <c r="P21" s="417"/>
      <c r="Q21" s="296"/>
      <c r="R21" s="296"/>
    </row>
    <row r="22" spans="1:18" ht="15.75" customHeight="1">
      <c r="A22" s="647"/>
      <c r="B22" s="397">
        <v>0</v>
      </c>
      <c r="C22" s="438"/>
      <c r="D22" s="306"/>
      <c r="E22" s="410"/>
      <c r="F22" s="398" t="s">
        <v>128</v>
      </c>
      <c r="G22" s="412"/>
      <c r="H22" s="291">
        <f t="shared" si="4"/>
        <v>0</v>
      </c>
      <c r="I22" s="414"/>
      <c r="J22" s="292"/>
      <c r="K22" s="293"/>
      <c r="L22" s="294"/>
      <c r="M22" s="295"/>
      <c r="N22" s="295"/>
      <c r="O22" s="289"/>
      <c r="P22" s="417"/>
      <c r="Q22" s="289"/>
      <c r="R22" s="289"/>
    </row>
    <row r="23" spans="1:18" ht="15.75" customHeight="1">
      <c r="A23" s="647"/>
      <c r="B23" s="397">
        <v>0</v>
      </c>
      <c r="C23" s="438"/>
      <c r="D23" s="306"/>
      <c r="E23" s="410"/>
      <c r="F23" s="398" t="s">
        <v>128</v>
      </c>
      <c r="G23" s="412"/>
      <c r="H23" s="291">
        <f t="shared" si="4"/>
        <v>0</v>
      </c>
      <c r="I23" s="414"/>
      <c r="J23" s="292"/>
      <c r="K23" s="293"/>
      <c r="L23" s="294"/>
      <c r="M23" s="295"/>
      <c r="N23" s="295"/>
      <c r="O23" s="289"/>
      <c r="P23" s="417"/>
      <c r="Q23" s="289"/>
      <c r="R23" s="289"/>
    </row>
    <row r="24" spans="1:18" ht="17.399999999999999" customHeight="1">
      <c r="A24" s="648"/>
      <c r="B24" s="397">
        <v>0</v>
      </c>
      <c r="C24" s="6" t="s">
        <v>239</v>
      </c>
      <c r="D24" s="628" t="s">
        <v>236</v>
      </c>
      <c r="E24" s="628"/>
      <c r="F24" s="298"/>
      <c r="G24" s="307"/>
      <c r="H24" s="300"/>
      <c r="I24" s="301"/>
      <c r="J24" s="302">
        <f>AVERAGE(J17:J23)</f>
        <v>11</v>
      </c>
      <c r="K24" s="302">
        <f>AVERAGE(K17:K23)</f>
        <v>1720.6274509803925</v>
      </c>
      <c r="L24" s="303">
        <f>AVERAGE(L17:L23)</f>
        <v>161.75267973856214</v>
      </c>
      <c r="M24" s="295"/>
      <c r="N24" s="295"/>
      <c r="O24" s="289"/>
      <c r="P24" s="289"/>
      <c r="Q24" s="289"/>
      <c r="R24" s="289"/>
    </row>
    <row r="25" spans="1:18">
      <c r="A25" s="635" t="s">
        <v>240</v>
      </c>
      <c r="B25" s="397" t="s">
        <v>126</v>
      </c>
      <c r="C25" s="308"/>
      <c r="D25" s="310" t="s">
        <v>104</v>
      </c>
      <c r="E25" s="309"/>
      <c r="F25" s="398">
        <v>18.53</v>
      </c>
      <c r="G25" s="413">
        <v>1663</v>
      </c>
      <c r="H25" s="291">
        <f t="shared" ref="H25:H37" si="8">F25*G25</f>
        <v>30815.390000000003</v>
      </c>
      <c r="I25" s="414"/>
      <c r="J25" s="292">
        <v>3</v>
      </c>
      <c r="K25" s="293">
        <f t="shared" ref="K25:K28" si="9">G25/P25*60</f>
        <v>2771.6666666666642</v>
      </c>
      <c r="L25" s="294">
        <f t="shared" ref="L25:L28" si="10">K25/J25</f>
        <v>923.88888888888812</v>
      </c>
      <c r="M25" s="295">
        <v>0.18055555555555555</v>
      </c>
      <c r="N25" s="295">
        <v>0.20555555555555557</v>
      </c>
      <c r="O25" s="289">
        <v>20</v>
      </c>
      <c r="P25" s="417">
        <f t="shared" ref="P25:P28" si="11">(N25-M25)*24*60</f>
        <v>36.000000000000028</v>
      </c>
      <c r="Q25" s="296">
        <v>0.20486111111111113</v>
      </c>
      <c r="R25" s="296">
        <v>0.24652777777777779</v>
      </c>
    </row>
    <row r="26" spans="1:18">
      <c r="A26" s="635"/>
      <c r="B26" s="397" t="s">
        <v>126</v>
      </c>
      <c r="C26" s="308"/>
      <c r="D26" s="310" t="s">
        <v>241</v>
      </c>
      <c r="E26" s="311"/>
      <c r="F26" s="398">
        <v>15.03</v>
      </c>
      <c r="G26" s="413">
        <v>859</v>
      </c>
      <c r="H26" s="291">
        <f t="shared" si="8"/>
        <v>12910.769999999999</v>
      </c>
      <c r="I26" s="414"/>
      <c r="J26" s="292">
        <v>4</v>
      </c>
      <c r="K26" s="293">
        <f t="shared" si="9"/>
        <v>2712.6315789473661</v>
      </c>
      <c r="L26" s="294">
        <f t="shared" si="10"/>
        <v>678.15789473684151</v>
      </c>
      <c r="M26" s="295">
        <v>0.26458333333333334</v>
      </c>
      <c r="N26" s="295">
        <v>0.27777777777777779</v>
      </c>
      <c r="O26" s="289">
        <v>25</v>
      </c>
      <c r="P26" s="417">
        <f t="shared" si="11"/>
        <v>19.000000000000014</v>
      </c>
      <c r="Q26" s="296"/>
      <c r="R26" s="296"/>
    </row>
    <row r="27" spans="1:18">
      <c r="A27" s="635"/>
      <c r="B27" s="397" t="s">
        <v>126</v>
      </c>
      <c r="C27" s="308"/>
      <c r="D27" s="306" t="s">
        <v>102</v>
      </c>
      <c r="E27" s="311"/>
      <c r="F27" s="398">
        <v>18.18</v>
      </c>
      <c r="G27" s="413">
        <v>2931</v>
      </c>
      <c r="H27" s="291">
        <f t="shared" si="8"/>
        <v>53285.58</v>
      </c>
      <c r="I27" s="414"/>
      <c r="J27" s="292">
        <v>4</v>
      </c>
      <c r="K27" s="293">
        <f t="shared" si="9"/>
        <v>2791.4285714285706</v>
      </c>
      <c r="L27" s="294">
        <f t="shared" si="10"/>
        <v>697.85714285714266</v>
      </c>
      <c r="M27" s="295">
        <v>0.29166666666666669</v>
      </c>
      <c r="N27" s="295">
        <v>0.3354166666666667</v>
      </c>
      <c r="O27" s="289">
        <v>20</v>
      </c>
      <c r="P27" s="417">
        <f t="shared" si="11"/>
        <v>63.000000000000014</v>
      </c>
      <c r="Q27" s="296"/>
      <c r="R27" s="296"/>
    </row>
    <row r="28" spans="1:18">
      <c r="A28" s="635"/>
      <c r="B28" s="397" t="s">
        <v>126</v>
      </c>
      <c r="C28" s="438"/>
      <c r="D28" s="306" t="s">
        <v>242</v>
      </c>
      <c r="E28" s="311"/>
      <c r="F28" s="398">
        <v>24.93</v>
      </c>
      <c r="G28" s="413">
        <v>1964</v>
      </c>
      <c r="H28" s="291">
        <f t="shared" si="8"/>
        <v>48962.52</v>
      </c>
      <c r="I28" s="414"/>
      <c r="J28" s="292">
        <v>3</v>
      </c>
      <c r="K28" s="293">
        <f t="shared" si="9"/>
        <v>2945.9999999999927</v>
      </c>
      <c r="L28" s="294">
        <f t="shared" si="10"/>
        <v>981.99999999999761</v>
      </c>
      <c r="M28" s="295">
        <v>0.34930555555555554</v>
      </c>
      <c r="N28" s="295">
        <v>0.37708333333333338</v>
      </c>
      <c r="O28" s="289">
        <v>20</v>
      </c>
      <c r="P28" s="417">
        <f t="shared" si="11"/>
        <v>40.000000000000099</v>
      </c>
      <c r="Q28" s="296"/>
      <c r="R28" s="296"/>
    </row>
    <row r="29" spans="1:18">
      <c r="A29" s="635"/>
      <c r="B29" s="397">
        <v>0</v>
      </c>
      <c r="C29" s="413"/>
      <c r="D29" s="310"/>
      <c r="E29" s="311"/>
      <c r="F29" s="398" t="s">
        <v>128</v>
      </c>
      <c r="G29" s="413"/>
      <c r="H29" s="291">
        <f t="shared" si="8"/>
        <v>0</v>
      </c>
      <c r="I29" s="414"/>
      <c r="J29" s="292"/>
      <c r="K29" s="293"/>
      <c r="L29" s="294"/>
      <c r="M29" s="295"/>
      <c r="N29" s="295"/>
      <c r="O29" s="289"/>
      <c r="P29" s="417"/>
      <c r="Q29" s="296"/>
      <c r="R29" s="296"/>
    </row>
    <row r="30" spans="1:18">
      <c r="A30" s="635"/>
      <c r="B30" s="397">
        <v>0</v>
      </c>
      <c r="C30" s="413"/>
      <c r="D30" s="310"/>
      <c r="E30" s="311"/>
      <c r="F30" s="398" t="s">
        <v>128</v>
      </c>
      <c r="G30" s="413"/>
      <c r="H30" s="291">
        <f t="shared" si="8"/>
        <v>0</v>
      </c>
      <c r="I30" s="414"/>
      <c r="J30" s="292"/>
      <c r="K30" s="293"/>
      <c r="L30" s="294"/>
      <c r="M30" s="295"/>
      <c r="N30" s="295"/>
      <c r="O30" s="289"/>
      <c r="P30" s="417"/>
      <c r="Q30" s="296"/>
      <c r="R30" s="296"/>
    </row>
    <row r="31" spans="1:18" ht="15.75" customHeight="1">
      <c r="A31" s="635"/>
      <c r="B31" s="397">
        <v>0</v>
      </c>
      <c r="C31" s="438"/>
      <c r="D31" s="306"/>
      <c r="E31" s="311"/>
      <c r="F31" s="398" t="s">
        <v>128</v>
      </c>
      <c r="G31" s="413"/>
      <c r="H31" s="291">
        <f t="shared" si="8"/>
        <v>0</v>
      </c>
      <c r="I31" s="414"/>
      <c r="J31" s="292"/>
      <c r="K31" s="293"/>
      <c r="L31" s="294"/>
      <c r="M31" s="295"/>
      <c r="N31" s="295"/>
      <c r="O31" s="289"/>
      <c r="P31" s="417"/>
      <c r="Q31" s="296"/>
      <c r="R31" s="296"/>
    </row>
    <row r="32" spans="1:18">
      <c r="A32" s="635"/>
      <c r="B32" s="397">
        <v>0</v>
      </c>
      <c r="C32" s="438"/>
      <c r="D32" s="310"/>
      <c r="E32" s="410"/>
      <c r="F32" s="398" t="s">
        <v>128</v>
      </c>
      <c r="G32" s="413"/>
      <c r="H32" s="291">
        <f t="shared" si="8"/>
        <v>0</v>
      </c>
      <c r="I32" s="414"/>
      <c r="J32" s="292"/>
      <c r="K32" s="293"/>
      <c r="L32" s="294"/>
      <c r="M32" s="295"/>
      <c r="N32" s="295"/>
      <c r="O32" s="289"/>
      <c r="P32" s="417"/>
      <c r="Q32" s="296"/>
      <c r="R32" s="296"/>
    </row>
    <row r="33" spans="1:18">
      <c r="A33" s="635"/>
      <c r="B33" s="397">
        <v>0</v>
      </c>
      <c r="C33" s="413"/>
      <c r="D33" s="306"/>
      <c r="E33" s="311"/>
      <c r="F33" s="398" t="s">
        <v>128</v>
      </c>
      <c r="G33" s="413"/>
      <c r="H33" s="291">
        <f t="shared" si="8"/>
        <v>0</v>
      </c>
      <c r="I33" s="414"/>
      <c r="J33" s="292"/>
      <c r="K33" s="293"/>
      <c r="L33" s="294"/>
      <c r="M33" s="295"/>
      <c r="N33" s="295"/>
      <c r="O33" s="289"/>
      <c r="P33" s="417"/>
      <c r="Q33" s="296"/>
      <c r="R33" s="296"/>
    </row>
    <row r="34" spans="1:18">
      <c r="A34" s="635"/>
      <c r="B34" s="397">
        <v>0</v>
      </c>
      <c r="C34" s="308"/>
      <c r="D34" s="310"/>
      <c r="E34" s="311"/>
      <c r="F34" s="398" t="s">
        <v>128</v>
      </c>
      <c r="G34" s="312"/>
      <c r="H34" s="291">
        <f t="shared" si="8"/>
        <v>0</v>
      </c>
      <c r="I34" s="414"/>
      <c r="J34" s="292"/>
      <c r="K34" s="293"/>
      <c r="L34" s="294"/>
      <c r="M34" s="295"/>
      <c r="N34" s="295"/>
      <c r="O34" s="289"/>
      <c r="P34" s="417"/>
      <c r="Q34" s="296"/>
      <c r="R34" s="296"/>
    </row>
    <row r="35" spans="1:18">
      <c r="A35" s="635"/>
      <c r="B35" s="397">
        <v>0</v>
      </c>
      <c r="C35" s="308"/>
      <c r="D35" s="310"/>
      <c r="E35" s="311"/>
      <c r="F35" s="398" t="s">
        <v>128</v>
      </c>
      <c r="G35" s="312"/>
      <c r="H35" s="291">
        <f t="shared" si="8"/>
        <v>0</v>
      </c>
      <c r="I35" s="414"/>
      <c r="J35" s="292"/>
      <c r="K35" s="293"/>
      <c r="L35" s="294"/>
      <c r="M35" s="295"/>
      <c r="N35" s="295"/>
      <c r="O35" s="289"/>
      <c r="P35" s="417"/>
      <c r="Q35" s="296"/>
      <c r="R35" s="296"/>
    </row>
    <row r="36" spans="1:18">
      <c r="A36" s="635"/>
      <c r="B36" s="397">
        <v>0</v>
      </c>
      <c r="C36" s="308"/>
      <c r="D36" s="310"/>
      <c r="E36" s="310"/>
      <c r="F36" s="398" t="s">
        <v>128</v>
      </c>
      <c r="G36" s="312"/>
      <c r="H36" s="291">
        <f t="shared" si="8"/>
        <v>0</v>
      </c>
      <c r="I36" s="414"/>
      <c r="J36" s="292"/>
      <c r="K36" s="293"/>
      <c r="L36" s="294"/>
      <c r="M36" s="295"/>
      <c r="N36" s="295"/>
      <c r="O36" s="289"/>
      <c r="P36" s="417"/>
      <c r="Q36" s="296"/>
      <c r="R36" s="296"/>
    </row>
    <row r="37" spans="1:18">
      <c r="A37" s="635"/>
      <c r="B37" s="397">
        <v>0</v>
      </c>
      <c r="C37" s="308"/>
      <c r="D37" s="309"/>
      <c r="E37" s="309"/>
      <c r="F37" s="398" t="s">
        <v>128</v>
      </c>
      <c r="G37" s="312"/>
      <c r="H37" s="291">
        <f t="shared" si="8"/>
        <v>0</v>
      </c>
      <c r="I37" s="414"/>
      <c r="J37" s="292"/>
      <c r="K37" s="293"/>
      <c r="L37" s="294"/>
      <c r="M37" s="295"/>
      <c r="N37" s="295"/>
      <c r="O37" s="289"/>
      <c r="P37" s="417"/>
      <c r="Q37" s="296"/>
      <c r="R37" s="296"/>
    </row>
    <row r="38" spans="1:18" ht="17.399999999999999" customHeight="1">
      <c r="A38" s="636"/>
      <c r="B38" s="397">
        <v>0</v>
      </c>
      <c r="C38" s="6" t="s">
        <v>27</v>
      </c>
      <c r="D38" s="614" t="s">
        <v>103</v>
      </c>
      <c r="E38" s="614"/>
      <c r="F38" s="298"/>
      <c r="G38" s="313"/>
      <c r="H38" s="300"/>
      <c r="I38" s="301"/>
      <c r="J38" s="302">
        <f>AVERAGE(J25:J37)</f>
        <v>3.5</v>
      </c>
      <c r="K38" s="302">
        <f>AVERAGE(K25:K37)</f>
        <v>2805.4317042606485</v>
      </c>
      <c r="L38" s="303">
        <f>AVERAGE(L25:L37)</f>
        <v>820.47598162071756</v>
      </c>
      <c r="M38" s="295"/>
      <c r="N38" s="295"/>
      <c r="O38" s="293"/>
      <c r="P38" s="293"/>
      <c r="Q38" s="294"/>
      <c r="R38" s="294"/>
    </row>
    <row r="39" spans="1:18" ht="16.2" customHeight="1">
      <c r="A39" s="624" t="s">
        <v>243</v>
      </c>
      <c r="B39" s="397">
        <v>0</v>
      </c>
      <c r="C39" s="438"/>
      <c r="D39" s="310"/>
      <c r="E39" s="410"/>
      <c r="F39" s="398" t="s">
        <v>128</v>
      </c>
      <c r="G39" s="413"/>
      <c r="H39" s="291">
        <f t="shared" ref="H39:H47" si="12">F39*G39</f>
        <v>0</v>
      </c>
      <c r="I39" s="414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625"/>
      <c r="B40" s="397">
        <v>0</v>
      </c>
      <c r="C40" s="438"/>
      <c r="D40" s="310"/>
      <c r="E40" s="410"/>
      <c r="F40" s="398" t="s">
        <v>128</v>
      </c>
      <c r="G40" s="413"/>
      <c r="H40" s="291">
        <f t="shared" si="12"/>
        <v>0</v>
      </c>
      <c r="I40" s="414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625"/>
      <c r="B41" s="397">
        <v>0</v>
      </c>
      <c r="C41" s="438"/>
      <c r="D41" s="323"/>
      <c r="E41" s="410"/>
      <c r="F41" s="398" t="s">
        <v>128</v>
      </c>
      <c r="G41" s="413"/>
      <c r="H41" s="291">
        <f t="shared" si="12"/>
        <v>0</v>
      </c>
      <c r="I41" s="414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625"/>
      <c r="B42" s="397">
        <v>0</v>
      </c>
      <c r="C42" s="438"/>
      <c r="D42" s="323"/>
      <c r="E42" s="410"/>
      <c r="F42" s="398" t="s">
        <v>128</v>
      </c>
      <c r="G42" s="413"/>
      <c r="H42" s="291">
        <f t="shared" si="12"/>
        <v>0</v>
      </c>
      <c r="I42" s="414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625"/>
      <c r="B43" s="397">
        <v>0</v>
      </c>
      <c r="C43" s="438"/>
      <c r="D43" s="310"/>
      <c r="E43" s="410"/>
      <c r="F43" s="398" t="s">
        <v>128</v>
      </c>
      <c r="G43" s="413"/>
      <c r="H43" s="291">
        <f t="shared" si="12"/>
        <v>0</v>
      </c>
      <c r="I43" s="414"/>
      <c r="J43" s="292"/>
      <c r="K43" s="293"/>
      <c r="L43" s="294"/>
      <c r="M43" s="295"/>
      <c r="N43" s="295"/>
      <c r="O43" s="289"/>
      <c r="P43" s="417"/>
      <c r="Q43" s="296"/>
      <c r="R43" s="296"/>
    </row>
    <row r="44" spans="1:18">
      <c r="A44" s="625"/>
      <c r="B44" s="397">
        <v>0</v>
      </c>
      <c r="C44" s="438"/>
      <c r="D44" s="400"/>
      <c r="E44" s="315"/>
      <c r="F44" s="398" t="s">
        <v>128</v>
      </c>
      <c r="G44" s="316"/>
      <c r="H44" s="317">
        <f t="shared" si="12"/>
        <v>0</v>
      </c>
      <c r="I44" s="415"/>
      <c r="J44" s="292"/>
      <c r="K44" s="293"/>
      <c r="L44" s="294"/>
      <c r="M44" s="295"/>
      <c r="N44" s="295"/>
      <c r="O44" s="289"/>
      <c r="P44" s="417"/>
      <c r="Q44" s="296"/>
      <c r="R44" s="296"/>
    </row>
    <row r="45" spans="1:18">
      <c r="A45" s="625"/>
      <c r="B45" s="397">
        <v>0</v>
      </c>
      <c r="C45" s="438"/>
      <c r="D45" s="323"/>
      <c r="E45" s="311"/>
      <c r="F45" s="398" t="s">
        <v>128</v>
      </c>
      <c r="G45" s="413"/>
      <c r="H45" s="291">
        <f t="shared" si="12"/>
        <v>0</v>
      </c>
      <c r="I45" s="414"/>
      <c r="J45" s="292"/>
      <c r="K45" s="293"/>
      <c r="L45" s="294"/>
      <c r="M45" s="295"/>
      <c r="N45" s="295"/>
      <c r="O45" s="289"/>
      <c r="P45" s="417"/>
      <c r="Q45" s="296"/>
      <c r="R45" s="296"/>
    </row>
    <row r="46" spans="1:18">
      <c r="A46" s="625"/>
      <c r="B46" s="397">
        <v>0</v>
      </c>
      <c r="C46" s="438"/>
      <c r="D46" s="323"/>
      <c r="E46" s="315"/>
      <c r="F46" s="398" t="s">
        <v>128</v>
      </c>
      <c r="G46" s="316"/>
      <c r="H46" s="317">
        <f t="shared" si="12"/>
        <v>0</v>
      </c>
      <c r="I46" s="415"/>
      <c r="J46" s="292"/>
      <c r="K46" s="293"/>
      <c r="L46" s="294"/>
      <c r="M46" s="295"/>
      <c r="N46" s="295"/>
      <c r="O46" s="289"/>
      <c r="P46" s="417"/>
      <c r="Q46" s="296"/>
      <c r="R46" s="296"/>
    </row>
    <row r="47" spans="1:18">
      <c r="A47" s="625"/>
      <c r="B47" s="397">
        <v>0</v>
      </c>
      <c r="C47" s="438"/>
      <c r="D47" s="309"/>
      <c r="E47" s="311"/>
      <c r="F47" s="398" t="s">
        <v>128</v>
      </c>
      <c r="G47" s="413"/>
      <c r="H47" s="291">
        <f t="shared" si="12"/>
        <v>0</v>
      </c>
      <c r="I47" s="414"/>
      <c r="J47" s="292"/>
      <c r="K47" s="293"/>
      <c r="L47" s="294"/>
      <c r="M47" s="295"/>
      <c r="N47" s="295"/>
      <c r="O47" s="289"/>
      <c r="P47" s="417"/>
      <c r="Q47" s="296"/>
      <c r="R47" s="296"/>
    </row>
    <row r="48" spans="1:18">
      <c r="A48" s="626"/>
      <c r="B48" s="397">
        <v>0</v>
      </c>
      <c r="C48" s="413"/>
      <c r="D48" s="309"/>
      <c r="E48" s="401"/>
      <c r="F48" s="398" t="s">
        <v>128</v>
      </c>
      <c r="G48" s="413"/>
      <c r="H48" s="291"/>
      <c r="I48" s="414"/>
      <c r="J48" s="292"/>
      <c r="K48" s="293"/>
      <c r="L48" s="294"/>
      <c r="M48" s="295"/>
      <c r="N48" s="295"/>
      <c r="O48" s="289"/>
      <c r="P48" s="417"/>
      <c r="Q48" s="296"/>
      <c r="R48" s="296"/>
    </row>
    <row r="49" spans="1:18">
      <c r="A49" s="626"/>
      <c r="B49" s="397">
        <v>0</v>
      </c>
      <c r="C49" s="413"/>
      <c r="D49" s="310"/>
      <c r="E49" s="318"/>
      <c r="F49" s="398" t="s">
        <v>128</v>
      </c>
      <c r="G49" s="289"/>
      <c r="H49" s="317">
        <f>F49*G49</f>
        <v>0</v>
      </c>
      <c r="I49" s="417"/>
      <c r="J49" s="292"/>
      <c r="K49" s="293"/>
      <c r="L49" s="294"/>
      <c r="M49" s="295"/>
      <c r="N49" s="295"/>
      <c r="O49" s="289"/>
      <c r="P49" s="417"/>
      <c r="Q49" s="296"/>
      <c r="R49" s="296"/>
    </row>
    <row r="50" spans="1:18">
      <c r="A50" s="626"/>
      <c r="B50" s="397">
        <v>0</v>
      </c>
      <c r="C50" s="413"/>
      <c r="D50" s="309"/>
      <c r="E50" s="318"/>
      <c r="F50" s="398" t="s">
        <v>128</v>
      </c>
      <c r="G50" s="289"/>
      <c r="H50" s="317">
        <f>F50*G50</f>
        <v>0</v>
      </c>
      <c r="I50" s="417"/>
      <c r="J50" s="292"/>
      <c r="K50" s="293"/>
      <c r="L50" s="294"/>
      <c r="M50" s="295"/>
      <c r="N50" s="295"/>
      <c r="O50" s="289"/>
      <c r="P50" s="417"/>
      <c r="Q50" s="296"/>
      <c r="R50" s="296"/>
    </row>
    <row r="51" spans="1:18" ht="15.75" customHeight="1">
      <c r="A51" s="627"/>
      <c r="B51" s="397">
        <v>0</v>
      </c>
      <c r="C51" s="6" t="s">
        <v>28</v>
      </c>
      <c r="D51" s="628" t="s">
        <v>236</v>
      </c>
      <c r="E51" s="628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629" t="s">
        <v>244</v>
      </c>
      <c r="B52" s="397" t="s">
        <v>126</v>
      </c>
      <c r="C52" s="438"/>
      <c r="D52" s="309" t="s">
        <v>109</v>
      </c>
      <c r="E52" s="402"/>
      <c r="F52" s="398">
        <v>18.18</v>
      </c>
      <c r="G52" s="413">
        <v>960</v>
      </c>
      <c r="H52" s="291">
        <f>F52*G52</f>
        <v>17452.8</v>
      </c>
      <c r="I52" s="414"/>
      <c r="J52" s="292">
        <v>3</v>
      </c>
      <c r="K52" s="293">
        <f>G52/P52*60</f>
        <v>3199.9999999999977</v>
      </c>
      <c r="L52" s="294">
        <f>K52/J52</f>
        <v>1066.6666666666658</v>
      </c>
      <c r="M52" s="295">
        <v>0.30555555555555552</v>
      </c>
      <c r="N52" s="295">
        <v>0.31805555555555554</v>
      </c>
      <c r="O52" s="293">
        <v>20</v>
      </c>
      <c r="P52" s="417">
        <f>(N52-M52)*24*60</f>
        <v>18.000000000000014</v>
      </c>
      <c r="Q52" s="296"/>
      <c r="R52" s="296"/>
    </row>
    <row r="53" spans="1:18" ht="15.6" customHeight="1">
      <c r="A53" s="630"/>
      <c r="B53" s="397" t="s">
        <v>126</v>
      </c>
      <c r="C53" s="438"/>
      <c r="D53" s="309" t="s">
        <v>105</v>
      </c>
      <c r="E53" s="322"/>
      <c r="F53" s="398">
        <v>25.03</v>
      </c>
      <c r="G53" s="297">
        <v>639</v>
      </c>
      <c r="H53" s="291">
        <f t="shared" ref="H53:H116" si="13">F53*G53</f>
        <v>15994.17</v>
      </c>
      <c r="I53" s="414"/>
      <c r="J53" s="292">
        <v>4</v>
      </c>
      <c r="K53" s="293">
        <f t="shared" ref="K53:K59" si="14">G53/P53*60</f>
        <v>3195.0000000000114</v>
      </c>
      <c r="L53" s="294">
        <f t="shared" ref="L53:L59" si="15">K53/J53</f>
        <v>798.75000000000284</v>
      </c>
      <c r="M53" s="295">
        <v>0.33194444444444443</v>
      </c>
      <c r="N53" s="295">
        <v>0.34027777777777773</v>
      </c>
      <c r="O53" s="293">
        <v>20</v>
      </c>
      <c r="P53" s="417">
        <f t="shared" ref="P53:P59" si="16">(N53-M53)*24*60</f>
        <v>11.999999999999957</v>
      </c>
      <c r="Q53" s="296"/>
      <c r="R53" s="296"/>
    </row>
    <row r="54" spans="1:18" ht="15.6" customHeight="1">
      <c r="A54" s="630"/>
      <c r="B54" s="397" t="s">
        <v>126</v>
      </c>
      <c r="C54" s="438"/>
      <c r="D54" s="309" t="s">
        <v>106</v>
      </c>
      <c r="E54" s="410"/>
      <c r="F54" s="398">
        <v>24.82</v>
      </c>
      <c r="G54" s="297">
        <v>835</v>
      </c>
      <c r="H54" s="291">
        <f t="shared" si="13"/>
        <v>20724.7</v>
      </c>
      <c r="I54" s="414"/>
      <c r="J54" s="292">
        <v>4</v>
      </c>
      <c r="K54" s="293">
        <f t="shared" si="14"/>
        <v>3131.2499999999959</v>
      </c>
      <c r="L54" s="294">
        <f t="shared" si="15"/>
        <v>782.81249999999898</v>
      </c>
      <c r="M54" s="295">
        <v>0.35416666666666669</v>
      </c>
      <c r="N54" s="295">
        <v>0.36527777777777781</v>
      </c>
      <c r="O54" s="293">
        <v>20</v>
      </c>
      <c r="P54" s="417">
        <f t="shared" si="16"/>
        <v>16.000000000000021</v>
      </c>
      <c r="Q54" s="296"/>
      <c r="R54" s="296"/>
    </row>
    <row r="55" spans="1:18" ht="15.6" customHeight="1">
      <c r="A55" s="630"/>
      <c r="B55" s="397" t="s">
        <v>126</v>
      </c>
      <c r="C55" s="438"/>
      <c r="D55" s="310" t="s">
        <v>245</v>
      </c>
      <c r="E55" s="311"/>
      <c r="F55" s="398">
        <v>23.72</v>
      </c>
      <c r="G55" s="297">
        <v>616</v>
      </c>
      <c r="H55" s="291">
        <f t="shared" si="13"/>
        <v>14611.519999999999</v>
      </c>
      <c r="I55" s="414"/>
      <c r="J55" s="292">
        <v>4</v>
      </c>
      <c r="K55" s="293">
        <f t="shared" si="14"/>
        <v>2843.0769230769156</v>
      </c>
      <c r="L55" s="294">
        <f t="shared" si="15"/>
        <v>710.7692307692289</v>
      </c>
      <c r="M55" s="295">
        <v>0.37916666666666665</v>
      </c>
      <c r="N55" s="295">
        <v>0.38819444444444445</v>
      </c>
      <c r="O55" s="293">
        <v>20</v>
      </c>
      <c r="P55" s="417">
        <f t="shared" si="16"/>
        <v>13.000000000000034</v>
      </c>
      <c r="Q55" s="296"/>
      <c r="R55" s="296"/>
    </row>
    <row r="56" spans="1:18" ht="15.6" customHeight="1">
      <c r="A56" s="630"/>
      <c r="B56" s="397" t="s">
        <v>126</v>
      </c>
      <c r="C56" s="438"/>
      <c r="D56" s="309" t="s">
        <v>107</v>
      </c>
      <c r="E56" s="311"/>
      <c r="F56" s="398">
        <v>30</v>
      </c>
      <c r="G56" s="297">
        <v>1250</v>
      </c>
      <c r="H56" s="291">
        <f t="shared" si="13"/>
        <v>37500</v>
      </c>
      <c r="I56" s="414"/>
      <c r="J56" s="292">
        <v>4</v>
      </c>
      <c r="K56" s="293">
        <f t="shared" si="14"/>
        <v>3125.0000000000009</v>
      </c>
      <c r="L56" s="294">
        <f t="shared" si="15"/>
        <v>781.25000000000023</v>
      </c>
      <c r="M56" s="295">
        <v>0.44722222222222219</v>
      </c>
      <c r="N56" s="295">
        <v>0.46388888888888885</v>
      </c>
      <c r="O56" s="293">
        <v>25</v>
      </c>
      <c r="P56" s="417">
        <f t="shared" si="16"/>
        <v>23.999999999999993</v>
      </c>
      <c r="Q56" s="296">
        <v>0.38819444444444445</v>
      </c>
      <c r="R56" s="296">
        <v>0.42986111111111108</v>
      </c>
    </row>
    <row r="57" spans="1:18" ht="15.75" customHeight="1">
      <c r="A57" s="630"/>
      <c r="B57" s="397" t="s">
        <v>126</v>
      </c>
      <c r="C57" s="6" t="s">
        <v>31</v>
      </c>
      <c r="D57" s="323" t="s">
        <v>246</v>
      </c>
      <c r="E57" s="311"/>
      <c r="F57" s="398">
        <v>25.2</v>
      </c>
      <c r="G57" s="297">
        <v>637</v>
      </c>
      <c r="H57" s="291">
        <f t="shared" si="13"/>
        <v>16052.4</v>
      </c>
      <c r="I57" s="414"/>
      <c r="J57" s="292">
        <v>3</v>
      </c>
      <c r="K57" s="293">
        <f t="shared" si="14"/>
        <v>3185.0000000000114</v>
      </c>
      <c r="L57" s="294">
        <f t="shared" si="15"/>
        <v>1061.6666666666704</v>
      </c>
      <c r="M57" s="295">
        <v>0.4777777777777778</v>
      </c>
      <c r="N57" s="295">
        <v>0.4861111111111111</v>
      </c>
      <c r="O57" s="293">
        <v>20</v>
      </c>
      <c r="P57" s="417">
        <f t="shared" si="16"/>
        <v>11.999999999999957</v>
      </c>
      <c r="Q57" s="296"/>
      <c r="R57" s="296"/>
    </row>
    <row r="58" spans="1:18" ht="15.6" customHeight="1">
      <c r="A58" s="630"/>
      <c r="B58" s="397" t="s">
        <v>126</v>
      </c>
      <c r="C58" s="403"/>
      <c r="D58" s="323" t="s">
        <v>247</v>
      </c>
      <c r="E58" s="311"/>
      <c r="F58" s="398">
        <v>20.72</v>
      </c>
      <c r="G58" s="324">
        <v>1511</v>
      </c>
      <c r="H58" s="291">
        <f t="shared" si="13"/>
        <v>31307.919999999998</v>
      </c>
      <c r="I58" s="414"/>
      <c r="J58" s="292">
        <v>3</v>
      </c>
      <c r="K58" s="293">
        <f t="shared" si="14"/>
        <v>3126.2068965517356</v>
      </c>
      <c r="L58" s="294">
        <f t="shared" si="15"/>
        <v>1042.0689655172453</v>
      </c>
      <c r="M58" s="295">
        <v>0.5</v>
      </c>
      <c r="N58" s="295">
        <v>0.52013888888888882</v>
      </c>
      <c r="O58" s="293">
        <v>20</v>
      </c>
      <c r="P58" s="417">
        <f t="shared" si="16"/>
        <v>28.999999999999897</v>
      </c>
      <c r="Q58" s="296"/>
      <c r="R58" s="296"/>
    </row>
    <row r="59" spans="1:18" ht="15.6" customHeight="1">
      <c r="A59" s="630"/>
      <c r="B59" s="397" t="s">
        <v>126</v>
      </c>
      <c r="C59" s="438"/>
      <c r="D59" s="309" t="s">
        <v>248</v>
      </c>
      <c r="E59" s="311"/>
      <c r="F59" s="398">
        <v>17.07</v>
      </c>
      <c r="G59" s="297">
        <v>1791</v>
      </c>
      <c r="H59" s="291">
        <f t="shared" si="13"/>
        <v>30572.37</v>
      </c>
      <c r="I59" s="414"/>
      <c r="J59" s="292">
        <v>3</v>
      </c>
      <c r="K59" s="293">
        <f t="shared" si="14"/>
        <v>3160.5882352941135</v>
      </c>
      <c r="L59" s="294">
        <f t="shared" si="15"/>
        <v>1053.5294117647045</v>
      </c>
      <c r="M59" s="295">
        <v>0.53402777777777777</v>
      </c>
      <c r="N59" s="295">
        <v>0.55763888888888891</v>
      </c>
      <c r="O59" s="293">
        <v>20</v>
      </c>
      <c r="P59" s="417">
        <f t="shared" si="16"/>
        <v>34.000000000000043</v>
      </c>
      <c r="Q59" s="296"/>
      <c r="R59" s="296"/>
    </row>
    <row r="60" spans="1:18" ht="15.6" customHeight="1">
      <c r="A60" s="630"/>
      <c r="B60" s="397">
        <v>0</v>
      </c>
      <c r="C60" s="438"/>
      <c r="D60" s="309"/>
      <c r="E60" s="325"/>
      <c r="F60" s="398" t="s">
        <v>128</v>
      </c>
      <c r="G60" s="297"/>
      <c r="H60" s="291">
        <f t="shared" si="13"/>
        <v>0</v>
      </c>
      <c r="I60" s="414"/>
      <c r="J60" s="292"/>
      <c r="K60" s="293"/>
      <c r="L60" s="294"/>
      <c r="M60" s="295"/>
      <c r="N60" s="295"/>
      <c r="O60" s="293"/>
      <c r="P60" s="417"/>
      <c r="Q60" s="296"/>
      <c r="R60" s="296"/>
    </row>
    <row r="61" spans="1:18" ht="15.6" customHeight="1">
      <c r="A61" s="630"/>
      <c r="B61" s="397">
        <v>0</v>
      </c>
      <c r="C61" s="438"/>
      <c r="D61" s="310"/>
      <c r="E61" s="311"/>
      <c r="F61" s="398" t="s">
        <v>128</v>
      </c>
      <c r="G61" s="297"/>
      <c r="H61" s="291">
        <f t="shared" si="13"/>
        <v>0</v>
      </c>
      <c r="I61" s="414"/>
      <c r="J61" s="292"/>
      <c r="K61" s="293"/>
      <c r="L61" s="294"/>
      <c r="M61" s="295"/>
      <c r="N61" s="295"/>
      <c r="O61" s="293"/>
      <c r="P61" s="417"/>
      <c r="Q61" s="296"/>
      <c r="R61" s="296"/>
    </row>
    <row r="62" spans="1:18" ht="15.6" customHeight="1">
      <c r="A62" s="630"/>
      <c r="B62" s="397">
        <v>0</v>
      </c>
      <c r="C62" s="438"/>
      <c r="D62" s="309"/>
      <c r="E62" s="404"/>
      <c r="F62" s="398" t="s">
        <v>128</v>
      </c>
      <c r="G62" s="297"/>
      <c r="H62" s="291">
        <f t="shared" si="13"/>
        <v>0</v>
      </c>
      <c r="I62" s="414"/>
      <c r="J62" s="292"/>
      <c r="K62" s="293"/>
      <c r="L62" s="294"/>
      <c r="M62" s="295"/>
      <c r="N62" s="295"/>
      <c r="O62" s="293"/>
      <c r="P62" s="417"/>
      <c r="Q62" s="296"/>
      <c r="R62" s="296"/>
    </row>
    <row r="63" spans="1:18" ht="15.6" customHeight="1">
      <c r="A63" s="630"/>
      <c r="B63" s="397">
        <v>0</v>
      </c>
      <c r="C63" s="403"/>
      <c r="D63" s="405"/>
      <c r="E63" s="325"/>
      <c r="F63" s="398" t="s">
        <v>128</v>
      </c>
      <c r="G63" s="297"/>
      <c r="H63" s="291">
        <f t="shared" si="13"/>
        <v>0</v>
      </c>
      <c r="I63" s="415"/>
      <c r="J63" s="292"/>
      <c r="K63" s="293"/>
      <c r="L63" s="294"/>
      <c r="M63" s="295"/>
      <c r="N63" s="295"/>
      <c r="O63" s="289"/>
      <c r="P63" s="417"/>
      <c r="Q63" s="296"/>
      <c r="R63" s="296"/>
    </row>
    <row r="64" spans="1:18" ht="15.75" customHeight="1">
      <c r="A64" s="631"/>
      <c r="B64" s="397">
        <v>0</v>
      </c>
      <c r="C64" s="6" t="s">
        <v>249</v>
      </c>
      <c r="D64" s="628" t="s">
        <v>236</v>
      </c>
      <c r="E64" s="628"/>
      <c r="F64" s="298"/>
      <c r="G64" s="303"/>
      <c r="H64" s="319"/>
      <c r="I64" s="320"/>
      <c r="J64" s="302">
        <f>AVERAGE(J52:J63)</f>
        <v>3.5</v>
      </c>
      <c r="K64" s="302">
        <f>AVERAGE(K52:K63)</f>
        <v>3120.7652568653475</v>
      </c>
      <c r="L64" s="303">
        <f>AVERAGE(L52:L63)</f>
        <v>912.18918017306464</v>
      </c>
      <c r="M64" s="295"/>
      <c r="N64" s="295"/>
      <c r="O64" s="289"/>
      <c r="P64" s="289"/>
      <c r="Q64" s="289"/>
      <c r="R64" s="289"/>
    </row>
    <row r="65" spans="1:18" ht="15.6" customHeight="1">
      <c r="A65" s="632" t="s">
        <v>250</v>
      </c>
      <c r="B65" s="397" t="s">
        <v>126</v>
      </c>
      <c r="C65" s="438"/>
      <c r="D65" s="310" t="s">
        <v>251</v>
      </c>
      <c r="E65" s="402"/>
      <c r="F65" s="398">
        <v>22.281818181818181</v>
      </c>
      <c r="G65" s="413">
        <v>643</v>
      </c>
      <c r="H65" s="291">
        <f>F65*G65</f>
        <v>14327.209090909091</v>
      </c>
      <c r="I65" s="414"/>
      <c r="J65" s="292">
        <v>4</v>
      </c>
      <c r="K65" s="293">
        <f t="shared" ref="K65:K70" si="17">G65/P65*60</f>
        <v>2967.6923076923094</v>
      </c>
      <c r="L65" s="294">
        <f t="shared" ref="L65:L70" si="18">K65/J65</f>
        <v>741.92307692307736</v>
      </c>
      <c r="M65" s="295">
        <v>0.18055555555555555</v>
      </c>
      <c r="N65" s="295">
        <v>0.18958333333333333</v>
      </c>
      <c r="O65" s="293">
        <v>20</v>
      </c>
      <c r="P65" s="417">
        <f>(N65-M65)*24*60</f>
        <v>12.999999999999993</v>
      </c>
      <c r="Q65" s="296"/>
      <c r="R65" s="296"/>
    </row>
    <row r="66" spans="1:18" ht="15.6" customHeight="1">
      <c r="A66" s="633"/>
      <c r="B66" s="397" t="s">
        <v>126</v>
      </c>
      <c r="C66" s="438"/>
      <c r="D66" s="400" t="s">
        <v>108</v>
      </c>
      <c r="E66" s="322"/>
      <c r="F66" s="398">
        <v>14.03</v>
      </c>
      <c r="G66" s="297">
        <v>2859</v>
      </c>
      <c r="H66" s="291">
        <f t="shared" ref="H66:H74" si="19">F66*G66</f>
        <v>40111.769999999997</v>
      </c>
      <c r="I66" s="414"/>
      <c r="J66" s="292">
        <v>3</v>
      </c>
      <c r="K66" s="293">
        <f t="shared" si="17"/>
        <v>3176.6666666666638</v>
      </c>
      <c r="L66" s="294">
        <f t="shared" si="18"/>
        <v>1058.888888888888</v>
      </c>
      <c r="M66" s="295">
        <v>0.20347222222222219</v>
      </c>
      <c r="N66" s="295">
        <v>0.24097222222222223</v>
      </c>
      <c r="O66" s="293">
        <v>20</v>
      </c>
      <c r="P66" s="417">
        <f t="shared" ref="P66:P70" si="20">(N66-M66)*24*60</f>
        <v>54.00000000000005</v>
      </c>
      <c r="Q66" s="296"/>
      <c r="R66" s="296"/>
    </row>
    <row r="67" spans="1:18" ht="15.6" customHeight="1">
      <c r="A67" s="633"/>
      <c r="B67" s="397" t="s">
        <v>126</v>
      </c>
      <c r="C67" s="438"/>
      <c r="D67" s="310" t="s">
        <v>110</v>
      </c>
      <c r="E67" s="311"/>
      <c r="F67" s="398">
        <v>18.18</v>
      </c>
      <c r="G67" s="297">
        <v>1533</v>
      </c>
      <c r="H67" s="291">
        <f t="shared" si="19"/>
        <v>27869.94</v>
      </c>
      <c r="I67" s="414"/>
      <c r="J67" s="292">
        <v>3</v>
      </c>
      <c r="K67" s="293">
        <f t="shared" si="17"/>
        <v>3171.7241379310367</v>
      </c>
      <c r="L67" s="294">
        <f t="shared" si="18"/>
        <v>1057.2413793103456</v>
      </c>
      <c r="M67" s="295">
        <v>0.25486111111111109</v>
      </c>
      <c r="N67" s="295">
        <v>0.27499999999999997</v>
      </c>
      <c r="O67" s="293">
        <v>20</v>
      </c>
      <c r="P67" s="417">
        <f t="shared" si="20"/>
        <v>28.999999999999979</v>
      </c>
      <c r="Q67" s="296"/>
      <c r="R67" s="296"/>
    </row>
    <row r="68" spans="1:18" ht="15.6" customHeight="1">
      <c r="A68" s="633"/>
      <c r="B68" s="397" t="s">
        <v>126</v>
      </c>
      <c r="C68" s="438"/>
      <c r="D68" s="323" t="s">
        <v>252</v>
      </c>
      <c r="E68" s="311"/>
      <c r="F68" s="398">
        <v>17.890909090909091</v>
      </c>
      <c r="G68" s="297">
        <v>1609</v>
      </c>
      <c r="H68" s="291">
        <f t="shared" si="19"/>
        <v>28786.472727272729</v>
      </c>
      <c r="I68" s="414"/>
      <c r="J68" s="292">
        <v>3</v>
      </c>
      <c r="K68" s="293">
        <f t="shared" si="17"/>
        <v>3016.8750000000036</v>
      </c>
      <c r="L68" s="294">
        <f t="shared" si="18"/>
        <v>1005.6250000000013</v>
      </c>
      <c r="M68" s="295">
        <v>0.28819444444444448</v>
      </c>
      <c r="N68" s="295">
        <v>0.31041666666666667</v>
      </c>
      <c r="O68" s="293">
        <v>20</v>
      </c>
      <c r="P68" s="417">
        <f t="shared" si="20"/>
        <v>31.999999999999964</v>
      </c>
      <c r="Q68" s="296"/>
      <c r="R68" s="296"/>
    </row>
    <row r="69" spans="1:18" ht="15.6" customHeight="1">
      <c r="A69" s="633"/>
      <c r="B69" s="397" t="s">
        <v>126</v>
      </c>
      <c r="C69" s="438"/>
      <c r="D69" s="310" t="s">
        <v>253</v>
      </c>
      <c r="E69" s="311"/>
      <c r="F69" s="398">
        <v>16.66</v>
      </c>
      <c r="G69" s="297">
        <v>2832</v>
      </c>
      <c r="H69" s="291">
        <f t="shared" si="19"/>
        <v>47181.120000000003</v>
      </c>
      <c r="I69" s="414"/>
      <c r="J69" s="292">
        <v>4</v>
      </c>
      <c r="K69" s="293">
        <f t="shared" si="17"/>
        <v>3146.6666666666638</v>
      </c>
      <c r="L69" s="294">
        <f t="shared" si="18"/>
        <v>786.66666666666595</v>
      </c>
      <c r="M69" s="295">
        <v>0.36944444444444446</v>
      </c>
      <c r="N69" s="295">
        <v>0.4069444444444445</v>
      </c>
      <c r="O69" s="293">
        <v>25</v>
      </c>
      <c r="P69" s="417">
        <f t="shared" si="20"/>
        <v>54.00000000000005</v>
      </c>
      <c r="Q69" s="296">
        <v>0.31041666666666667</v>
      </c>
      <c r="R69" s="296">
        <v>0.3520833333333333</v>
      </c>
    </row>
    <row r="70" spans="1:18" ht="15.75" customHeight="1">
      <c r="A70" s="633"/>
      <c r="B70" s="397" t="s">
        <v>126</v>
      </c>
      <c r="C70" s="6" t="s">
        <v>31</v>
      </c>
      <c r="D70" s="323" t="s">
        <v>111</v>
      </c>
      <c r="E70" s="311"/>
      <c r="F70" s="398">
        <v>14.285714285714283</v>
      </c>
      <c r="G70" s="297">
        <v>4407</v>
      </c>
      <c r="H70" s="291">
        <f t="shared" si="19"/>
        <v>62957.142857142848</v>
      </c>
      <c r="I70" s="414"/>
      <c r="J70" s="292">
        <v>3</v>
      </c>
      <c r="K70" s="293">
        <f t="shared" si="17"/>
        <v>3185.7831325301227</v>
      </c>
      <c r="L70" s="294">
        <f t="shared" si="18"/>
        <v>1061.9277108433741</v>
      </c>
      <c r="M70" s="295">
        <v>0.42083333333333334</v>
      </c>
      <c r="N70" s="295">
        <v>0.47847222222222219</v>
      </c>
      <c r="O70" s="293">
        <v>20</v>
      </c>
      <c r="P70" s="417">
        <f t="shared" si="20"/>
        <v>82.999999999999943</v>
      </c>
      <c r="Q70" s="296"/>
      <c r="R70" s="296"/>
    </row>
    <row r="71" spans="1:18" ht="15.6" customHeight="1">
      <c r="A71" s="633"/>
      <c r="B71" s="397">
        <v>0</v>
      </c>
      <c r="C71" s="403"/>
      <c r="D71" s="310"/>
      <c r="E71" s="311"/>
      <c r="F71" s="398" t="s">
        <v>128</v>
      </c>
      <c r="G71" s="324"/>
      <c r="H71" s="291">
        <f t="shared" si="19"/>
        <v>0</v>
      </c>
      <c r="I71" s="414"/>
      <c r="J71" s="292"/>
      <c r="K71" s="293"/>
      <c r="L71" s="294"/>
      <c r="M71" s="295"/>
      <c r="N71" s="295"/>
      <c r="O71" s="293"/>
      <c r="P71" s="417"/>
      <c r="Q71" s="296"/>
      <c r="R71" s="296"/>
    </row>
    <row r="72" spans="1:18" ht="15.6" customHeight="1">
      <c r="A72" s="633"/>
      <c r="B72" s="397">
        <v>0</v>
      </c>
      <c r="C72" s="438"/>
      <c r="D72" s="323"/>
      <c r="E72" s="311"/>
      <c r="F72" s="398" t="s">
        <v>128</v>
      </c>
      <c r="G72" s="297"/>
      <c r="H72" s="291">
        <f t="shared" si="19"/>
        <v>0</v>
      </c>
      <c r="I72" s="414"/>
      <c r="J72" s="292"/>
      <c r="K72" s="293"/>
      <c r="L72" s="294"/>
      <c r="M72" s="295"/>
      <c r="N72" s="295"/>
      <c r="O72" s="293"/>
      <c r="P72" s="417"/>
      <c r="Q72" s="296"/>
      <c r="R72" s="296"/>
    </row>
    <row r="73" spans="1:18" ht="15.6" customHeight="1">
      <c r="A73" s="633"/>
      <c r="B73" s="397">
        <v>0</v>
      </c>
      <c r="C73" s="438"/>
      <c r="D73" s="323"/>
      <c r="E73" s="311"/>
      <c r="F73" s="398" t="s">
        <v>128</v>
      </c>
      <c r="G73" s="297"/>
      <c r="H73" s="291">
        <f t="shared" si="19"/>
        <v>0</v>
      </c>
      <c r="I73" s="414"/>
      <c r="J73" s="292"/>
      <c r="K73" s="293"/>
      <c r="L73" s="294"/>
      <c r="M73" s="295"/>
      <c r="N73" s="295"/>
      <c r="O73" s="293"/>
      <c r="P73" s="417"/>
      <c r="Q73" s="296"/>
      <c r="R73" s="296"/>
    </row>
    <row r="74" spans="1:18" ht="15.6" customHeight="1">
      <c r="A74" s="633"/>
      <c r="B74" s="397">
        <v>0</v>
      </c>
      <c r="C74" s="438"/>
      <c r="D74" s="323"/>
      <c r="E74" s="311"/>
      <c r="F74" s="398" t="s">
        <v>128</v>
      </c>
      <c r="G74" s="297"/>
      <c r="H74" s="291">
        <f t="shared" si="19"/>
        <v>0</v>
      </c>
      <c r="I74" s="414"/>
      <c r="J74" s="292"/>
      <c r="K74" s="293"/>
      <c r="L74" s="294"/>
      <c r="M74" s="295"/>
      <c r="N74" s="295"/>
      <c r="O74" s="293"/>
      <c r="P74" s="417"/>
      <c r="Q74" s="296"/>
      <c r="R74" s="296"/>
    </row>
    <row r="75" spans="1:18" ht="15.75" customHeight="1">
      <c r="A75" s="634"/>
      <c r="B75" s="397">
        <v>0</v>
      </c>
      <c r="C75" s="6" t="s">
        <v>254</v>
      </c>
      <c r="D75" s="628" t="s">
        <v>236</v>
      </c>
      <c r="E75" s="628"/>
      <c r="F75" s="298"/>
      <c r="G75" s="303"/>
      <c r="H75" s="319"/>
      <c r="I75" s="320"/>
      <c r="J75" s="302">
        <f>AVERAGE(J65:J74)</f>
        <v>3.3333333333333335</v>
      </c>
      <c r="K75" s="302">
        <f>AVERAGE(K65:K74)</f>
        <v>3110.9013185811332</v>
      </c>
      <c r="L75" s="303">
        <f>AVERAGE(L65:L74)</f>
        <v>952.04545377205875</v>
      </c>
      <c r="M75" s="295"/>
      <c r="N75" s="295"/>
      <c r="O75" s="289"/>
      <c r="P75" s="289"/>
      <c r="Q75" s="289"/>
      <c r="R75" s="289"/>
    </row>
    <row r="76" spans="1:18" ht="16.2" customHeight="1">
      <c r="A76" s="618" t="s">
        <v>112</v>
      </c>
      <c r="B76" s="397">
        <v>0</v>
      </c>
      <c r="C76" s="290"/>
      <c r="D76" s="619"/>
      <c r="E76" s="620"/>
      <c r="F76" s="398" t="s">
        <v>128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417"/>
      <c r="Q76" s="296"/>
      <c r="R76" s="296"/>
    </row>
    <row r="77" spans="1:18">
      <c r="A77" s="618"/>
      <c r="B77" s="397">
        <v>0</v>
      </c>
      <c r="C77" s="290"/>
      <c r="D77" s="619"/>
      <c r="E77" s="620"/>
      <c r="F77" s="398" t="s">
        <v>128</v>
      </c>
      <c r="G77" s="413"/>
      <c r="H77" s="291">
        <f t="shared" si="13"/>
        <v>0</v>
      </c>
      <c r="I77" s="414"/>
      <c r="J77" s="292"/>
      <c r="K77" s="293"/>
      <c r="L77" s="294"/>
      <c r="M77" s="295"/>
      <c r="N77" s="295"/>
      <c r="O77" s="289"/>
      <c r="P77" s="417"/>
      <c r="Q77" s="289"/>
      <c r="R77" s="289"/>
    </row>
    <row r="78" spans="1:18">
      <c r="A78" s="618"/>
      <c r="B78" s="397">
        <v>0</v>
      </c>
      <c r="C78" s="290"/>
      <c r="D78" s="418"/>
      <c r="E78" s="418"/>
      <c r="F78" s="398" t="s">
        <v>128</v>
      </c>
      <c r="G78" s="312"/>
      <c r="H78" s="291">
        <f t="shared" si="13"/>
        <v>0</v>
      </c>
      <c r="I78" s="414"/>
      <c r="J78" s="292"/>
      <c r="K78" s="293"/>
      <c r="L78" s="294"/>
      <c r="M78" s="295"/>
      <c r="N78" s="295"/>
      <c r="O78" s="289"/>
      <c r="P78" s="417"/>
      <c r="Q78" s="289"/>
      <c r="R78" s="289"/>
    </row>
    <row r="79" spans="1:18">
      <c r="A79" s="618"/>
      <c r="B79" s="397">
        <v>0</v>
      </c>
      <c r="C79" s="290"/>
      <c r="D79" s="418"/>
      <c r="E79" s="418"/>
      <c r="F79" s="398" t="s">
        <v>128</v>
      </c>
      <c r="G79" s="312"/>
      <c r="H79" s="291">
        <f t="shared" si="13"/>
        <v>0</v>
      </c>
      <c r="I79" s="414"/>
      <c r="J79" s="292"/>
      <c r="K79" s="293"/>
      <c r="L79" s="294"/>
      <c r="M79" s="295"/>
      <c r="N79" s="295"/>
      <c r="O79" s="289"/>
      <c r="P79" s="417"/>
      <c r="Q79" s="289"/>
      <c r="R79" s="289"/>
    </row>
    <row r="80" spans="1:18">
      <c r="A80" s="618"/>
      <c r="B80" s="397">
        <v>0</v>
      </c>
      <c r="C80" s="290"/>
      <c r="D80" s="418"/>
      <c r="E80" s="418"/>
      <c r="F80" s="398" t="s">
        <v>128</v>
      </c>
      <c r="G80" s="312"/>
      <c r="H80" s="291">
        <f t="shared" si="13"/>
        <v>0</v>
      </c>
      <c r="I80" s="414"/>
      <c r="J80" s="292"/>
      <c r="K80" s="293"/>
      <c r="L80" s="294"/>
      <c r="M80" s="295"/>
      <c r="N80" s="295"/>
      <c r="O80" s="289"/>
      <c r="P80" s="417"/>
      <c r="Q80" s="289"/>
      <c r="R80" s="289"/>
    </row>
    <row r="81" spans="1:18" ht="15.75" customHeight="1">
      <c r="A81" s="618"/>
      <c r="B81" s="397">
        <v>0</v>
      </c>
      <c r="C81" s="6" t="s">
        <v>31</v>
      </c>
      <c r="D81" s="614" t="s">
        <v>236</v>
      </c>
      <c r="E81" s="614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621" t="s">
        <v>255</v>
      </c>
      <c r="B82" s="397" t="s">
        <v>126</v>
      </c>
      <c r="C82" s="308"/>
      <c r="D82" s="309" t="s">
        <v>256</v>
      </c>
      <c r="E82" s="328"/>
      <c r="F82" s="398">
        <v>17.22</v>
      </c>
      <c r="G82" s="312">
        <v>707</v>
      </c>
      <c r="H82" s="329">
        <f t="shared" ref="H82:H90" si="21">F82*G82</f>
        <v>12174.539999999999</v>
      </c>
      <c r="I82" s="414"/>
      <c r="J82" s="292">
        <v>3</v>
      </c>
      <c r="K82" s="293">
        <f t="shared" ref="K82" si="22">G82/P82*60</f>
        <v>2828.00000000001</v>
      </c>
      <c r="L82" s="294">
        <f t="shared" ref="L82" si="23">K82/J82</f>
        <v>942.66666666667004</v>
      </c>
      <c r="M82" s="295">
        <v>0.72222222222222221</v>
      </c>
      <c r="N82" s="295">
        <v>0.73263888888888884</v>
      </c>
      <c r="O82" s="293">
        <v>20</v>
      </c>
      <c r="P82" s="417">
        <f t="shared" ref="P82" si="24">(N82-M82)*24*60</f>
        <v>14.999999999999947</v>
      </c>
      <c r="Q82" s="296"/>
      <c r="R82" s="296"/>
    </row>
    <row r="83" spans="1:18">
      <c r="A83" s="622"/>
      <c r="B83" s="397">
        <v>0</v>
      </c>
      <c r="C83" s="308"/>
      <c r="D83" s="323"/>
      <c r="E83" s="328"/>
      <c r="F83" s="398" t="s">
        <v>128</v>
      </c>
      <c r="G83" s="312"/>
      <c r="H83" s="329">
        <f t="shared" si="21"/>
        <v>0</v>
      </c>
      <c r="I83" s="414"/>
      <c r="J83" s="292"/>
      <c r="K83" s="293"/>
      <c r="L83" s="294"/>
      <c r="M83" s="295"/>
      <c r="N83" s="295"/>
      <c r="O83" s="293"/>
      <c r="P83" s="417"/>
      <c r="Q83" s="296"/>
      <c r="R83" s="296"/>
    </row>
    <row r="84" spans="1:18">
      <c r="A84" s="622"/>
      <c r="B84" s="397">
        <v>0</v>
      </c>
      <c r="C84" s="308"/>
      <c r="D84" s="309"/>
      <c r="E84" s="328"/>
      <c r="F84" s="398" t="s">
        <v>128</v>
      </c>
      <c r="G84" s="312"/>
      <c r="H84" s="329">
        <f t="shared" si="21"/>
        <v>0</v>
      </c>
      <c r="I84" s="414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622"/>
      <c r="B85" s="397">
        <v>0</v>
      </c>
      <c r="C85" s="308"/>
      <c r="D85" s="309"/>
      <c r="E85" s="328"/>
      <c r="F85" s="398" t="s">
        <v>128</v>
      </c>
      <c r="G85" s="312"/>
      <c r="H85" s="330">
        <f t="shared" si="21"/>
        <v>0</v>
      </c>
      <c r="I85" s="414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622"/>
      <c r="B86" s="397">
        <v>0</v>
      </c>
      <c r="C86" s="308"/>
      <c r="D86" s="309"/>
      <c r="E86" s="328"/>
      <c r="F86" s="398" t="s">
        <v>128</v>
      </c>
      <c r="G86" s="413"/>
      <c r="H86" s="330">
        <f t="shared" si="21"/>
        <v>0</v>
      </c>
      <c r="I86" s="414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622"/>
      <c r="B87" s="397"/>
      <c r="C87" s="308"/>
      <c r="D87" s="309"/>
      <c r="E87" s="328"/>
      <c r="F87" s="398" t="s">
        <v>128</v>
      </c>
      <c r="G87" s="413"/>
      <c r="H87" s="330">
        <f t="shared" si="21"/>
        <v>0</v>
      </c>
      <c r="I87" s="414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622"/>
      <c r="B88" s="397">
        <v>0</v>
      </c>
      <c r="C88" s="308"/>
      <c r="D88" s="309"/>
      <c r="E88" s="328"/>
      <c r="F88" s="398" t="s">
        <v>128</v>
      </c>
      <c r="G88" s="413"/>
      <c r="H88" s="330">
        <f t="shared" si="21"/>
        <v>0</v>
      </c>
      <c r="I88" s="414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622"/>
      <c r="B89" s="397">
        <v>0</v>
      </c>
      <c r="C89" s="308"/>
      <c r="D89" s="309"/>
      <c r="E89" s="328"/>
      <c r="F89" s="398" t="s">
        <v>128</v>
      </c>
      <c r="G89" s="413"/>
      <c r="H89" s="330">
        <f t="shared" si="21"/>
        <v>0</v>
      </c>
      <c r="I89" s="414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622"/>
      <c r="B90" s="397">
        <v>0</v>
      </c>
      <c r="C90" s="308"/>
      <c r="D90" s="309"/>
      <c r="E90" s="328"/>
      <c r="F90" s="398" t="s">
        <v>128</v>
      </c>
      <c r="G90" s="413"/>
      <c r="H90" s="330">
        <f t="shared" si="21"/>
        <v>0</v>
      </c>
      <c r="I90" s="414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399999999999999" customHeight="1">
      <c r="A91" s="622"/>
      <c r="B91" s="397">
        <v>0</v>
      </c>
      <c r="C91" s="6" t="s">
        <v>240</v>
      </c>
      <c r="D91" s="623" t="s">
        <v>236</v>
      </c>
      <c r="E91" s="623"/>
      <c r="F91" s="298"/>
      <c r="G91" s="332"/>
      <c r="H91" s="333"/>
      <c r="I91" s="301"/>
      <c r="J91" s="302">
        <f>AVERAGE(J82:J90)</f>
        <v>3</v>
      </c>
      <c r="K91" s="302">
        <f>AVERAGE(K82:K90)</f>
        <v>2828.00000000001</v>
      </c>
      <c r="L91" s="303">
        <f>AVERAGE(L82:L90)</f>
        <v>942.66666666667004</v>
      </c>
      <c r="M91" s="295"/>
      <c r="N91" s="295"/>
      <c r="O91" s="293"/>
      <c r="P91" s="293"/>
      <c r="Q91" s="294"/>
      <c r="R91" s="294"/>
    </row>
    <row r="92" spans="1:18" ht="16.2" customHeight="1">
      <c r="A92" s="608" t="s">
        <v>257</v>
      </c>
      <c r="B92" s="397" t="s">
        <v>126</v>
      </c>
      <c r="C92" s="290"/>
      <c r="D92" s="334" t="s">
        <v>258</v>
      </c>
      <c r="E92" s="328"/>
      <c r="F92" s="398">
        <v>24.54</v>
      </c>
      <c r="G92" s="413">
        <v>1388</v>
      </c>
      <c r="H92" s="291">
        <f t="shared" ref="H92:H99" si="25">F92*G92</f>
        <v>34061.519999999997</v>
      </c>
      <c r="I92" s="414"/>
      <c r="J92" s="292">
        <v>3</v>
      </c>
      <c r="K92" s="293">
        <f>G92/P92*60</f>
        <v>2379.4285714285688</v>
      </c>
      <c r="L92" s="294">
        <f t="shared" ref="L92:L94" si="26">K92/J92</f>
        <v>793.14285714285631</v>
      </c>
      <c r="M92" s="295">
        <v>0.72222222222222221</v>
      </c>
      <c r="N92" s="295">
        <v>0.74652777777777779</v>
      </c>
      <c r="O92" s="289">
        <v>20</v>
      </c>
      <c r="P92" s="417">
        <f>(N92-M92)*24*60</f>
        <v>35.000000000000036</v>
      </c>
      <c r="Q92" s="296"/>
      <c r="R92" s="296"/>
    </row>
    <row r="93" spans="1:18">
      <c r="A93" s="609"/>
      <c r="B93" s="397" t="s">
        <v>126</v>
      </c>
      <c r="C93" s="290"/>
      <c r="D93" s="309" t="s">
        <v>259</v>
      </c>
      <c r="E93" s="325"/>
      <c r="F93" s="398">
        <v>23.27</v>
      </c>
      <c r="G93" s="297">
        <v>892</v>
      </c>
      <c r="H93" s="291">
        <f t="shared" si="25"/>
        <v>20756.84</v>
      </c>
      <c r="I93" s="414"/>
      <c r="J93" s="292">
        <v>4</v>
      </c>
      <c r="K93" s="293">
        <f t="shared" ref="K93:K94" si="27">G93/P93*60</f>
        <v>2140.7999999999938</v>
      </c>
      <c r="L93" s="294">
        <f t="shared" si="26"/>
        <v>535.19999999999845</v>
      </c>
      <c r="M93" s="295">
        <v>0.76041666666666663</v>
      </c>
      <c r="N93" s="295">
        <v>0.77777777777777779</v>
      </c>
      <c r="O93" s="289">
        <v>20</v>
      </c>
      <c r="P93" s="417">
        <f>(N93-M93)*24*60</f>
        <v>25.000000000000071</v>
      </c>
      <c r="Q93" s="296"/>
      <c r="R93" s="296"/>
    </row>
    <row r="94" spans="1:18">
      <c r="A94" s="609"/>
      <c r="B94" s="397" t="s">
        <v>126</v>
      </c>
      <c r="C94" s="290"/>
      <c r="D94" s="309" t="s">
        <v>260</v>
      </c>
      <c r="E94" s="325"/>
      <c r="F94" s="398">
        <v>24.33</v>
      </c>
      <c r="G94" s="297">
        <v>3236</v>
      </c>
      <c r="H94" s="291">
        <f t="shared" si="25"/>
        <v>78731.87999999999</v>
      </c>
      <c r="I94" s="414"/>
      <c r="J94" s="292">
        <v>4</v>
      </c>
      <c r="K94" s="293">
        <f t="shared" si="27"/>
        <v>2157.3333333333335</v>
      </c>
      <c r="L94" s="294">
        <f t="shared" si="26"/>
        <v>539.33333333333337</v>
      </c>
      <c r="M94" s="295">
        <v>0.79166666666666663</v>
      </c>
      <c r="N94" s="295">
        <v>0.85416666666666663</v>
      </c>
      <c r="O94" s="289">
        <v>20</v>
      </c>
      <c r="P94" s="417">
        <f>(N94-M94)*24*60</f>
        <v>90</v>
      </c>
      <c r="Q94" s="296"/>
      <c r="R94" s="296"/>
    </row>
    <row r="95" spans="1:18">
      <c r="A95" s="610"/>
      <c r="B95" s="397">
        <v>0</v>
      </c>
      <c r="C95" s="290"/>
      <c r="D95" s="309"/>
      <c r="E95" s="325"/>
      <c r="F95" s="398" t="s">
        <v>128</v>
      </c>
      <c r="G95" s="297"/>
      <c r="H95" s="291">
        <f t="shared" si="25"/>
        <v>0</v>
      </c>
      <c r="I95" s="414"/>
      <c r="J95" s="292"/>
      <c r="K95" s="293"/>
      <c r="L95" s="294"/>
      <c r="M95" s="295"/>
      <c r="N95" s="295"/>
      <c r="O95" s="289"/>
      <c r="P95" s="417"/>
      <c r="Q95" s="296"/>
      <c r="R95" s="296"/>
    </row>
    <row r="96" spans="1:18">
      <c r="A96" s="610"/>
      <c r="B96" s="397">
        <v>0</v>
      </c>
      <c r="C96" s="290"/>
      <c r="D96" s="309"/>
      <c r="E96" s="325"/>
      <c r="F96" s="398" t="s">
        <v>128</v>
      </c>
      <c r="G96" s="297"/>
      <c r="H96" s="291">
        <f t="shared" si="25"/>
        <v>0</v>
      </c>
      <c r="I96" s="414"/>
      <c r="J96" s="292"/>
      <c r="K96" s="293"/>
      <c r="L96" s="294"/>
      <c r="M96" s="295"/>
      <c r="N96" s="295"/>
      <c r="O96" s="289"/>
      <c r="P96" s="417"/>
      <c r="Q96" s="296"/>
      <c r="R96" s="296"/>
    </row>
    <row r="97" spans="1:18">
      <c r="A97" s="610"/>
      <c r="B97" s="397">
        <v>0</v>
      </c>
      <c r="C97" s="290"/>
      <c r="D97" s="309"/>
      <c r="E97" s="325"/>
      <c r="F97" s="398" t="s">
        <v>128</v>
      </c>
      <c r="G97" s="297"/>
      <c r="H97" s="291">
        <f t="shared" si="25"/>
        <v>0</v>
      </c>
      <c r="I97" s="414"/>
      <c r="J97" s="292"/>
      <c r="K97" s="293"/>
      <c r="L97" s="294"/>
      <c r="M97" s="295"/>
      <c r="N97" s="295"/>
      <c r="O97" s="289"/>
      <c r="P97" s="417"/>
      <c r="Q97" s="296"/>
      <c r="R97" s="296"/>
    </row>
    <row r="98" spans="1:18">
      <c r="A98" s="610"/>
      <c r="B98" s="397">
        <v>0</v>
      </c>
      <c r="C98" s="290"/>
      <c r="D98" s="309"/>
      <c r="E98" s="325"/>
      <c r="F98" s="398" t="s">
        <v>128</v>
      </c>
      <c r="G98" s="297"/>
      <c r="H98" s="291">
        <f t="shared" si="25"/>
        <v>0</v>
      </c>
      <c r="I98" s="414"/>
      <c r="J98" s="292"/>
      <c r="K98" s="293"/>
      <c r="L98" s="294"/>
      <c r="M98" s="295"/>
      <c r="N98" s="295"/>
      <c r="O98" s="289"/>
      <c r="P98" s="417"/>
      <c r="Q98" s="296"/>
      <c r="R98" s="296"/>
    </row>
    <row r="99" spans="1:18">
      <c r="A99" s="610"/>
      <c r="B99" s="397">
        <v>0</v>
      </c>
      <c r="C99" s="290"/>
      <c r="D99" s="309"/>
      <c r="E99" s="325"/>
      <c r="F99" s="398" t="s">
        <v>128</v>
      </c>
      <c r="G99" s="297"/>
      <c r="H99" s="291">
        <f t="shared" si="25"/>
        <v>0</v>
      </c>
      <c r="I99" s="414"/>
      <c r="J99" s="292"/>
      <c r="K99" s="293"/>
      <c r="L99" s="294"/>
      <c r="M99" s="295"/>
      <c r="N99" s="295"/>
      <c r="O99" s="289"/>
      <c r="P99" s="417"/>
      <c r="Q99" s="296"/>
      <c r="R99" s="296"/>
    </row>
    <row r="100" spans="1:18" ht="15.75" customHeight="1">
      <c r="A100" s="610"/>
      <c r="B100" s="397">
        <v>0</v>
      </c>
      <c r="C100" s="6" t="s">
        <v>261</v>
      </c>
      <c r="D100" s="611" t="s">
        <v>236</v>
      </c>
      <c r="E100" s="612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2225.8539682539654</v>
      </c>
      <c r="L100" s="303">
        <f>AVERAGE(L92:L99)</f>
        <v>622.55873015872942</v>
      </c>
      <c r="M100" s="295"/>
      <c r="N100" s="295"/>
      <c r="O100" s="293"/>
      <c r="P100" s="293"/>
      <c r="Q100" s="294"/>
      <c r="R100" s="294"/>
    </row>
    <row r="101" spans="1:18" ht="16.2" customHeight="1">
      <c r="A101" s="613" t="s">
        <v>262</v>
      </c>
      <c r="B101" s="397" t="s">
        <v>126</v>
      </c>
      <c r="C101" s="6"/>
      <c r="D101" s="325" t="s">
        <v>117</v>
      </c>
      <c r="E101" s="336"/>
      <c r="F101" s="398">
        <v>25.03</v>
      </c>
      <c r="G101" s="413">
        <v>955</v>
      </c>
      <c r="H101" s="291">
        <f t="shared" ref="H101:H110" si="28">F101*G101</f>
        <v>23903.65</v>
      </c>
      <c r="I101" s="414"/>
      <c r="J101" s="292">
        <v>4</v>
      </c>
      <c r="K101" s="293">
        <f>G101/P101*60</f>
        <v>2864.9999999999873</v>
      </c>
      <c r="L101" s="294">
        <f t="shared" ref="L101:L105" si="29">K101/J101</f>
        <v>716.24999999999682</v>
      </c>
      <c r="M101" s="295">
        <v>0.72222222222222221</v>
      </c>
      <c r="N101" s="295">
        <v>0.73611111111111116</v>
      </c>
      <c r="O101" s="289">
        <v>20</v>
      </c>
      <c r="P101" s="293">
        <f t="shared" ref="P101:P103" si="30">(N101-M101)*24*60</f>
        <v>20.000000000000089</v>
      </c>
      <c r="Q101" s="294"/>
      <c r="R101" s="296"/>
    </row>
    <row r="102" spans="1:18" ht="15.6" customHeight="1">
      <c r="A102" s="613"/>
      <c r="B102" s="397" t="s">
        <v>126</v>
      </c>
      <c r="C102" s="6"/>
      <c r="D102" s="323" t="s">
        <v>119</v>
      </c>
      <c r="E102" s="336"/>
      <c r="F102" s="398">
        <v>28.57</v>
      </c>
      <c r="G102" s="413">
        <v>3011</v>
      </c>
      <c r="H102" s="291">
        <f t="shared" si="28"/>
        <v>86024.27</v>
      </c>
      <c r="I102" s="414"/>
      <c r="J102" s="292">
        <v>3</v>
      </c>
      <c r="K102" s="293">
        <f t="shared" ref="K102:K105" si="31">G102/P102*60</f>
        <v>3011.0000000000027</v>
      </c>
      <c r="L102" s="294">
        <f t="shared" si="29"/>
        <v>1003.6666666666675</v>
      </c>
      <c r="M102" s="295">
        <v>0.75</v>
      </c>
      <c r="N102" s="295">
        <v>0.79166666666666663</v>
      </c>
      <c r="O102" s="289">
        <v>20</v>
      </c>
      <c r="P102" s="293">
        <f t="shared" si="30"/>
        <v>59.999999999999943</v>
      </c>
      <c r="Q102" s="296">
        <v>0.79166666666666663</v>
      </c>
      <c r="R102" s="296">
        <v>0.83333333333333337</v>
      </c>
    </row>
    <row r="103" spans="1:18">
      <c r="A103" s="613"/>
      <c r="B103" s="397" t="s">
        <v>126</v>
      </c>
      <c r="C103" s="6"/>
      <c r="D103" s="309" t="s">
        <v>118</v>
      </c>
      <c r="E103" s="309"/>
      <c r="F103" s="398">
        <v>24.82</v>
      </c>
      <c r="G103" s="413">
        <v>1615</v>
      </c>
      <c r="H103" s="291">
        <f t="shared" si="28"/>
        <v>40084.300000000003</v>
      </c>
      <c r="I103" s="414"/>
      <c r="J103" s="292">
        <v>4</v>
      </c>
      <c r="K103" s="293">
        <f t="shared" si="31"/>
        <v>3230.0000000000118</v>
      </c>
      <c r="L103" s="294">
        <f t="shared" si="29"/>
        <v>807.50000000000296</v>
      </c>
      <c r="M103" s="295">
        <v>0.84722222222222221</v>
      </c>
      <c r="N103" s="295">
        <v>0.86805555555555547</v>
      </c>
      <c r="O103" s="289">
        <v>20</v>
      </c>
      <c r="P103" s="293">
        <f t="shared" si="30"/>
        <v>29.999999999999893</v>
      </c>
      <c r="Q103" s="296"/>
      <c r="R103" s="296"/>
    </row>
    <row r="104" spans="1:18">
      <c r="A104" s="613"/>
      <c r="B104" s="397" t="s">
        <v>126</v>
      </c>
      <c r="C104" s="6"/>
      <c r="D104" s="309" t="s">
        <v>263</v>
      </c>
      <c r="E104" s="325"/>
      <c r="F104" s="398">
        <v>30</v>
      </c>
      <c r="G104" s="413">
        <v>1762</v>
      </c>
      <c r="H104" s="291">
        <f t="shared" si="28"/>
        <v>52860</v>
      </c>
      <c r="I104" s="414"/>
      <c r="J104" s="292">
        <v>3</v>
      </c>
      <c r="K104" s="293">
        <f t="shared" si="31"/>
        <v>3020.5714285714394</v>
      </c>
      <c r="L104" s="294">
        <f t="shared" si="29"/>
        <v>1006.8571428571464</v>
      </c>
      <c r="M104" s="295">
        <v>0.88194444444444453</v>
      </c>
      <c r="N104" s="295">
        <v>0.90625</v>
      </c>
      <c r="O104" s="289">
        <v>20</v>
      </c>
      <c r="P104" s="293">
        <f>(N104-M104)*24*60</f>
        <v>34.999999999999872</v>
      </c>
      <c r="Q104" s="296"/>
      <c r="R104" s="296"/>
    </row>
    <row r="105" spans="1:18">
      <c r="A105" s="613"/>
      <c r="B105" s="397" t="s">
        <v>126</v>
      </c>
      <c r="C105" s="6"/>
      <c r="D105" s="309" t="s">
        <v>120</v>
      </c>
      <c r="E105" s="323"/>
      <c r="F105" s="398">
        <v>14.285714285714283</v>
      </c>
      <c r="G105" s="413">
        <v>8557</v>
      </c>
      <c r="H105" s="291">
        <f t="shared" si="28"/>
        <v>122242.85714285712</v>
      </c>
      <c r="I105" s="414"/>
      <c r="J105" s="292">
        <v>3</v>
      </c>
      <c r="K105" s="293">
        <f t="shared" si="31"/>
        <v>2933.8285714285685</v>
      </c>
      <c r="L105" s="294">
        <f t="shared" si="29"/>
        <v>977.94285714285616</v>
      </c>
      <c r="M105" s="295">
        <v>0.92013888888888884</v>
      </c>
      <c r="N105" s="295">
        <v>1.0416666666666667</v>
      </c>
      <c r="O105" s="289">
        <v>20</v>
      </c>
      <c r="P105" s="293">
        <f>(N105-M105)*24*60</f>
        <v>175.00000000000017</v>
      </c>
      <c r="Q105" s="294"/>
      <c r="R105" s="296"/>
    </row>
    <row r="106" spans="1:18">
      <c r="A106" s="613"/>
      <c r="B106" s="397">
        <v>0</v>
      </c>
      <c r="C106" s="6"/>
      <c r="D106" s="325"/>
      <c r="E106" s="336"/>
      <c r="F106" s="398" t="s">
        <v>128</v>
      </c>
      <c r="G106" s="297"/>
      <c r="H106" s="291">
        <f t="shared" si="28"/>
        <v>0</v>
      </c>
      <c r="I106" s="414"/>
      <c r="J106" s="292"/>
      <c r="K106" s="293"/>
      <c r="L106" s="294"/>
      <c r="M106" s="295"/>
      <c r="N106" s="295"/>
      <c r="O106" s="293"/>
      <c r="P106" s="293"/>
      <c r="Q106" s="294"/>
      <c r="R106" s="296"/>
    </row>
    <row r="107" spans="1:18">
      <c r="A107" s="613"/>
      <c r="B107" s="397">
        <v>0</v>
      </c>
      <c r="C107" s="6"/>
      <c r="D107" s="309"/>
      <c r="E107" s="323"/>
      <c r="F107" s="398" t="s">
        <v>128</v>
      </c>
      <c r="G107" s="413"/>
      <c r="H107" s="291">
        <f t="shared" si="28"/>
        <v>0</v>
      </c>
      <c r="I107" s="414"/>
      <c r="J107" s="292"/>
      <c r="K107" s="293"/>
      <c r="L107" s="294"/>
      <c r="M107" s="295"/>
      <c r="N107" s="295"/>
      <c r="O107" s="293"/>
      <c r="P107" s="293"/>
      <c r="Q107" s="294"/>
      <c r="R107" s="296"/>
    </row>
    <row r="108" spans="1:18">
      <c r="A108" s="613"/>
      <c r="B108" s="397">
        <v>0</v>
      </c>
      <c r="C108" s="6"/>
      <c r="D108" s="309"/>
      <c r="E108" s="323"/>
      <c r="F108" s="398" t="s">
        <v>128</v>
      </c>
      <c r="G108" s="413"/>
      <c r="H108" s="291">
        <f t="shared" si="28"/>
        <v>0</v>
      </c>
      <c r="I108" s="414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613"/>
      <c r="B109" s="397">
        <v>0</v>
      </c>
      <c r="C109" s="290"/>
      <c r="D109" s="323"/>
      <c r="E109" s="323"/>
      <c r="F109" s="398" t="s">
        <v>128</v>
      </c>
      <c r="G109" s="413"/>
      <c r="H109" s="291">
        <f t="shared" si="28"/>
        <v>0</v>
      </c>
      <c r="I109" s="414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613"/>
      <c r="B110" s="397">
        <v>0</v>
      </c>
      <c r="C110" s="290"/>
      <c r="D110" s="309"/>
      <c r="E110" s="323"/>
      <c r="F110" s="398" t="s">
        <v>128</v>
      </c>
      <c r="G110" s="413"/>
      <c r="H110" s="291">
        <f t="shared" si="28"/>
        <v>0</v>
      </c>
      <c r="I110" s="414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613"/>
      <c r="B111" s="397">
        <v>0</v>
      </c>
      <c r="C111" s="6" t="s">
        <v>249</v>
      </c>
      <c r="D111" s="614" t="s">
        <v>236</v>
      </c>
      <c r="E111" s="615"/>
      <c r="F111" s="337"/>
      <c r="G111" s="338"/>
      <c r="H111" s="300"/>
      <c r="I111" s="301"/>
      <c r="J111" s="302">
        <f>AVERAGE(J101:J110)</f>
        <v>3.4</v>
      </c>
      <c r="K111" s="302">
        <f>AVERAGE(K101:K110)</f>
        <v>3012.0800000000022</v>
      </c>
      <c r="L111" s="303">
        <f>AVERAGE(L101:L110)</f>
        <v>902.44333333333384</v>
      </c>
      <c r="M111" s="295"/>
      <c r="N111" s="295"/>
      <c r="O111" s="293"/>
      <c r="P111" s="293"/>
      <c r="Q111" s="294"/>
      <c r="R111" s="289"/>
    </row>
    <row r="112" spans="1:18" ht="16.2" customHeight="1">
      <c r="A112" s="616" t="s">
        <v>264</v>
      </c>
      <c r="B112" s="397" t="s">
        <v>126</v>
      </c>
      <c r="C112" s="6"/>
      <c r="D112" s="323" t="s">
        <v>114</v>
      </c>
      <c r="E112" s="339"/>
      <c r="F112" s="398">
        <v>16.7</v>
      </c>
      <c r="G112" s="413">
        <v>1288</v>
      </c>
      <c r="H112" s="329">
        <f t="shared" si="13"/>
        <v>21509.599999999999</v>
      </c>
      <c r="I112" s="414"/>
      <c r="J112" s="292">
        <v>3</v>
      </c>
      <c r="K112" s="293">
        <f t="shared" ref="K112:K118" si="32">G112/P112*60</f>
        <v>3091.1999999999912</v>
      </c>
      <c r="L112" s="294">
        <f t="shared" ref="L112:L118" si="33">K112/J112</f>
        <v>1030.3999999999971</v>
      </c>
      <c r="M112" s="295">
        <v>0.72222222222222221</v>
      </c>
      <c r="N112" s="295">
        <v>0.73958333333333337</v>
      </c>
      <c r="O112" s="289">
        <v>20</v>
      </c>
      <c r="P112" s="417">
        <f t="shared" ref="P112:P118" si="34">(N112-M112)*24*60</f>
        <v>25.000000000000071</v>
      </c>
      <c r="Q112" s="289"/>
      <c r="R112" s="289"/>
    </row>
    <row r="113" spans="1:18">
      <c r="A113" s="616"/>
      <c r="B113" s="397" t="s">
        <v>126</v>
      </c>
      <c r="C113" s="308"/>
      <c r="D113" s="418" t="s">
        <v>121</v>
      </c>
      <c r="E113" s="418"/>
      <c r="F113" s="398">
        <v>18.18</v>
      </c>
      <c r="G113" s="413">
        <v>1054</v>
      </c>
      <c r="H113" s="329">
        <f t="shared" si="13"/>
        <v>19161.72</v>
      </c>
      <c r="I113" s="414"/>
      <c r="J113" s="292">
        <v>4</v>
      </c>
      <c r="K113" s="293">
        <f t="shared" si="32"/>
        <v>2529.5999999999931</v>
      </c>
      <c r="L113" s="294">
        <f t="shared" si="33"/>
        <v>632.39999999999827</v>
      </c>
      <c r="M113" s="295">
        <v>0.75347222222222221</v>
      </c>
      <c r="N113" s="295">
        <v>0.77083333333333337</v>
      </c>
      <c r="O113" s="289">
        <v>20</v>
      </c>
      <c r="P113" s="417">
        <f t="shared" si="34"/>
        <v>25.000000000000071</v>
      </c>
      <c r="Q113" s="296"/>
      <c r="R113" s="296"/>
    </row>
    <row r="114" spans="1:18">
      <c r="A114" s="616"/>
      <c r="B114" s="397" t="s">
        <v>126</v>
      </c>
      <c r="C114" s="308"/>
      <c r="D114" s="418" t="s">
        <v>265</v>
      </c>
      <c r="E114" s="309"/>
      <c r="F114" s="398">
        <v>18.18</v>
      </c>
      <c r="G114" s="413">
        <v>1168</v>
      </c>
      <c r="H114" s="329">
        <f t="shared" si="13"/>
        <v>21234.239999999998</v>
      </c>
      <c r="I114" s="414"/>
      <c r="J114" s="292">
        <v>3</v>
      </c>
      <c r="K114" s="293">
        <f t="shared" si="32"/>
        <v>2803.1999999999916</v>
      </c>
      <c r="L114" s="294">
        <f t="shared" si="33"/>
        <v>934.39999999999725</v>
      </c>
      <c r="M114" s="295">
        <v>0.78472222222222221</v>
      </c>
      <c r="N114" s="295">
        <v>0.80208333333333337</v>
      </c>
      <c r="O114" s="289">
        <v>20</v>
      </c>
      <c r="P114" s="417">
        <f t="shared" si="34"/>
        <v>25.000000000000071</v>
      </c>
      <c r="Q114" s="296"/>
      <c r="R114" s="296"/>
    </row>
    <row r="115" spans="1:18">
      <c r="A115" s="616"/>
      <c r="B115" s="397" t="s">
        <v>126</v>
      </c>
      <c r="C115" s="308"/>
      <c r="D115" s="309" t="s">
        <v>113</v>
      </c>
      <c r="E115" s="325"/>
      <c r="F115" s="398">
        <v>16.66</v>
      </c>
      <c r="G115" s="413">
        <v>5645</v>
      </c>
      <c r="H115" s="329">
        <f t="shared" si="13"/>
        <v>94045.7</v>
      </c>
      <c r="I115" s="414"/>
      <c r="J115" s="292">
        <v>4</v>
      </c>
      <c r="K115" s="293">
        <f t="shared" si="32"/>
        <v>3079.0909090909067</v>
      </c>
      <c r="L115" s="294">
        <f t="shared" si="33"/>
        <v>769.77272727272668</v>
      </c>
      <c r="M115" s="295">
        <v>0.81597222222222221</v>
      </c>
      <c r="N115" s="295">
        <v>0.89236111111111116</v>
      </c>
      <c r="O115" s="289">
        <v>20</v>
      </c>
      <c r="P115" s="417">
        <f t="shared" si="34"/>
        <v>110.00000000000009</v>
      </c>
      <c r="Q115" s="296"/>
      <c r="R115" s="296"/>
    </row>
    <row r="116" spans="1:18">
      <c r="A116" s="616"/>
      <c r="B116" s="397" t="s">
        <v>126</v>
      </c>
      <c r="C116" s="308"/>
      <c r="D116" s="309" t="s">
        <v>115</v>
      </c>
      <c r="E116" s="323"/>
      <c r="F116" s="398">
        <v>22.281818181818181</v>
      </c>
      <c r="G116" s="413">
        <v>1083</v>
      </c>
      <c r="H116" s="329">
        <f t="shared" si="13"/>
        <v>24131.209090909091</v>
      </c>
      <c r="I116" s="414"/>
      <c r="J116" s="292">
        <v>4</v>
      </c>
      <c r="K116" s="293">
        <f t="shared" si="32"/>
        <v>2599.1999999999925</v>
      </c>
      <c r="L116" s="294">
        <f t="shared" si="33"/>
        <v>649.79999999999814</v>
      </c>
      <c r="M116" s="295">
        <v>0.90625</v>
      </c>
      <c r="N116" s="331">
        <v>0.92361111111111116</v>
      </c>
      <c r="O116" s="289">
        <v>20</v>
      </c>
      <c r="P116" s="417">
        <f t="shared" si="34"/>
        <v>25.000000000000071</v>
      </c>
      <c r="Q116" s="296"/>
      <c r="R116" s="296"/>
    </row>
    <row r="117" spans="1:18">
      <c r="A117" s="616"/>
      <c r="B117" s="397" t="s">
        <v>126</v>
      </c>
      <c r="C117" s="308"/>
      <c r="D117" s="309" t="s">
        <v>116</v>
      </c>
      <c r="E117" s="322"/>
      <c r="F117" s="398">
        <v>17.890909090909091</v>
      </c>
      <c r="G117" s="413">
        <v>3689</v>
      </c>
      <c r="H117" s="329">
        <f t="shared" ref="H117:H123" si="35">F117*G117</f>
        <v>65999.563636363629</v>
      </c>
      <c r="I117" s="414"/>
      <c r="J117" s="292">
        <v>3</v>
      </c>
      <c r="K117" s="293">
        <f t="shared" si="32"/>
        <v>3161.99999999999</v>
      </c>
      <c r="L117" s="294">
        <f t="shared" si="33"/>
        <v>1053.9999999999966</v>
      </c>
      <c r="M117" s="295">
        <v>0.97916666666666663</v>
      </c>
      <c r="N117" s="295">
        <v>1.0277777777777779</v>
      </c>
      <c r="O117" s="293">
        <v>20</v>
      </c>
      <c r="P117" s="417">
        <f t="shared" si="34"/>
        <v>70.000000000000227</v>
      </c>
      <c r="Q117" s="296">
        <v>0.92361111111111116</v>
      </c>
      <c r="R117" s="296">
        <v>0.96527777777777779</v>
      </c>
    </row>
    <row r="118" spans="1:18">
      <c r="A118" s="616"/>
      <c r="B118" s="397" t="s">
        <v>126</v>
      </c>
      <c r="C118" s="308"/>
      <c r="D118" s="309" t="s">
        <v>266</v>
      </c>
      <c r="E118" s="322"/>
      <c r="F118" s="398">
        <v>14.03</v>
      </c>
      <c r="G118" s="413">
        <v>6197</v>
      </c>
      <c r="H118" s="329">
        <f t="shared" si="35"/>
        <v>86943.909999999989</v>
      </c>
      <c r="I118" s="414"/>
      <c r="J118" s="292">
        <v>3</v>
      </c>
      <c r="K118" s="293">
        <f t="shared" si="32"/>
        <v>3098.5000000000027</v>
      </c>
      <c r="L118" s="294">
        <f t="shared" si="33"/>
        <v>1032.8333333333342</v>
      </c>
      <c r="M118" s="295">
        <v>1.0416666666666667</v>
      </c>
      <c r="N118" s="295">
        <v>1.125</v>
      </c>
      <c r="O118" s="293">
        <v>20</v>
      </c>
      <c r="P118" s="417">
        <f t="shared" si="34"/>
        <v>119.99999999999989</v>
      </c>
      <c r="Q118" s="296"/>
      <c r="R118" s="296"/>
    </row>
    <row r="119" spans="1:18">
      <c r="A119" s="616"/>
      <c r="B119" s="397">
        <v>0</v>
      </c>
      <c r="C119" s="308"/>
      <c r="D119" s="323"/>
      <c r="E119" s="322"/>
      <c r="F119" s="398" t="s">
        <v>128</v>
      </c>
      <c r="G119" s="413"/>
      <c r="H119" s="329">
        <f t="shared" si="35"/>
        <v>0</v>
      </c>
      <c r="I119" s="414"/>
      <c r="J119" s="292"/>
      <c r="K119" s="293"/>
      <c r="L119" s="294"/>
      <c r="M119" s="295"/>
      <c r="N119" s="295"/>
      <c r="O119" s="289"/>
      <c r="P119" s="417"/>
      <c r="Q119" s="296"/>
      <c r="R119" s="296"/>
    </row>
    <row r="120" spans="1:18">
      <c r="A120" s="616"/>
      <c r="B120" s="397">
        <v>0</v>
      </c>
      <c r="C120" s="308"/>
      <c r="D120" s="323"/>
      <c r="E120" s="322"/>
      <c r="F120" s="398" t="s">
        <v>128</v>
      </c>
      <c r="G120" s="413"/>
      <c r="H120" s="329">
        <f t="shared" si="35"/>
        <v>0</v>
      </c>
      <c r="I120" s="414"/>
      <c r="J120" s="292"/>
      <c r="K120" s="293"/>
      <c r="L120" s="294"/>
      <c r="M120" s="295"/>
      <c r="N120" s="295"/>
      <c r="O120" s="289"/>
      <c r="P120" s="417"/>
      <c r="Q120" s="296"/>
      <c r="R120" s="296"/>
    </row>
    <row r="121" spans="1:18">
      <c r="A121" s="616"/>
      <c r="B121" s="397">
        <v>0</v>
      </c>
      <c r="C121" s="308"/>
      <c r="D121" s="323"/>
      <c r="E121" s="322"/>
      <c r="F121" s="398" t="s">
        <v>128</v>
      </c>
      <c r="G121" s="413"/>
      <c r="H121" s="329">
        <f t="shared" si="35"/>
        <v>0</v>
      </c>
      <c r="I121" s="414"/>
      <c r="J121" s="292"/>
      <c r="K121" s="293"/>
      <c r="L121" s="294"/>
      <c r="M121" s="295"/>
      <c r="N121" s="295"/>
      <c r="O121" s="289"/>
      <c r="P121" s="417"/>
      <c r="Q121" s="296"/>
      <c r="R121" s="296"/>
    </row>
    <row r="122" spans="1:18" ht="15.6" customHeight="1">
      <c r="A122" s="616"/>
      <c r="B122" s="397">
        <v>0</v>
      </c>
      <c r="C122" s="308"/>
      <c r="D122" s="323"/>
      <c r="E122" s="322"/>
      <c r="F122" s="398" t="s">
        <v>128</v>
      </c>
      <c r="G122" s="413"/>
      <c r="H122" s="329">
        <f t="shared" si="35"/>
        <v>0</v>
      </c>
      <c r="I122" s="414"/>
      <c r="J122" s="292"/>
      <c r="K122" s="293"/>
      <c r="L122" s="294"/>
      <c r="M122" s="295"/>
      <c r="N122" s="295"/>
      <c r="O122" s="289"/>
      <c r="P122" s="417"/>
      <c r="Q122" s="296"/>
      <c r="R122" s="296"/>
    </row>
    <row r="123" spans="1:18">
      <c r="A123" s="616"/>
      <c r="B123" s="397">
        <v>0</v>
      </c>
      <c r="C123" s="308"/>
      <c r="D123" s="323"/>
      <c r="E123" s="322"/>
      <c r="F123" s="398" t="s">
        <v>128</v>
      </c>
      <c r="G123" s="413"/>
      <c r="H123" s="329">
        <f t="shared" si="35"/>
        <v>0</v>
      </c>
      <c r="I123" s="414"/>
      <c r="J123" s="292"/>
      <c r="K123" s="293"/>
      <c r="L123" s="294"/>
      <c r="M123" s="295"/>
      <c r="N123" s="295"/>
      <c r="O123" s="289"/>
      <c r="P123" s="417"/>
      <c r="Q123" s="296"/>
      <c r="R123" s="296"/>
    </row>
    <row r="124" spans="1:18" ht="17.399999999999999" customHeight="1">
      <c r="A124" s="616"/>
      <c r="B124" s="290">
        <v>0</v>
      </c>
      <c r="C124" s="6" t="s">
        <v>254</v>
      </c>
      <c r="D124" s="617" t="s">
        <v>236</v>
      </c>
      <c r="E124" s="617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2908.9701298701243</v>
      </c>
      <c r="L124" s="303">
        <f>AVERAGE(L112:L123)</f>
        <v>871.94372294372101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04" activePane="bottomLeft" state="frozen"/>
      <selection activeCell="I125" sqref="I125"/>
      <selection pane="bottomLeft" activeCell="G118" sqref="G118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268</v>
      </c>
      <c r="B1" s="28"/>
      <c r="C1" s="28"/>
      <c r="D1" s="422" t="s">
        <v>269</v>
      </c>
      <c r="E1" s="29">
        <f>SUM(G5:G173)</f>
        <v>182882.4</v>
      </c>
      <c r="F1" s="423" t="s">
        <v>3</v>
      </c>
      <c r="G1" s="30">
        <f>SUM(H5:H173)</f>
        <v>7160660.6596286222</v>
      </c>
      <c r="H1" s="419" t="s">
        <v>37</v>
      </c>
      <c r="I1" s="31">
        <f>M17+M30+M43+M56+M69+M82+M95+M108+M121+M134+M147+M160+M173</f>
        <v>192.68650793650795</v>
      </c>
      <c r="J1" s="732" t="s">
        <v>38</v>
      </c>
      <c r="K1" s="732"/>
      <c r="L1" s="732"/>
      <c r="M1" s="732" t="s">
        <v>39</v>
      </c>
      <c r="N1" s="732"/>
      <c r="O1" s="732"/>
      <c r="P1" s="732" t="s">
        <v>270</v>
      </c>
      <c r="Q1" s="732"/>
      <c r="R1" s="732"/>
      <c r="S1" s="732"/>
      <c r="T1" s="732" t="s">
        <v>271</v>
      </c>
      <c r="U1" s="732"/>
      <c r="V1" s="732"/>
      <c r="W1" s="732"/>
      <c r="X1" s="732"/>
      <c r="Y1" s="732"/>
      <c r="Z1" s="32" t="s">
        <v>272</v>
      </c>
      <c r="AA1" s="32" t="s">
        <v>273</v>
      </c>
      <c r="AB1" s="739" t="s">
        <v>274</v>
      </c>
      <c r="AC1" s="740"/>
      <c r="AD1" s="32" t="s">
        <v>272</v>
      </c>
      <c r="AE1" s="32" t="s">
        <v>275</v>
      </c>
      <c r="AF1" s="732" t="s">
        <v>276</v>
      </c>
      <c r="AG1" s="733"/>
      <c r="AH1" s="733"/>
    </row>
    <row r="2" spans="1:34" ht="26.25" customHeight="1">
      <c r="A2" s="734" t="s">
        <v>277</v>
      </c>
      <c r="B2" s="734"/>
      <c r="C2" s="422"/>
      <c r="D2" s="422" t="s">
        <v>278</v>
      </c>
      <c r="E2" s="34">
        <f>AVERAGE(O17,O30,O43,O56,O69,O82,O95,O108,O121,O134,O147,O160,O173)</f>
        <v>130.16263846806172</v>
      </c>
      <c r="F2" s="35" t="s">
        <v>40</v>
      </c>
      <c r="G2" s="36">
        <f>G1/E1</f>
        <v>39.154454773278466</v>
      </c>
      <c r="H2" s="419" t="s">
        <v>41</v>
      </c>
      <c r="I2" s="419">
        <f>COUNT(I5:I173)</f>
        <v>13</v>
      </c>
      <c r="J2" s="732"/>
      <c r="K2" s="732"/>
      <c r="L2" s="732"/>
      <c r="M2" s="732"/>
      <c r="N2" s="732"/>
      <c r="O2" s="732"/>
      <c r="P2" s="732"/>
      <c r="Q2" s="732"/>
      <c r="R2" s="732"/>
      <c r="S2" s="732"/>
      <c r="T2" s="732"/>
      <c r="U2" s="732"/>
      <c r="V2" s="732"/>
      <c r="W2" s="732"/>
      <c r="X2" s="732"/>
      <c r="Y2" s="732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741"/>
      <c r="AC2" s="742"/>
      <c r="AD2" s="38">
        <f>AD17+AD30+AD43+AD56+AD69+AD82+AD95+AD108+AD121+AD134+AD147+AD160+AD173</f>
        <v>11</v>
      </c>
      <c r="AE2" s="38">
        <f>AE17+AE30+AE43+AE56+AE69+AE82+AE95+AE108+AE121+AE134+AE147+AE160+AE173</f>
        <v>7</v>
      </c>
      <c r="AF2" s="733"/>
      <c r="AG2" s="733"/>
      <c r="AH2" s="733"/>
    </row>
    <row r="3" spans="1:34" ht="30.6" customHeight="1">
      <c r="A3" s="673" t="s">
        <v>279</v>
      </c>
      <c r="B3" s="673" t="s">
        <v>42</v>
      </c>
      <c r="C3" s="730"/>
      <c r="D3" s="673" t="s">
        <v>280</v>
      </c>
      <c r="E3" s="673"/>
      <c r="F3" s="730" t="s">
        <v>43</v>
      </c>
      <c r="G3" s="722" t="s">
        <v>44</v>
      </c>
      <c r="H3" s="730" t="s">
        <v>45</v>
      </c>
      <c r="I3" s="724" t="s">
        <v>281</v>
      </c>
      <c r="J3" s="728" t="s">
        <v>46</v>
      </c>
      <c r="K3" s="727" t="s">
        <v>47</v>
      </c>
      <c r="L3" s="702" t="s">
        <v>35</v>
      </c>
      <c r="M3" s="722" t="s">
        <v>46</v>
      </c>
      <c r="N3" s="727" t="s">
        <v>282</v>
      </c>
      <c r="O3" s="702" t="s">
        <v>278</v>
      </c>
      <c r="P3" s="728" t="s">
        <v>283</v>
      </c>
      <c r="Q3" s="702" t="s">
        <v>278</v>
      </c>
      <c r="R3" s="729" t="s">
        <v>284</v>
      </c>
      <c r="S3" s="703" t="s">
        <v>285</v>
      </c>
      <c r="T3" s="722" t="s">
        <v>48</v>
      </c>
      <c r="U3" s="722"/>
      <c r="V3" s="723" t="s">
        <v>49</v>
      </c>
      <c r="W3" s="724" t="s">
        <v>286</v>
      </c>
      <c r="X3" s="722" t="s">
        <v>287</v>
      </c>
      <c r="Y3" s="722"/>
      <c r="Z3" s="725" t="s">
        <v>288</v>
      </c>
      <c r="AA3" s="726"/>
      <c r="AB3" s="735" t="s">
        <v>289</v>
      </c>
      <c r="AC3" s="736"/>
      <c r="AD3" s="737" t="s">
        <v>290</v>
      </c>
      <c r="AE3" s="738"/>
      <c r="AF3" s="727" t="s">
        <v>291</v>
      </c>
      <c r="AG3" s="729" t="s">
        <v>292</v>
      </c>
      <c r="AH3" s="703" t="s">
        <v>293</v>
      </c>
    </row>
    <row r="4" spans="1:34" ht="30.6" customHeight="1">
      <c r="A4" s="730"/>
      <c r="B4" s="673"/>
      <c r="C4" s="731"/>
      <c r="D4" s="673"/>
      <c r="E4" s="673"/>
      <c r="F4" s="731"/>
      <c r="G4" s="722"/>
      <c r="H4" s="731"/>
      <c r="I4" s="724"/>
      <c r="J4" s="728"/>
      <c r="K4" s="727"/>
      <c r="L4" s="702"/>
      <c r="M4" s="722"/>
      <c r="N4" s="727"/>
      <c r="O4" s="702"/>
      <c r="P4" s="728"/>
      <c r="Q4" s="702"/>
      <c r="R4" s="729"/>
      <c r="S4" s="703"/>
      <c r="T4" s="429" t="s">
        <v>50</v>
      </c>
      <c r="U4" s="429" t="s">
        <v>51</v>
      </c>
      <c r="V4" s="722"/>
      <c r="W4" s="724"/>
      <c r="X4" s="423" t="s">
        <v>294</v>
      </c>
      <c r="Y4" s="423" t="s">
        <v>36</v>
      </c>
      <c r="Z4" s="429" t="s">
        <v>295</v>
      </c>
      <c r="AA4" s="429" t="s">
        <v>296</v>
      </c>
      <c r="AB4" s="736"/>
      <c r="AC4" s="736"/>
      <c r="AD4" s="429" t="s">
        <v>297</v>
      </c>
      <c r="AE4" s="39" t="s">
        <v>298</v>
      </c>
      <c r="AF4" s="727"/>
      <c r="AG4" s="729"/>
      <c r="AH4" s="703"/>
    </row>
    <row r="5" spans="1:34" ht="18.75" customHeight="1">
      <c r="A5" s="719" t="s">
        <v>299</v>
      </c>
      <c r="B5" s="40" t="s">
        <v>122</v>
      </c>
      <c r="C5" s="41"/>
      <c r="D5" s="42" t="s">
        <v>52</v>
      </c>
      <c r="E5" s="43"/>
      <c r="F5" s="343">
        <v>37.83</v>
      </c>
      <c r="G5" s="44">
        <v>5491.2</v>
      </c>
      <c r="H5" s="45">
        <f t="shared" ref="H5:H16" si="0">F5*G5</f>
        <v>207732.09599999999</v>
      </c>
      <c r="I5" s="420"/>
      <c r="J5" s="46">
        <v>20</v>
      </c>
      <c r="K5" s="44">
        <v>2400</v>
      </c>
      <c r="L5" s="47">
        <v>120</v>
      </c>
      <c r="M5" s="421">
        <v>20</v>
      </c>
      <c r="N5" s="44">
        <f t="shared" ref="N5:N11" si="1">G5/W5*60</f>
        <v>2370.3021582733813</v>
      </c>
      <c r="O5" s="47">
        <f t="shared" ref="O5:O11" si="2">N5/M5</f>
        <v>118.51510791366907</v>
      </c>
      <c r="P5" s="48">
        <f t="shared" ref="P5:P11" si="3">M5-J5</f>
        <v>0</v>
      </c>
      <c r="Q5" s="49">
        <f t="shared" ref="Q5:Q11" si="4">O5-L5</f>
        <v>-1.4848920863309303</v>
      </c>
      <c r="R5" s="427">
        <f t="shared" ref="R5:R11" si="5">O5/L5</f>
        <v>0.98762589928057554</v>
      </c>
      <c r="S5" s="688">
        <f>R17</f>
        <v>0.92304234505270866</v>
      </c>
      <c r="T5" s="89">
        <v>0.25</v>
      </c>
      <c r="U5" s="89">
        <v>0.34652777777777777</v>
      </c>
      <c r="V5" s="423">
        <v>5</v>
      </c>
      <c r="W5" s="420">
        <f>(U5-T5)*24*60</f>
        <v>139</v>
      </c>
      <c r="X5" s="423"/>
      <c r="Y5" s="423"/>
      <c r="Z5" s="51"/>
      <c r="AA5" s="51"/>
      <c r="AB5" s="673"/>
      <c r="AC5" s="673"/>
      <c r="AD5" s="52"/>
      <c r="AE5" s="52">
        <v>1</v>
      </c>
      <c r="AF5" s="48">
        <f t="shared" ref="AF5:AF70" si="6">N5-K5</f>
        <v>-29.697841726618663</v>
      </c>
      <c r="AG5" s="427">
        <f t="shared" ref="AG5:AG70" si="7">N5/K5</f>
        <v>0.98762589928057554</v>
      </c>
      <c r="AH5" s="688">
        <f>AG17</f>
        <v>0.92370448834943197</v>
      </c>
    </row>
    <row r="6" spans="1:34" ht="19.2" customHeight="1">
      <c r="A6" s="720"/>
      <c r="B6" s="40" t="s">
        <v>122</v>
      </c>
      <c r="C6" s="41"/>
      <c r="D6" s="42" t="s">
        <v>204</v>
      </c>
      <c r="E6" s="43"/>
      <c r="F6" s="343">
        <v>46.93</v>
      </c>
      <c r="G6" s="44">
        <v>3266</v>
      </c>
      <c r="H6" s="45">
        <f t="shared" si="0"/>
        <v>153273.38</v>
      </c>
      <c r="I6" s="420"/>
      <c r="J6" s="46">
        <v>21</v>
      </c>
      <c r="K6" s="44">
        <v>2400</v>
      </c>
      <c r="L6" s="47">
        <v>114.28571428571429</v>
      </c>
      <c r="M6" s="421">
        <v>21</v>
      </c>
      <c r="N6" s="44">
        <f t="shared" si="1"/>
        <v>2177.3333333333335</v>
      </c>
      <c r="O6" s="47">
        <f t="shared" si="2"/>
        <v>103.68253968253968</v>
      </c>
      <c r="P6" s="48">
        <f t="shared" si="3"/>
        <v>0</v>
      </c>
      <c r="Q6" s="49">
        <f t="shared" si="4"/>
        <v>-10.603174603174608</v>
      </c>
      <c r="R6" s="427">
        <f t="shared" si="5"/>
        <v>0.90722222222222215</v>
      </c>
      <c r="S6" s="688"/>
      <c r="T6" s="89">
        <v>0.36249999999999999</v>
      </c>
      <c r="U6" s="89">
        <v>0.42499999999999999</v>
      </c>
      <c r="V6" s="423">
        <v>23</v>
      </c>
      <c r="W6" s="420">
        <f t="shared" ref="W6:W17" si="8">(U6-T6)*24*60</f>
        <v>90</v>
      </c>
      <c r="X6" s="53">
        <v>0.35069444444444442</v>
      </c>
      <c r="Y6" s="53">
        <v>0.3611111111111111</v>
      </c>
      <c r="Z6" s="54"/>
      <c r="AA6" s="54"/>
      <c r="AB6" s="673"/>
      <c r="AC6" s="673"/>
      <c r="AD6" s="437"/>
      <c r="AE6" s="437"/>
      <c r="AF6" s="48">
        <f t="shared" si="6"/>
        <v>-222.66666666666652</v>
      </c>
      <c r="AG6" s="427">
        <f t="shared" si="7"/>
        <v>0.90722222222222226</v>
      </c>
      <c r="AH6" s="688"/>
    </row>
    <row r="7" spans="1:34" ht="19.2" customHeight="1">
      <c r="A7" s="720"/>
      <c r="B7" s="40" t="s">
        <v>122</v>
      </c>
      <c r="C7" s="41"/>
      <c r="D7" s="42" t="s">
        <v>198</v>
      </c>
      <c r="E7" s="43"/>
      <c r="F7" s="343">
        <v>35.89</v>
      </c>
      <c r="G7" s="44">
        <v>3298</v>
      </c>
      <c r="H7" s="45">
        <f t="shared" si="0"/>
        <v>118365.22</v>
      </c>
      <c r="I7" s="420"/>
      <c r="J7" s="46">
        <v>18</v>
      </c>
      <c r="K7" s="44">
        <v>2571</v>
      </c>
      <c r="L7" s="47">
        <v>142.83333333333334</v>
      </c>
      <c r="M7" s="421">
        <v>18</v>
      </c>
      <c r="N7" s="44">
        <f t="shared" si="1"/>
        <v>2384.0963855421678</v>
      </c>
      <c r="O7" s="47">
        <f t="shared" si="2"/>
        <v>132.4497991967871</v>
      </c>
      <c r="P7" s="48">
        <f t="shared" si="3"/>
        <v>0</v>
      </c>
      <c r="Q7" s="49">
        <f t="shared" si="4"/>
        <v>-10.383534136546245</v>
      </c>
      <c r="R7" s="427">
        <f t="shared" si="5"/>
        <v>0.92730314490165988</v>
      </c>
      <c r="S7" s="688"/>
      <c r="T7" s="89">
        <v>0.42986111111111108</v>
      </c>
      <c r="U7" s="89">
        <v>0.48749999999999999</v>
      </c>
      <c r="V7" s="423">
        <v>7</v>
      </c>
      <c r="W7" s="420">
        <f t="shared" si="8"/>
        <v>83.000000000000028</v>
      </c>
      <c r="X7" s="53"/>
      <c r="Y7" s="53"/>
      <c r="Z7" s="54"/>
      <c r="AA7" s="54"/>
      <c r="AB7" s="673"/>
      <c r="AC7" s="673"/>
      <c r="AD7" s="437"/>
      <c r="AE7" s="437"/>
      <c r="AF7" s="48">
        <f t="shared" si="6"/>
        <v>-186.90361445783219</v>
      </c>
      <c r="AG7" s="427">
        <f t="shared" si="7"/>
        <v>0.92730314490165999</v>
      </c>
      <c r="AH7" s="688"/>
    </row>
    <row r="8" spans="1:34" ht="19.2" customHeight="1">
      <c r="A8" s="720"/>
      <c r="B8" s="40" t="s">
        <v>122</v>
      </c>
      <c r="C8" s="41"/>
      <c r="D8" s="42" t="s">
        <v>180</v>
      </c>
      <c r="E8" s="43"/>
      <c r="F8" s="343">
        <v>38.99</v>
      </c>
      <c r="G8" s="44">
        <v>1127</v>
      </c>
      <c r="H8" s="45">
        <f t="shared" si="0"/>
        <v>43941.73</v>
      </c>
      <c r="I8" s="420"/>
      <c r="J8" s="46">
        <v>18</v>
      </c>
      <c r="K8" s="44">
        <v>2571</v>
      </c>
      <c r="L8" s="47">
        <v>142.83333333333334</v>
      </c>
      <c r="M8" s="421">
        <v>18</v>
      </c>
      <c r="N8" s="44">
        <f t="shared" si="1"/>
        <v>2331.7241379310299</v>
      </c>
      <c r="O8" s="47">
        <f t="shared" si="2"/>
        <v>129.54022988505722</v>
      </c>
      <c r="P8" s="48">
        <f t="shared" si="3"/>
        <v>0</v>
      </c>
      <c r="Q8" s="49">
        <f t="shared" si="4"/>
        <v>-13.293103448276128</v>
      </c>
      <c r="R8" s="427">
        <f t="shared" si="5"/>
        <v>0.90693276465617645</v>
      </c>
      <c r="S8" s="688"/>
      <c r="T8" s="89">
        <v>0.52777777777777779</v>
      </c>
      <c r="U8" s="89">
        <v>0.54791666666666672</v>
      </c>
      <c r="V8" s="423">
        <v>5</v>
      </c>
      <c r="W8" s="420">
        <f t="shared" si="8"/>
        <v>29.000000000000057</v>
      </c>
      <c r="X8" s="53"/>
      <c r="Y8" s="53"/>
      <c r="Z8" s="54"/>
      <c r="AA8" s="54"/>
      <c r="AB8" s="673"/>
      <c r="AC8" s="673"/>
      <c r="AD8" s="437"/>
      <c r="AE8" s="437"/>
      <c r="AF8" s="48">
        <f t="shared" si="6"/>
        <v>-239.27586206897013</v>
      </c>
      <c r="AG8" s="427">
        <f t="shared" si="7"/>
        <v>0.90693276465617656</v>
      </c>
      <c r="AH8" s="688"/>
    </row>
    <row r="9" spans="1:34" ht="19.2" customHeight="1">
      <c r="A9" s="720"/>
      <c r="B9" s="40" t="s">
        <v>122</v>
      </c>
      <c r="C9" s="55"/>
      <c r="D9" s="42" t="s">
        <v>178</v>
      </c>
      <c r="E9" s="56"/>
      <c r="F9" s="343">
        <v>28.86</v>
      </c>
      <c r="G9" s="57">
        <v>1794</v>
      </c>
      <c r="H9" s="45">
        <f t="shared" si="0"/>
        <v>51774.84</v>
      </c>
      <c r="I9" s="437"/>
      <c r="J9" s="46">
        <v>17</v>
      </c>
      <c r="K9" s="44">
        <v>2571</v>
      </c>
      <c r="L9" s="47">
        <v>151.23529411764707</v>
      </c>
      <c r="M9" s="421">
        <v>17</v>
      </c>
      <c r="N9" s="44">
        <f t="shared" si="1"/>
        <v>2340</v>
      </c>
      <c r="O9" s="47">
        <f t="shared" si="2"/>
        <v>137.64705882352942</v>
      </c>
      <c r="P9" s="48">
        <f t="shared" si="3"/>
        <v>0</v>
      </c>
      <c r="Q9" s="49">
        <f t="shared" si="4"/>
        <v>-13.588235294117652</v>
      </c>
      <c r="R9" s="427">
        <f t="shared" si="5"/>
        <v>0.91015169194865808</v>
      </c>
      <c r="S9" s="688"/>
      <c r="T9" s="89">
        <v>0.55277777777777781</v>
      </c>
      <c r="U9" s="89">
        <v>0.58472222222222225</v>
      </c>
      <c r="V9" s="423">
        <v>7</v>
      </c>
      <c r="W9" s="420">
        <f t="shared" si="8"/>
        <v>46</v>
      </c>
      <c r="X9" s="53"/>
      <c r="Y9" s="53"/>
      <c r="Z9" s="54"/>
      <c r="AA9" s="54"/>
      <c r="AB9" s="673"/>
      <c r="AC9" s="673"/>
      <c r="AD9" s="437"/>
      <c r="AE9" s="437">
        <v>1</v>
      </c>
      <c r="AF9" s="48">
        <f t="shared" si="6"/>
        <v>-231</v>
      </c>
      <c r="AG9" s="427">
        <f t="shared" si="7"/>
        <v>0.91015169194865808</v>
      </c>
      <c r="AH9" s="688"/>
    </row>
    <row r="10" spans="1:34" ht="19.2" customHeight="1">
      <c r="A10" s="721"/>
      <c r="B10" s="40" t="s">
        <v>122</v>
      </c>
      <c r="C10" s="41"/>
      <c r="D10" s="42" t="s">
        <v>53</v>
      </c>
      <c r="E10" s="43"/>
      <c r="F10" s="343">
        <v>31.11</v>
      </c>
      <c r="G10" s="44">
        <v>2599</v>
      </c>
      <c r="H10" s="45">
        <f t="shared" si="0"/>
        <v>80854.89</v>
      </c>
      <c r="I10" s="420"/>
      <c r="J10" s="46">
        <v>18</v>
      </c>
      <c r="K10" s="44">
        <v>2769</v>
      </c>
      <c r="L10" s="47">
        <v>153.83333333333334</v>
      </c>
      <c r="M10" s="421">
        <v>18</v>
      </c>
      <c r="N10" s="44">
        <f t="shared" si="1"/>
        <v>2515.1612903225828</v>
      </c>
      <c r="O10" s="47">
        <f t="shared" si="2"/>
        <v>139.73118279569906</v>
      </c>
      <c r="P10" s="48">
        <f t="shared" si="3"/>
        <v>0</v>
      </c>
      <c r="Q10" s="49">
        <f t="shared" si="4"/>
        <v>-14.102150537634287</v>
      </c>
      <c r="R10" s="427">
        <f t="shared" si="5"/>
        <v>0.90832838220389411</v>
      </c>
      <c r="S10" s="689"/>
      <c r="T10" s="89">
        <v>0.58888888888888891</v>
      </c>
      <c r="U10" s="89">
        <v>0.63194444444444442</v>
      </c>
      <c r="V10" s="423">
        <v>6</v>
      </c>
      <c r="W10" s="420">
        <f t="shared" si="8"/>
        <v>61.999999999999943</v>
      </c>
      <c r="X10" s="53"/>
      <c r="Y10" s="53"/>
      <c r="Z10" s="54"/>
      <c r="AA10" s="54"/>
      <c r="AB10" s="673"/>
      <c r="AC10" s="673"/>
      <c r="AD10" s="437"/>
      <c r="AE10" s="437"/>
      <c r="AF10" s="48">
        <f t="shared" si="6"/>
        <v>-253.83870967741723</v>
      </c>
      <c r="AG10" s="427">
        <f t="shared" si="7"/>
        <v>0.90832838220389411</v>
      </c>
      <c r="AH10" s="689"/>
    </row>
    <row r="11" spans="1:34" ht="19.2" customHeight="1">
      <c r="A11" s="721"/>
      <c r="B11" s="40" t="s">
        <v>122</v>
      </c>
      <c r="C11" s="41"/>
      <c r="D11" s="42" t="s">
        <v>55</v>
      </c>
      <c r="E11" s="43"/>
      <c r="F11" s="343">
        <v>37.799999999999997</v>
      </c>
      <c r="G11" s="44">
        <v>4940</v>
      </c>
      <c r="H11" s="45">
        <f t="shared" si="0"/>
        <v>186732</v>
      </c>
      <c r="I11" s="420"/>
      <c r="J11" s="46">
        <v>20</v>
      </c>
      <c r="K11" s="44">
        <v>2769</v>
      </c>
      <c r="L11" s="47">
        <v>138.44999999999999</v>
      </c>
      <c r="M11" s="421">
        <v>20</v>
      </c>
      <c r="N11" s="44">
        <f t="shared" si="1"/>
        <v>2555.1724137931019</v>
      </c>
      <c r="O11" s="47">
        <f t="shared" si="2"/>
        <v>127.75862068965509</v>
      </c>
      <c r="P11" s="48">
        <f t="shared" si="3"/>
        <v>0</v>
      </c>
      <c r="Q11" s="49">
        <f t="shared" si="4"/>
        <v>-10.6913793103449</v>
      </c>
      <c r="R11" s="427">
        <f t="shared" si="5"/>
        <v>0.92277804759591986</v>
      </c>
      <c r="S11" s="689"/>
      <c r="T11" s="89">
        <v>0.64722222222222214</v>
      </c>
      <c r="U11" s="89">
        <v>0.72777777777777775</v>
      </c>
      <c r="V11" s="423">
        <v>22</v>
      </c>
      <c r="W11" s="420">
        <f t="shared" si="8"/>
        <v>116.00000000000007</v>
      </c>
      <c r="X11" s="53">
        <v>0.63611111111111118</v>
      </c>
      <c r="Y11" s="53">
        <v>0.64583333333333337</v>
      </c>
      <c r="Z11" s="54"/>
      <c r="AA11" s="54"/>
      <c r="AB11" s="673"/>
      <c r="AC11" s="673"/>
      <c r="AD11" s="437"/>
      <c r="AE11" s="437"/>
      <c r="AF11" s="48">
        <f t="shared" si="6"/>
        <v>-213.8275862068981</v>
      </c>
      <c r="AG11" s="427">
        <f t="shared" si="7"/>
        <v>0.92277804759591975</v>
      </c>
      <c r="AH11" s="689"/>
    </row>
    <row r="12" spans="1:34" ht="19.2" customHeight="1">
      <c r="A12" s="721"/>
      <c r="B12" s="40">
        <v>0</v>
      </c>
      <c r="C12" s="41"/>
      <c r="D12" s="59"/>
      <c r="E12" s="43"/>
      <c r="F12" s="343" t="s">
        <v>128</v>
      </c>
      <c r="G12" s="44"/>
      <c r="H12" s="45">
        <f t="shared" si="0"/>
        <v>0</v>
      </c>
      <c r="I12" s="420"/>
      <c r="J12" s="46"/>
      <c r="K12" s="44"/>
      <c r="L12" s="47"/>
      <c r="M12" s="421"/>
      <c r="N12" s="44"/>
      <c r="O12" s="47"/>
      <c r="P12" s="48"/>
      <c r="Q12" s="49"/>
      <c r="R12" s="427"/>
      <c r="S12" s="689"/>
      <c r="T12" s="89"/>
      <c r="U12" s="89"/>
      <c r="V12" s="423"/>
      <c r="W12" s="420">
        <f t="shared" si="8"/>
        <v>0</v>
      </c>
      <c r="X12" s="53"/>
      <c r="Y12" s="53"/>
      <c r="Z12" s="54"/>
      <c r="AA12" s="54"/>
      <c r="AB12" s="673"/>
      <c r="AC12" s="673"/>
      <c r="AD12" s="437"/>
      <c r="AE12" s="437"/>
      <c r="AF12" s="48">
        <f t="shared" si="6"/>
        <v>0</v>
      </c>
      <c r="AG12" s="427" t="e">
        <f t="shared" si="7"/>
        <v>#DIV/0!</v>
      </c>
      <c r="AH12" s="689"/>
    </row>
    <row r="13" spans="1:34" ht="19.2" customHeight="1">
      <c r="A13" s="721"/>
      <c r="B13" s="40">
        <v>0</v>
      </c>
      <c r="C13" s="58"/>
      <c r="D13" s="59"/>
      <c r="E13" s="60"/>
      <c r="F13" s="343" t="s">
        <v>128</v>
      </c>
      <c r="G13" s="61"/>
      <c r="H13" s="45">
        <f t="shared" si="0"/>
        <v>0</v>
      </c>
      <c r="I13" s="424"/>
      <c r="J13" s="46"/>
      <c r="K13" s="44"/>
      <c r="L13" s="47"/>
      <c r="M13" s="62"/>
      <c r="N13" s="44"/>
      <c r="O13" s="47"/>
      <c r="P13" s="48"/>
      <c r="Q13" s="49"/>
      <c r="R13" s="427"/>
      <c r="S13" s="689"/>
      <c r="T13" s="89"/>
      <c r="U13" s="89"/>
      <c r="V13" s="424"/>
      <c r="W13" s="420">
        <f t="shared" si="8"/>
        <v>0</v>
      </c>
      <c r="X13" s="64"/>
      <c r="Y13" s="64"/>
      <c r="Z13" s="54"/>
      <c r="AA13" s="54"/>
      <c r="AB13" s="673"/>
      <c r="AC13" s="673"/>
      <c r="AD13" s="437"/>
      <c r="AE13" s="437"/>
      <c r="AF13" s="48">
        <f t="shared" si="6"/>
        <v>0</v>
      </c>
      <c r="AG13" s="427" t="e">
        <f t="shared" si="7"/>
        <v>#DIV/0!</v>
      </c>
      <c r="AH13" s="689"/>
    </row>
    <row r="14" spans="1:34" ht="19.2" customHeight="1">
      <c r="A14" s="721"/>
      <c r="B14" s="40">
        <v>0</v>
      </c>
      <c r="C14" s="66"/>
      <c r="D14" s="42"/>
      <c r="E14" s="43"/>
      <c r="F14" s="343" t="s">
        <v>128</v>
      </c>
      <c r="G14" s="61"/>
      <c r="H14" s="45">
        <f t="shared" si="0"/>
        <v>0</v>
      </c>
      <c r="I14" s="424"/>
      <c r="J14" s="46"/>
      <c r="K14" s="44"/>
      <c r="L14" s="47"/>
      <c r="M14" s="62"/>
      <c r="N14" s="44"/>
      <c r="O14" s="47"/>
      <c r="P14" s="48"/>
      <c r="Q14" s="49"/>
      <c r="R14" s="427"/>
      <c r="S14" s="689"/>
      <c r="T14" s="89"/>
      <c r="U14" s="89"/>
      <c r="V14" s="424"/>
      <c r="W14" s="420">
        <f t="shared" si="8"/>
        <v>0</v>
      </c>
      <c r="X14" s="64"/>
      <c r="Y14" s="64"/>
      <c r="Z14" s="54"/>
      <c r="AA14" s="54"/>
      <c r="AB14" s="673"/>
      <c r="AC14" s="673"/>
      <c r="AD14" s="437"/>
      <c r="AE14" s="437"/>
      <c r="AF14" s="48">
        <f t="shared" si="6"/>
        <v>0</v>
      </c>
      <c r="AG14" s="427" t="e">
        <f t="shared" si="7"/>
        <v>#DIV/0!</v>
      </c>
      <c r="AH14" s="689"/>
    </row>
    <row r="15" spans="1:34" ht="19.2" customHeight="1">
      <c r="A15" s="721"/>
      <c r="B15" s="67">
        <v>0</v>
      </c>
      <c r="C15" s="58"/>
      <c r="D15" s="59"/>
      <c r="E15" s="60"/>
      <c r="F15" s="343" t="s">
        <v>128</v>
      </c>
      <c r="G15" s="61"/>
      <c r="H15" s="45">
        <f t="shared" si="0"/>
        <v>0</v>
      </c>
      <c r="I15" s="424"/>
      <c r="J15" s="46"/>
      <c r="K15" s="44"/>
      <c r="L15" s="47"/>
      <c r="M15" s="62"/>
      <c r="N15" s="68"/>
      <c r="O15" s="47"/>
      <c r="P15" s="48"/>
      <c r="Q15" s="49"/>
      <c r="R15" s="427"/>
      <c r="S15" s="689"/>
      <c r="T15" s="89"/>
      <c r="U15" s="89"/>
      <c r="V15" s="424"/>
      <c r="W15" s="420">
        <f t="shared" si="8"/>
        <v>0</v>
      </c>
      <c r="X15" s="64"/>
      <c r="Y15" s="64"/>
      <c r="Z15" s="54"/>
      <c r="AA15" s="54"/>
      <c r="AB15" s="673"/>
      <c r="AC15" s="673"/>
      <c r="AD15" s="437"/>
      <c r="AE15" s="437"/>
      <c r="AF15" s="48">
        <f t="shared" si="6"/>
        <v>0</v>
      </c>
      <c r="AG15" s="427" t="e">
        <f t="shared" si="7"/>
        <v>#DIV/0!</v>
      </c>
      <c r="AH15" s="689"/>
    </row>
    <row r="16" spans="1:34" ht="19.2" customHeight="1">
      <c r="A16" s="721"/>
      <c r="B16" s="67">
        <v>0</v>
      </c>
      <c r="C16" s="58"/>
      <c r="D16" s="59"/>
      <c r="E16" s="60"/>
      <c r="F16" s="343" t="s">
        <v>128</v>
      </c>
      <c r="G16" s="61"/>
      <c r="H16" s="45">
        <f t="shared" si="0"/>
        <v>0</v>
      </c>
      <c r="I16" s="424"/>
      <c r="J16" s="46"/>
      <c r="K16" s="44"/>
      <c r="L16" s="47"/>
      <c r="M16" s="62"/>
      <c r="N16" s="68"/>
      <c r="O16" s="47"/>
      <c r="P16" s="48"/>
      <c r="Q16" s="49"/>
      <c r="R16" s="427"/>
      <c r="S16" s="689"/>
      <c r="T16" s="89"/>
      <c r="U16" s="89"/>
      <c r="V16" s="424"/>
      <c r="W16" s="420">
        <f t="shared" si="8"/>
        <v>0</v>
      </c>
      <c r="X16" s="64"/>
      <c r="Y16" s="64"/>
      <c r="Z16" s="54"/>
      <c r="AA16" s="54"/>
      <c r="AB16" s="673"/>
      <c r="AC16" s="673"/>
      <c r="AD16" s="437"/>
      <c r="AE16" s="437"/>
      <c r="AF16" s="48">
        <f t="shared" si="6"/>
        <v>0</v>
      </c>
      <c r="AG16" s="427" t="e">
        <f t="shared" si="7"/>
        <v>#DIV/0!</v>
      </c>
      <c r="AH16" s="689"/>
    </row>
    <row r="17" spans="1:34" ht="19.2" customHeight="1">
      <c r="A17" s="721"/>
      <c r="B17" s="69">
        <v>0</v>
      </c>
      <c r="C17" s="69" t="s">
        <v>300</v>
      </c>
      <c r="D17" s="683" t="s">
        <v>301</v>
      </c>
      <c r="E17" s="683"/>
      <c r="F17" s="344"/>
      <c r="G17" s="70"/>
      <c r="H17" s="71"/>
      <c r="I17" s="72"/>
      <c r="J17" s="70">
        <v>18.857142857142858</v>
      </c>
      <c r="K17" s="70">
        <v>2578.7142857142858</v>
      </c>
      <c r="L17" s="73">
        <v>137.63871548619449</v>
      </c>
      <c r="M17" s="70">
        <f t="shared" ref="M17:O17" si="9">AVERAGE(M5:M16)</f>
        <v>18.857142857142858</v>
      </c>
      <c r="N17" s="70">
        <f t="shared" si="9"/>
        <v>2381.9699598850852</v>
      </c>
      <c r="O17" s="73">
        <f t="shared" si="9"/>
        <v>127.04636271241952</v>
      </c>
      <c r="P17" s="65">
        <f t="shared" ref="P17:P24" si="10">M17-J17</f>
        <v>0</v>
      </c>
      <c r="Q17" s="74">
        <f t="shared" ref="Q17:Q24" si="11">O17-L17</f>
        <v>-10.592352773774962</v>
      </c>
      <c r="R17" s="75">
        <f>O17/L17</f>
        <v>0.92304234505270866</v>
      </c>
      <c r="S17" s="689"/>
      <c r="T17" s="89"/>
      <c r="U17" s="89"/>
      <c r="V17" s="424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673"/>
      <c r="AC17" s="673"/>
      <c r="AD17" s="79">
        <f>SUM(AD5:AD16)</f>
        <v>0</v>
      </c>
      <c r="AE17" s="79">
        <f>SUM(AE5:AE16)</f>
        <v>2</v>
      </c>
      <c r="AF17" s="65">
        <f t="shared" si="6"/>
        <v>-196.74432582920053</v>
      </c>
      <c r="AG17" s="428">
        <f t="shared" si="7"/>
        <v>0.92370448834943197</v>
      </c>
      <c r="AH17" s="689"/>
    </row>
    <row r="18" spans="1:34" ht="19.2" customHeight="1">
      <c r="A18" s="671" t="s">
        <v>302</v>
      </c>
      <c r="B18" s="80" t="s">
        <v>125</v>
      </c>
      <c r="C18" s="81"/>
      <c r="D18" s="82" t="s">
        <v>189</v>
      </c>
      <c r="E18" s="83"/>
      <c r="F18" s="345">
        <v>27.5</v>
      </c>
      <c r="G18" s="57">
        <v>912</v>
      </c>
      <c r="H18" s="84">
        <f t="shared" ref="H18:H29" si="12">F18*G18</f>
        <v>25080</v>
      </c>
      <c r="I18" s="437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1520.0000000000005</v>
      </c>
      <c r="O18" s="86">
        <f t="shared" ref="O18:O24" si="14">N18/M18</f>
        <v>126.6666666666667</v>
      </c>
      <c r="P18" s="54">
        <f t="shared" si="10"/>
        <v>0</v>
      </c>
      <c r="Q18" s="88">
        <f t="shared" si="11"/>
        <v>-39.999999999999957</v>
      </c>
      <c r="R18" s="430">
        <f t="shared" ref="R18:R24" si="15">O18/L18</f>
        <v>0.76000000000000023</v>
      </c>
      <c r="S18" s="672">
        <f>R30</f>
        <v>0.88027825442965668</v>
      </c>
      <c r="T18" s="89">
        <v>0.125</v>
      </c>
      <c r="U18" s="89">
        <v>0.15</v>
      </c>
      <c r="V18" s="437">
        <v>5</v>
      </c>
      <c r="W18" s="90">
        <f>(U18-T18)*24*60</f>
        <v>35.999999999999993</v>
      </c>
      <c r="X18" s="86"/>
      <c r="Y18" s="86"/>
      <c r="Z18" s="54"/>
      <c r="AA18" s="54"/>
      <c r="AB18" s="673"/>
      <c r="AC18" s="673"/>
      <c r="AD18" s="437"/>
      <c r="AE18" s="437"/>
      <c r="AF18" s="91">
        <f t="shared" si="6"/>
        <v>-479.99999999999955</v>
      </c>
      <c r="AG18" s="92">
        <f t="shared" si="7"/>
        <v>0.76000000000000023</v>
      </c>
      <c r="AH18" s="714">
        <f>AG30</f>
        <v>0.8819030383266645</v>
      </c>
    </row>
    <row r="19" spans="1:34" ht="19.2" customHeight="1">
      <c r="A19" s="671"/>
      <c r="B19" s="434" t="s">
        <v>122</v>
      </c>
      <c r="C19" s="433"/>
      <c r="D19" s="82" t="s">
        <v>59</v>
      </c>
      <c r="E19" s="83"/>
      <c r="F19" s="343">
        <v>36.86</v>
      </c>
      <c r="G19" s="57">
        <v>4015.05</v>
      </c>
      <c r="H19" s="84">
        <f t="shared" si="12"/>
        <v>147994.74300000002</v>
      </c>
      <c r="I19" s="437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2150.9196428571427</v>
      </c>
      <c r="O19" s="95">
        <f t="shared" si="14"/>
        <v>119.49553571428571</v>
      </c>
      <c r="P19" s="54">
        <f t="shared" si="10"/>
        <v>0</v>
      </c>
      <c r="Q19" s="88">
        <f t="shared" si="11"/>
        <v>-13.837797619047635</v>
      </c>
      <c r="R19" s="430">
        <f t="shared" si="15"/>
        <v>0.89621651785714274</v>
      </c>
      <c r="S19" s="672"/>
      <c r="T19" s="89">
        <v>0.15486111111111112</v>
      </c>
      <c r="U19" s="89">
        <v>0.2326388888888889</v>
      </c>
      <c r="V19" s="437">
        <v>7</v>
      </c>
      <c r="W19" s="90">
        <f>(U19-T19)*24*60</f>
        <v>112</v>
      </c>
      <c r="X19" s="96"/>
      <c r="Y19" s="96"/>
      <c r="Z19" s="54"/>
      <c r="AA19" s="54"/>
      <c r="AB19" s="673"/>
      <c r="AC19" s="673"/>
      <c r="AD19" s="437">
        <v>1</v>
      </c>
      <c r="AE19" s="437"/>
      <c r="AF19" s="48">
        <f t="shared" si="6"/>
        <v>-249.08035714285734</v>
      </c>
      <c r="AG19" s="427">
        <f t="shared" si="7"/>
        <v>0.89621651785714274</v>
      </c>
      <c r="AH19" s="715"/>
    </row>
    <row r="20" spans="1:34" ht="19.2" customHeight="1">
      <c r="A20" s="671"/>
      <c r="B20" s="434" t="s">
        <v>125</v>
      </c>
      <c r="C20" s="55"/>
      <c r="D20" s="42" t="s">
        <v>60</v>
      </c>
      <c r="E20" s="83"/>
      <c r="F20" s="343">
        <v>43.14</v>
      </c>
      <c r="G20" s="57">
        <v>1679</v>
      </c>
      <c r="H20" s="84">
        <f t="shared" si="12"/>
        <v>72432.06</v>
      </c>
      <c r="I20" s="437"/>
      <c r="J20" s="93">
        <v>17</v>
      </c>
      <c r="K20" s="44">
        <v>1500</v>
      </c>
      <c r="L20" s="47">
        <v>88.235294117647058</v>
      </c>
      <c r="M20" s="93">
        <v>16</v>
      </c>
      <c r="N20" s="94">
        <f t="shared" si="13"/>
        <v>1399.166666666667</v>
      </c>
      <c r="O20" s="95">
        <f t="shared" si="14"/>
        <v>87.447916666666686</v>
      </c>
      <c r="P20" s="54">
        <f t="shared" si="10"/>
        <v>-1</v>
      </c>
      <c r="Q20" s="88">
        <f t="shared" si="11"/>
        <v>-0.78737745098037237</v>
      </c>
      <c r="R20" s="430">
        <f t="shared" si="15"/>
        <v>0.99107638888888916</v>
      </c>
      <c r="S20" s="672"/>
      <c r="T20" s="89">
        <v>0.24791666666666667</v>
      </c>
      <c r="U20" s="89">
        <v>0.29791666666666666</v>
      </c>
      <c r="V20" s="437">
        <v>22</v>
      </c>
      <c r="W20" s="90">
        <f t="shared" ref="W20:W29" si="16">(U20-T20)*24*60</f>
        <v>71.999999999999986</v>
      </c>
      <c r="X20" s="96">
        <v>0.23750000000000002</v>
      </c>
      <c r="Y20" s="96">
        <v>0.24722222222222223</v>
      </c>
      <c r="Z20" s="54"/>
      <c r="AA20" s="54"/>
      <c r="AB20" s="673"/>
      <c r="AC20" s="673"/>
      <c r="AD20" s="437"/>
      <c r="AE20" s="437"/>
      <c r="AF20" s="91">
        <f t="shared" si="6"/>
        <v>-100.83333333333303</v>
      </c>
      <c r="AG20" s="92">
        <f t="shared" si="7"/>
        <v>0.93277777777777793</v>
      </c>
      <c r="AH20" s="715"/>
    </row>
    <row r="21" spans="1:34" ht="19.2" customHeight="1">
      <c r="A21" s="671"/>
      <c r="B21" s="434" t="s">
        <v>124</v>
      </c>
      <c r="C21" s="97"/>
      <c r="D21" s="98" t="s">
        <v>199</v>
      </c>
      <c r="E21" s="43"/>
      <c r="F21" s="343">
        <v>44.3</v>
      </c>
      <c r="G21" s="44">
        <v>2615</v>
      </c>
      <c r="H21" s="84">
        <f t="shared" si="12"/>
        <v>115844.49999999999</v>
      </c>
      <c r="I21" s="423"/>
      <c r="J21" s="93">
        <v>18</v>
      </c>
      <c r="K21" s="44">
        <v>1565</v>
      </c>
      <c r="L21" s="47">
        <v>86.944444444444443</v>
      </c>
      <c r="M21" s="93">
        <v>18</v>
      </c>
      <c r="N21" s="94">
        <f t="shared" si="13"/>
        <v>1426.3636363636363</v>
      </c>
      <c r="O21" s="95">
        <f t="shared" si="14"/>
        <v>79.242424242424235</v>
      </c>
      <c r="P21" s="54">
        <f t="shared" si="10"/>
        <v>0</v>
      </c>
      <c r="Q21" s="88">
        <f t="shared" si="11"/>
        <v>-7.7020202020202078</v>
      </c>
      <c r="R21" s="430">
        <f t="shared" si="15"/>
        <v>0.91141446413011906</v>
      </c>
      <c r="S21" s="672"/>
      <c r="T21" s="89">
        <v>0.30277777777777776</v>
      </c>
      <c r="U21" s="89">
        <v>0.37916666666666665</v>
      </c>
      <c r="V21" s="437">
        <v>7</v>
      </c>
      <c r="W21" s="90">
        <f t="shared" si="16"/>
        <v>110.00000000000001</v>
      </c>
      <c r="X21" s="96"/>
      <c r="Y21" s="96"/>
      <c r="Z21" s="54"/>
      <c r="AA21" s="54"/>
      <c r="AB21" s="673"/>
      <c r="AC21" s="673"/>
      <c r="AD21" s="437"/>
      <c r="AE21" s="437">
        <v>1</v>
      </c>
      <c r="AF21" s="48">
        <f t="shared" si="6"/>
        <v>-138.63636363636374</v>
      </c>
      <c r="AG21" s="427">
        <f t="shared" si="7"/>
        <v>0.91141446413011906</v>
      </c>
      <c r="AH21" s="716"/>
    </row>
    <row r="22" spans="1:34" ht="19.2" customHeight="1">
      <c r="A22" s="671"/>
      <c r="B22" s="434" t="s">
        <v>124</v>
      </c>
      <c r="C22" s="97"/>
      <c r="D22" s="42" t="s">
        <v>205</v>
      </c>
      <c r="E22" s="43"/>
      <c r="F22" s="343">
        <v>49.91</v>
      </c>
      <c r="G22" s="44">
        <v>3354</v>
      </c>
      <c r="H22" s="84">
        <f t="shared" si="12"/>
        <v>167398.13999999998</v>
      </c>
      <c r="I22" s="423"/>
      <c r="J22" s="93">
        <v>17</v>
      </c>
      <c r="K22" s="44">
        <v>1565</v>
      </c>
      <c r="L22" s="47">
        <v>92.058823529411768</v>
      </c>
      <c r="M22" s="93">
        <v>17</v>
      </c>
      <c r="N22" s="94">
        <f t="shared" si="13"/>
        <v>1417.1830985915497</v>
      </c>
      <c r="O22" s="95">
        <f t="shared" si="14"/>
        <v>83.363711681855861</v>
      </c>
      <c r="P22" s="54">
        <f t="shared" si="10"/>
        <v>0</v>
      </c>
      <c r="Q22" s="88">
        <f t="shared" si="11"/>
        <v>-8.695111847555907</v>
      </c>
      <c r="R22" s="430">
        <f t="shared" si="15"/>
        <v>0.90554830580929691</v>
      </c>
      <c r="S22" s="672"/>
      <c r="T22" s="89">
        <v>0.39513888888888887</v>
      </c>
      <c r="U22" s="89">
        <v>0.49374999999999997</v>
      </c>
      <c r="V22" s="437">
        <v>23</v>
      </c>
      <c r="W22" s="90">
        <f t="shared" si="16"/>
        <v>141.99999999999997</v>
      </c>
      <c r="X22" s="96">
        <v>0.3833333333333333</v>
      </c>
      <c r="Y22" s="96">
        <v>0.39444444444444443</v>
      </c>
      <c r="Z22" s="54"/>
      <c r="AA22" s="54"/>
      <c r="AB22" s="673"/>
      <c r="AC22" s="673"/>
      <c r="AD22" s="437">
        <v>1</v>
      </c>
      <c r="AE22" s="437"/>
      <c r="AF22" s="91">
        <f t="shared" si="6"/>
        <v>-147.81690140845035</v>
      </c>
      <c r="AG22" s="92">
        <f t="shared" si="7"/>
        <v>0.90554830580929691</v>
      </c>
      <c r="AH22" s="716"/>
    </row>
    <row r="23" spans="1:34" ht="19.2" customHeight="1">
      <c r="A23" s="671"/>
      <c r="B23" s="434" t="s">
        <v>122</v>
      </c>
      <c r="C23" s="97"/>
      <c r="D23" s="42" t="s">
        <v>54</v>
      </c>
      <c r="E23" s="43"/>
      <c r="F23" s="343">
        <v>38.479999999999997</v>
      </c>
      <c r="G23" s="44">
        <v>3723</v>
      </c>
      <c r="H23" s="84">
        <f t="shared" si="12"/>
        <v>143261.03999999998</v>
      </c>
      <c r="I23" s="423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2482</v>
      </c>
      <c r="O23" s="95">
        <f t="shared" si="14"/>
        <v>130.63157894736841</v>
      </c>
      <c r="P23" s="54">
        <f t="shared" si="10"/>
        <v>0</v>
      </c>
      <c r="Q23" s="88">
        <f t="shared" si="11"/>
        <v>-15.10526315789474</v>
      </c>
      <c r="R23" s="430">
        <f t="shared" si="15"/>
        <v>0.89635247381726257</v>
      </c>
      <c r="S23" s="672"/>
      <c r="T23" s="89">
        <v>0.53402777777777766</v>
      </c>
      <c r="U23" s="89">
        <v>0.59652777777777766</v>
      </c>
      <c r="V23" s="437">
        <v>5</v>
      </c>
      <c r="W23" s="90">
        <f t="shared" si="16"/>
        <v>90</v>
      </c>
      <c r="X23" s="96"/>
      <c r="Y23" s="96"/>
      <c r="Z23" s="54"/>
      <c r="AA23" s="54"/>
      <c r="AB23" s="673"/>
      <c r="AC23" s="673"/>
      <c r="AD23" s="437"/>
      <c r="AE23" s="437"/>
      <c r="AF23" s="48">
        <f t="shared" si="6"/>
        <v>-287</v>
      </c>
      <c r="AG23" s="427">
        <f t="shared" si="7"/>
        <v>0.89635247381726257</v>
      </c>
      <c r="AH23" s="716"/>
    </row>
    <row r="24" spans="1:34" ht="19.2" customHeight="1">
      <c r="A24" s="671"/>
      <c r="B24" s="434" t="s">
        <v>122</v>
      </c>
      <c r="C24" s="81"/>
      <c r="D24" s="82" t="s">
        <v>59</v>
      </c>
      <c r="E24" s="83"/>
      <c r="F24" s="343">
        <v>36.86</v>
      </c>
      <c r="G24" s="57">
        <v>2161.9499999999998</v>
      </c>
      <c r="H24" s="84">
        <f t="shared" si="12"/>
        <v>79689.476999999999</v>
      </c>
      <c r="I24" s="423">
        <v>1</v>
      </c>
      <c r="J24" s="93">
        <v>18</v>
      </c>
      <c r="K24" s="44">
        <v>2400</v>
      </c>
      <c r="L24" s="47">
        <v>133.33333333333334</v>
      </c>
      <c r="M24" s="93">
        <v>18</v>
      </c>
      <c r="N24" s="94">
        <f t="shared" si="13"/>
        <v>2126.5081967213132</v>
      </c>
      <c r="O24" s="95">
        <f t="shared" si="14"/>
        <v>118.13934426229518</v>
      </c>
      <c r="P24" s="54">
        <f t="shared" si="10"/>
        <v>0</v>
      </c>
      <c r="Q24" s="88">
        <f t="shared" si="11"/>
        <v>-15.19398907103816</v>
      </c>
      <c r="R24" s="430">
        <f t="shared" si="15"/>
        <v>0.88604508196721377</v>
      </c>
      <c r="S24" s="672"/>
      <c r="T24" s="89">
        <v>0.60138888888888875</v>
      </c>
      <c r="U24" s="89">
        <v>0.64374999999999982</v>
      </c>
      <c r="V24" s="437">
        <v>7</v>
      </c>
      <c r="W24" s="90">
        <f t="shared" si="16"/>
        <v>60.999999999999943</v>
      </c>
      <c r="X24" s="96"/>
      <c r="Y24" s="96"/>
      <c r="Z24" s="54"/>
      <c r="AA24" s="54"/>
      <c r="AB24" s="673"/>
      <c r="AC24" s="673"/>
      <c r="AD24" s="437"/>
      <c r="AE24" s="437"/>
      <c r="AF24" s="91">
        <f t="shared" si="6"/>
        <v>-273.4918032786868</v>
      </c>
      <c r="AG24" s="92">
        <f t="shared" si="7"/>
        <v>0.88604508196721388</v>
      </c>
      <c r="AH24" s="716"/>
    </row>
    <row r="25" spans="1:34" ht="19.2" customHeight="1">
      <c r="A25" s="671"/>
      <c r="B25" s="434">
        <v>0</v>
      </c>
      <c r="C25" s="81"/>
      <c r="D25" s="82"/>
      <c r="E25" s="83"/>
      <c r="F25" s="343" t="s">
        <v>128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430"/>
      <c r="S25" s="672"/>
      <c r="T25" s="89"/>
      <c r="U25" s="89"/>
      <c r="V25" s="437"/>
      <c r="W25" s="90">
        <f t="shared" si="16"/>
        <v>0</v>
      </c>
      <c r="X25" s="437"/>
      <c r="Y25" s="437"/>
      <c r="Z25" s="54"/>
      <c r="AA25" s="54"/>
      <c r="AB25" s="673"/>
      <c r="AC25" s="673"/>
      <c r="AD25" s="437"/>
      <c r="AE25" s="437"/>
      <c r="AF25" s="48">
        <f t="shared" si="6"/>
        <v>0</v>
      </c>
      <c r="AG25" s="427" t="e">
        <f t="shared" si="7"/>
        <v>#DIV/0!</v>
      </c>
      <c r="AH25" s="716"/>
    </row>
    <row r="26" spans="1:34" ht="19.2" customHeight="1">
      <c r="A26" s="671"/>
      <c r="B26" s="434">
        <v>0</v>
      </c>
      <c r="C26" s="81"/>
      <c r="D26" s="82"/>
      <c r="E26" s="83"/>
      <c r="F26" s="343" t="s">
        <v>128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30"/>
      <c r="S26" s="672"/>
      <c r="T26" s="89"/>
      <c r="U26" s="89"/>
      <c r="V26" s="437"/>
      <c r="W26" s="90">
        <f t="shared" si="16"/>
        <v>0</v>
      </c>
      <c r="X26" s="437"/>
      <c r="Y26" s="437"/>
      <c r="Z26" s="54"/>
      <c r="AA26" s="54"/>
      <c r="AB26" s="673"/>
      <c r="AC26" s="673"/>
      <c r="AD26" s="437"/>
      <c r="AE26" s="437"/>
      <c r="AF26" s="91">
        <f t="shared" si="6"/>
        <v>0</v>
      </c>
      <c r="AG26" s="92" t="e">
        <f t="shared" si="7"/>
        <v>#DIV/0!</v>
      </c>
      <c r="AH26" s="716"/>
    </row>
    <row r="27" spans="1:34" ht="19.2" customHeight="1">
      <c r="A27" s="671"/>
      <c r="B27" s="80">
        <v>0</v>
      </c>
      <c r="C27" s="81"/>
      <c r="D27" s="82"/>
      <c r="E27" s="83"/>
      <c r="F27" s="346" t="s">
        <v>128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30"/>
      <c r="S27" s="672"/>
      <c r="T27" s="89"/>
      <c r="U27" s="89"/>
      <c r="V27" s="437"/>
      <c r="W27" s="90">
        <f t="shared" si="16"/>
        <v>0</v>
      </c>
      <c r="X27" s="437"/>
      <c r="Y27" s="437"/>
      <c r="Z27" s="54"/>
      <c r="AA27" s="54"/>
      <c r="AB27" s="673"/>
      <c r="AC27" s="673"/>
      <c r="AD27" s="437"/>
      <c r="AE27" s="437"/>
      <c r="AF27" s="48">
        <f t="shared" si="6"/>
        <v>0</v>
      </c>
      <c r="AG27" s="427" t="e">
        <f t="shared" si="7"/>
        <v>#DIV/0!</v>
      </c>
      <c r="AH27" s="716"/>
    </row>
    <row r="28" spans="1:34" ht="19.2" customHeight="1">
      <c r="A28" s="671"/>
      <c r="B28" s="80">
        <v>0</v>
      </c>
      <c r="C28" s="81"/>
      <c r="D28" s="82"/>
      <c r="E28" s="83"/>
      <c r="F28" s="346" t="s">
        <v>128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30"/>
      <c r="S28" s="672"/>
      <c r="T28" s="89"/>
      <c r="U28" s="89"/>
      <c r="V28" s="437"/>
      <c r="W28" s="90">
        <f t="shared" si="16"/>
        <v>0</v>
      </c>
      <c r="X28" s="437"/>
      <c r="Y28" s="437"/>
      <c r="Z28" s="54"/>
      <c r="AA28" s="54"/>
      <c r="AB28" s="673"/>
      <c r="AC28" s="673"/>
      <c r="AD28" s="437"/>
      <c r="AE28" s="437"/>
      <c r="AF28" s="91">
        <f t="shared" si="6"/>
        <v>0</v>
      </c>
      <c r="AG28" s="92" t="e">
        <f t="shared" si="7"/>
        <v>#DIV/0!</v>
      </c>
      <c r="AH28" s="716"/>
    </row>
    <row r="29" spans="1:34" ht="19.2" customHeight="1">
      <c r="A29" s="671"/>
      <c r="B29" s="80">
        <v>0</v>
      </c>
      <c r="C29" s="81"/>
      <c r="D29" s="82"/>
      <c r="E29" s="83"/>
      <c r="F29" s="346" t="s">
        <v>128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30"/>
      <c r="S29" s="672"/>
      <c r="T29" s="89"/>
      <c r="U29" s="89"/>
      <c r="V29" s="437"/>
      <c r="W29" s="90">
        <f t="shared" si="16"/>
        <v>0</v>
      </c>
      <c r="X29" s="437"/>
      <c r="Y29" s="437"/>
      <c r="Z29" s="54"/>
      <c r="AA29" s="54"/>
      <c r="AB29" s="673"/>
      <c r="AC29" s="673"/>
      <c r="AD29" s="437"/>
      <c r="AE29" s="437"/>
      <c r="AF29" s="48">
        <f t="shared" si="6"/>
        <v>0</v>
      </c>
      <c r="AG29" s="427"/>
      <c r="AH29" s="716"/>
    </row>
    <row r="30" spans="1:34" ht="19.2" customHeight="1">
      <c r="A30" s="671"/>
      <c r="B30" s="99">
        <v>0</v>
      </c>
      <c r="C30" s="100" t="s">
        <v>303</v>
      </c>
      <c r="D30" s="718" t="s">
        <v>301</v>
      </c>
      <c r="E30" s="718"/>
      <c r="F30" s="347"/>
      <c r="G30" s="101"/>
      <c r="H30" s="102"/>
      <c r="I30" s="103"/>
      <c r="J30" s="101">
        <v>17</v>
      </c>
      <c r="K30" s="101">
        <v>2028.4285714285713</v>
      </c>
      <c r="L30" s="104">
        <v>120.90124821858569</v>
      </c>
      <c r="M30" s="101">
        <f t="shared" ref="M30:O30" si="17">AVERAGE(M18:M29)</f>
        <v>16.857142857142858</v>
      </c>
      <c r="N30" s="101">
        <f t="shared" si="17"/>
        <v>1788.8773201714728</v>
      </c>
      <c r="O30" s="104">
        <f t="shared" si="17"/>
        <v>106.42673974022325</v>
      </c>
      <c r="P30" s="54">
        <f t="shared" ref="P30:P37" si="18">M30-J30</f>
        <v>-0.14285714285714235</v>
      </c>
      <c r="Q30" s="88">
        <f t="shared" ref="Q30:Q37" si="19">O30-L30</f>
        <v>-14.474508478362438</v>
      </c>
      <c r="R30" s="105">
        <f t="shared" ref="R30:R37" si="20">O30/L30</f>
        <v>0.88027825442965668</v>
      </c>
      <c r="S30" s="672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673"/>
      <c r="AC30" s="673"/>
      <c r="AD30" s="107">
        <f>SUM(AD18:AD29)</f>
        <v>2</v>
      </c>
      <c r="AE30" s="107">
        <f>SUM(AE18:AE29)</f>
        <v>1</v>
      </c>
      <c r="AF30" s="108">
        <f t="shared" si="6"/>
        <v>-239.55125125709856</v>
      </c>
      <c r="AG30" s="109">
        <f t="shared" ref="AG30" si="21">N30/K30</f>
        <v>0.8819030383266645</v>
      </c>
      <c r="AH30" s="717"/>
    </row>
    <row r="31" spans="1:34" ht="19.2" customHeight="1">
      <c r="A31" s="708" t="s">
        <v>304</v>
      </c>
      <c r="B31" s="110" t="s">
        <v>125</v>
      </c>
      <c r="C31" s="66"/>
      <c r="D31" s="42" t="s">
        <v>190</v>
      </c>
      <c r="E31" s="111"/>
      <c r="F31" s="348">
        <v>26.5</v>
      </c>
      <c r="G31" s="134">
        <v>1698.45</v>
      </c>
      <c r="H31" s="112">
        <f t="shared" ref="H31:H40" si="22">F31*G31</f>
        <v>45008.925000000003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1455.8142857142861</v>
      </c>
      <c r="O31" s="115">
        <f t="shared" ref="O31:O37" si="24">N31/M31</f>
        <v>121.31785714285718</v>
      </c>
      <c r="P31" s="116">
        <f t="shared" si="18"/>
        <v>0</v>
      </c>
      <c r="Q31" s="117">
        <f t="shared" si="19"/>
        <v>-45.348809523809479</v>
      </c>
      <c r="R31" s="431">
        <f t="shared" si="20"/>
        <v>0.72790714285714309</v>
      </c>
      <c r="S31" s="709">
        <f>R43</f>
        <v>0.85617995304185546</v>
      </c>
      <c r="T31" s="118">
        <v>0.125</v>
      </c>
      <c r="U31" s="118">
        <v>0.1736111111111111</v>
      </c>
      <c r="V31" s="142">
        <v>5</v>
      </c>
      <c r="W31" s="119">
        <f t="shared" ref="W31:W42" si="25">(U31-T31)*24*60</f>
        <v>69.999999999999986</v>
      </c>
      <c r="X31" s="52"/>
      <c r="Y31" s="52"/>
      <c r="Z31" s="51"/>
      <c r="AA31" s="51"/>
      <c r="AB31" s="673"/>
      <c r="AC31" s="673"/>
      <c r="AD31" s="52"/>
      <c r="AE31" s="52"/>
      <c r="AF31" s="116">
        <f t="shared" si="6"/>
        <v>-544.18571428571386</v>
      </c>
      <c r="AG31" s="120">
        <f t="shared" si="7"/>
        <v>0.72790714285714309</v>
      </c>
      <c r="AH31" s="687">
        <f>AG43</f>
        <v>0.84881371971777875</v>
      </c>
    </row>
    <row r="32" spans="1:34" ht="19.2" customHeight="1">
      <c r="A32" s="701"/>
      <c r="B32" s="121" t="s">
        <v>126</v>
      </c>
      <c r="C32" s="122"/>
      <c r="D32" s="42" t="s">
        <v>61</v>
      </c>
      <c r="E32" s="43"/>
      <c r="F32" s="343">
        <v>35.33</v>
      </c>
      <c r="G32" s="134">
        <v>2170</v>
      </c>
      <c r="H32" s="84">
        <f t="shared" si="22"/>
        <v>76666.099999999991</v>
      </c>
      <c r="I32" s="420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1886.9565217391305</v>
      </c>
      <c r="O32" s="47">
        <f t="shared" si="24"/>
        <v>157.24637681159422</v>
      </c>
      <c r="P32" s="116">
        <f t="shared" si="18"/>
        <v>0</v>
      </c>
      <c r="Q32" s="49">
        <f t="shared" si="19"/>
        <v>-19.253623188405783</v>
      </c>
      <c r="R32" s="427">
        <f t="shared" si="20"/>
        <v>0.89091431621299844</v>
      </c>
      <c r="S32" s="672"/>
      <c r="T32" s="89">
        <v>0.17847222222222223</v>
      </c>
      <c r="U32" s="89">
        <v>0.22638888888888889</v>
      </c>
      <c r="V32" s="142">
        <v>7</v>
      </c>
      <c r="W32" s="90">
        <f t="shared" si="25"/>
        <v>69</v>
      </c>
      <c r="X32" s="123"/>
      <c r="Y32" s="123"/>
      <c r="Z32" s="124"/>
      <c r="AA32" s="124"/>
      <c r="AB32" s="673"/>
      <c r="AC32" s="673"/>
      <c r="AD32" s="437"/>
      <c r="AE32" s="437"/>
      <c r="AF32" s="48">
        <f t="shared" si="6"/>
        <v>-231.04347826086951</v>
      </c>
      <c r="AG32" s="427">
        <f t="shared" si="7"/>
        <v>0.89091431621299833</v>
      </c>
      <c r="AH32" s="688"/>
    </row>
    <row r="33" spans="1:34" ht="19.2" customHeight="1">
      <c r="A33" s="701"/>
      <c r="B33" s="121" t="s">
        <v>126</v>
      </c>
      <c r="C33" s="437"/>
      <c r="D33" s="42" t="s">
        <v>88</v>
      </c>
      <c r="E33" s="83"/>
      <c r="F33" s="343">
        <v>34.229999999999997</v>
      </c>
      <c r="G33" s="134">
        <v>2136.5500000000002</v>
      </c>
      <c r="H33" s="84">
        <f t="shared" si="22"/>
        <v>73134.106499999994</v>
      </c>
      <c r="I33" s="437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2003.0156250000009</v>
      </c>
      <c r="O33" s="47">
        <f t="shared" si="24"/>
        <v>154.07812500000006</v>
      </c>
      <c r="P33" s="116">
        <f t="shared" si="18"/>
        <v>0</v>
      </c>
      <c r="Q33" s="49">
        <f t="shared" si="19"/>
        <v>-18.998798076923009</v>
      </c>
      <c r="R33" s="427">
        <f t="shared" si="20"/>
        <v>0.89022916666666707</v>
      </c>
      <c r="S33" s="672"/>
      <c r="T33" s="89">
        <v>0.24236111111111111</v>
      </c>
      <c r="U33" s="89">
        <v>0.28680555555555554</v>
      </c>
      <c r="V33" s="142">
        <v>23</v>
      </c>
      <c r="W33" s="90">
        <f t="shared" si="25"/>
        <v>63.999999999999972</v>
      </c>
      <c r="X33" s="123">
        <v>0.23055555555555554</v>
      </c>
      <c r="Y33" s="123">
        <v>0.24166666666666667</v>
      </c>
      <c r="Z33" s="124"/>
      <c r="AA33" s="124"/>
      <c r="AB33" s="673"/>
      <c r="AC33" s="673"/>
      <c r="AD33" s="437"/>
      <c r="AE33" s="437"/>
      <c r="AF33" s="48">
        <f t="shared" si="6"/>
        <v>-246.98437499999909</v>
      </c>
      <c r="AG33" s="125">
        <f t="shared" si="7"/>
        <v>0.89022916666666707</v>
      </c>
      <c r="AH33" s="688"/>
    </row>
    <row r="34" spans="1:34" ht="19.2" customHeight="1">
      <c r="A34" s="701"/>
      <c r="B34" s="121" t="s">
        <v>126</v>
      </c>
      <c r="C34" s="126"/>
      <c r="D34" s="147" t="s">
        <v>90</v>
      </c>
      <c r="E34" s="83"/>
      <c r="F34" s="343">
        <v>35.83</v>
      </c>
      <c r="G34" s="137">
        <v>3168</v>
      </c>
      <c r="H34" s="84">
        <f t="shared" si="22"/>
        <v>113509.43999999999</v>
      </c>
      <c r="I34" s="437"/>
      <c r="J34" s="113">
        <v>11</v>
      </c>
      <c r="K34" s="94">
        <v>2250</v>
      </c>
      <c r="L34" s="95">
        <v>204.54545454545453</v>
      </c>
      <c r="M34" s="149">
        <v>11</v>
      </c>
      <c r="N34" s="44">
        <f t="shared" si="23"/>
        <v>2022.1276595744685</v>
      </c>
      <c r="O34" s="47">
        <f t="shared" si="24"/>
        <v>183.82978723404258</v>
      </c>
      <c r="P34" s="116">
        <f t="shared" si="18"/>
        <v>0</v>
      </c>
      <c r="Q34" s="49">
        <f t="shared" si="19"/>
        <v>-20.715667311411949</v>
      </c>
      <c r="R34" s="427">
        <f t="shared" si="20"/>
        <v>0.89872340425531938</v>
      </c>
      <c r="S34" s="672"/>
      <c r="T34" s="89">
        <v>0.29166666666666663</v>
      </c>
      <c r="U34" s="89">
        <v>0.3569444444444444</v>
      </c>
      <c r="V34" s="137">
        <v>7</v>
      </c>
      <c r="W34" s="90">
        <f t="shared" si="25"/>
        <v>93.999999999999986</v>
      </c>
      <c r="X34" s="123"/>
      <c r="Y34" s="123"/>
      <c r="Z34" s="124"/>
      <c r="AA34" s="124"/>
      <c r="AB34" s="673"/>
      <c r="AC34" s="673"/>
      <c r="AD34" s="437"/>
      <c r="AE34" s="437"/>
      <c r="AF34" s="48">
        <f t="shared" si="6"/>
        <v>-227.87234042553155</v>
      </c>
      <c r="AG34" s="125">
        <f t="shared" si="7"/>
        <v>0.89872340425531927</v>
      </c>
      <c r="AH34" s="688"/>
    </row>
    <row r="35" spans="1:34" ht="19.2" customHeight="1">
      <c r="A35" s="701"/>
      <c r="B35" s="121" t="s">
        <v>124</v>
      </c>
      <c r="C35" s="41"/>
      <c r="D35" s="150" t="s">
        <v>173</v>
      </c>
      <c r="E35" s="43"/>
      <c r="F35" s="343">
        <v>49.91</v>
      </c>
      <c r="G35" s="137">
        <v>3113.2799999999997</v>
      </c>
      <c r="H35" s="84">
        <f t="shared" si="22"/>
        <v>155383.80479999998</v>
      </c>
      <c r="I35" s="423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1343.8618705035972</v>
      </c>
      <c r="O35" s="47">
        <f t="shared" si="24"/>
        <v>79.050698264917486</v>
      </c>
      <c r="P35" s="116">
        <f t="shared" si="18"/>
        <v>0</v>
      </c>
      <c r="Q35" s="49">
        <f t="shared" si="19"/>
        <v>-13.008125264494282</v>
      </c>
      <c r="R35" s="427">
        <f t="shared" si="20"/>
        <v>0.85869768083296949</v>
      </c>
      <c r="S35" s="672"/>
      <c r="T35" s="89">
        <v>0.37291666666666662</v>
      </c>
      <c r="U35" s="89">
        <v>0.46944444444444439</v>
      </c>
      <c r="V35" s="134">
        <v>23</v>
      </c>
      <c r="W35" s="90">
        <f t="shared" si="25"/>
        <v>139</v>
      </c>
      <c r="X35" s="123">
        <v>0.3611111111111111</v>
      </c>
      <c r="Y35" s="123">
        <v>0.37222222222222223</v>
      </c>
      <c r="Z35" s="124"/>
      <c r="AA35" s="124"/>
      <c r="AB35" s="673"/>
      <c r="AC35" s="673"/>
      <c r="AD35" s="437"/>
      <c r="AE35" s="437"/>
      <c r="AF35" s="116">
        <f t="shared" si="6"/>
        <v>-221.13812949640283</v>
      </c>
      <c r="AG35" s="120">
        <f t="shared" si="7"/>
        <v>0.85869768083296949</v>
      </c>
      <c r="AH35" s="689"/>
    </row>
    <row r="36" spans="1:34" ht="19.2" customHeight="1">
      <c r="A36" s="701"/>
      <c r="B36" s="121" t="s">
        <v>122</v>
      </c>
      <c r="C36" s="128"/>
      <c r="D36" s="150" t="s">
        <v>194</v>
      </c>
      <c r="E36" s="83"/>
      <c r="F36" s="343">
        <v>46.93</v>
      </c>
      <c r="G36" s="134">
        <v>1206</v>
      </c>
      <c r="H36" s="84">
        <f t="shared" si="22"/>
        <v>56597.58</v>
      </c>
      <c r="I36" s="437"/>
      <c r="J36" s="113">
        <v>19</v>
      </c>
      <c r="K36" s="94">
        <v>2400</v>
      </c>
      <c r="L36" s="95">
        <v>126.31578947368421</v>
      </c>
      <c r="M36" s="149">
        <v>18</v>
      </c>
      <c r="N36" s="44">
        <f t="shared" si="23"/>
        <v>2009.9999999999982</v>
      </c>
      <c r="O36" s="47">
        <f t="shared" si="24"/>
        <v>111.66666666666657</v>
      </c>
      <c r="P36" s="116">
        <f t="shared" si="18"/>
        <v>-1</v>
      </c>
      <c r="Q36" s="49">
        <f t="shared" si="19"/>
        <v>-14.649122807017633</v>
      </c>
      <c r="R36" s="427">
        <f t="shared" si="20"/>
        <v>0.88402777777777708</v>
      </c>
      <c r="S36" s="672"/>
      <c r="T36" s="89">
        <v>0.50972222222222208</v>
      </c>
      <c r="U36" s="89">
        <v>0.5347222222222221</v>
      </c>
      <c r="V36" s="134">
        <v>5</v>
      </c>
      <c r="W36" s="90">
        <f t="shared" si="25"/>
        <v>36.000000000000028</v>
      </c>
      <c r="X36" s="123"/>
      <c r="Y36" s="123"/>
      <c r="Z36" s="124"/>
      <c r="AA36" s="124"/>
      <c r="AB36" s="673"/>
      <c r="AC36" s="673"/>
      <c r="AD36" s="437">
        <v>1</v>
      </c>
      <c r="AE36" s="437"/>
      <c r="AF36" s="48">
        <f t="shared" si="6"/>
        <v>-390.00000000000182</v>
      </c>
      <c r="AG36" s="427">
        <f t="shared" si="7"/>
        <v>0.83749999999999925</v>
      </c>
      <c r="AH36" s="689"/>
    </row>
    <row r="37" spans="1:34" ht="19.2" customHeight="1">
      <c r="A37" s="701"/>
      <c r="B37" s="121" t="s">
        <v>122</v>
      </c>
      <c r="C37" s="128"/>
      <c r="D37" s="150" t="s">
        <v>201</v>
      </c>
      <c r="E37" s="83"/>
      <c r="F37" s="343">
        <v>43.96</v>
      </c>
      <c r="G37" s="134">
        <v>1497</v>
      </c>
      <c r="H37" s="84">
        <f t="shared" si="22"/>
        <v>65808.12</v>
      </c>
      <c r="I37" s="437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1996</v>
      </c>
      <c r="O37" s="47">
        <f t="shared" si="24"/>
        <v>105.05263157894737</v>
      </c>
      <c r="P37" s="116">
        <f t="shared" si="18"/>
        <v>0</v>
      </c>
      <c r="Q37" s="49">
        <f t="shared" si="19"/>
        <v>-21.263157894736835</v>
      </c>
      <c r="R37" s="427">
        <f t="shared" si="20"/>
        <v>0.83166666666666667</v>
      </c>
      <c r="S37" s="672"/>
      <c r="T37" s="89">
        <v>0.54027777777777763</v>
      </c>
      <c r="U37" s="89">
        <v>0.57152777777777763</v>
      </c>
      <c r="V37" s="134">
        <v>8</v>
      </c>
      <c r="W37" s="90">
        <f t="shared" si="25"/>
        <v>45</v>
      </c>
      <c r="X37" s="123"/>
      <c r="Y37" s="123"/>
      <c r="Z37" s="124"/>
      <c r="AA37" s="124"/>
      <c r="AB37" s="673"/>
      <c r="AC37" s="673"/>
      <c r="AD37" s="437"/>
      <c r="AE37" s="437"/>
      <c r="AF37" s="48">
        <f t="shared" si="6"/>
        <v>-404</v>
      </c>
      <c r="AG37" s="125">
        <f t="shared" si="7"/>
        <v>0.83166666666666667</v>
      </c>
      <c r="AH37" s="689"/>
    </row>
    <row r="38" spans="1:34" ht="19.2" customHeight="1">
      <c r="A38" s="701"/>
      <c r="B38" s="121">
        <v>0</v>
      </c>
      <c r="C38" s="128"/>
      <c r="D38" s="150"/>
      <c r="E38" s="83"/>
      <c r="F38" s="343" t="s">
        <v>128</v>
      </c>
      <c r="G38" s="134"/>
      <c r="H38" s="84">
        <f t="shared" si="22"/>
        <v>0</v>
      </c>
      <c r="I38" s="437"/>
      <c r="J38" s="113"/>
      <c r="K38" s="94"/>
      <c r="L38" s="95"/>
      <c r="M38" s="149"/>
      <c r="N38" s="44"/>
      <c r="O38" s="47"/>
      <c r="P38" s="116"/>
      <c r="Q38" s="49"/>
      <c r="R38" s="427"/>
      <c r="S38" s="672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673"/>
      <c r="AC38" s="673"/>
      <c r="AD38" s="437"/>
      <c r="AE38" s="437"/>
      <c r="AF38" s="48">
        <f t="shared" si="6"/>
        <v>0</v>
      </c>
      <c r="AG38" s="125" t="e">
        <f t="shared" si="7"/>
        <v>#DIV/0!</v>
      </c>
      <c r="AH38" s="689"/>
    </row>
    <row r="39" spans="1:34" ht="19.2" customHeight="1">
      <c r="A39" s="701"/>
      <c r="B39" s="121">
        <v>0</v>
      </c>
      <c r="C39" s="126"/>
      <c r="D39" s="42"/>
      <c r="E39" s="43"/>
      <c r="F39" s="343" t="s">
        <v>128</v>
      </c>
      <c r="G39" s="57"/>
      <c r="H39" s="84">
        <f t="shared" si="22"/>
        <v>0</v>
      </c>
      <c r="I39" s="437"/>
      <c r="J39" s="113"/>
      <c r="K39" s="94"/>
      <c r="L39" s="95"/>
      <c r="M39" s="426"/>
      <c r="N39" s="44"/>
      <c r="O39" s="47"/>
      <c r="P39" s="116"/>
      <c r="Q39" s="49"/>
      <c r="R39" s="427"/>
      <c r="S39" s="672"/>
      <c r="T39" s="89"/>
      <c r="U39" s="89"/>
      <c r="V39" s="437" t="s">
        <v>15</v>
      </c>
      <c r="W39" s="90">
        <f t="shared" si="25"/>
        <v>0</v>
      </c>
      <c r="X39" s="123"/>
      <c r="Y39" s="123"/>
      <c r="Z39" s="124"/>
      <c r="AA39" s="124"/>
      <c r="AB39" s="673"/>
      <c r="AC39" s="673"/>
      <c r="AD39" s="437"/>
      <c r="AE39" s="437"/>
      <c r="AF39" s="116">
        <f t="shared" si="6"/>
        <v>0</v>
      </c>
      <c r="AG39" s="120" t="e">
        <f t="shared" si="7"/>
        <v>#DIV/0!</v>
      </c>
      <c r="AH39" s="689"/>
    </row>
    <row r="40" spans="1:34" ht="19.2" customHeight="1">
      <c r="A40" s="701"/>
      <c r="B40" s="130">
        <v>0</v>
      </c>
      <c r="C40" s="97"/>
      <c r="D40" s="42"/>
      <c r="E40" s="43"/>
      <c r="F40" s="343" t="s">
        <v>128</v>
      </c>
      <c r="G40" s="44"/>
      <c r="H40" s="84">
        <f t="shared" si="22"/>
        <v>0</v>
      </c>
      <c r="I40" s="423"/>
      <c r="J40" s="46"/>
      <c r="K40" s="44"/>
      <c r="L40" s="47"/>
      <c r="M40" s="421" t="s">
        <v>15</v>
      </c>
      <c r="N40" s="44"/>
      <c r="O40" s="47"/>
      <c r="P40" s="116"/>
      <c r="Q40" s="49"/>
      <c r="R40" s="427"/>
      <c r="S40" s="672"/>
      <c r="T40" s="89"/>
      <c r="U40" s="89"/>
      <c r="V40" s="437"/>
      <c r="W40" s="90">
        <f t="shared" si="25"/>
        <v>0</v>
      </c>
      <c r="X40" s="123"/>
      <c r="Y40" s="123"/>
      <c r="Z40" s="124"/>
      <c r="AA40" s="124"/>
      <c r="AB40" s="673"/>
      <c r="AC40" s="673"/>
      <c r="AD40" s="437"/>
      <c r="AE40" s="437"/>
      <c r="AF40" s="48">
        <f t="shared" si="6"/>
        <v>0</v>
      </c>
      <c r="AG40" s="427" t="e">
        <f t="shared" si="7"/>
        <v>#DIV/0!</v>
      </c>
      <c r="AH40" s="689"/>
    </row>
    <row r="41" spans="1:34" ht="19.2" customHeight="1">
      <c r="A41" s="701"/>
      <c r="B41" s="437">
        <v>0</v>
      </c>
      <c r="C41" s="55"/>
      <c r="D41" s="82"/>
      <c r="E41" s="83"/>
      <c r="F41" s="343" t="s">
        <v>128</v>
      </c>
      <c r="G41" s="57"/>
      <c r="H41" s="84"/>
      <c r="I41" s="437"/>
      <c r="J41" s="87"/>
      <c r="K41" s="57"/>
      <c r="L41" s="86"/>
      <c r="M41" s="426"/>
      <c r="N41" s="57"/>
      <c r="O41" s="86"/>
      <c r="P41" s="54"/>
      <c r="Q41" s="88"/>
      <c r="R41" s="430"/>
      <c r="S41" s="672"/>
      <c r="T41" s="89"/>
      <c r="U41" s="89"/>
      <c r="V41" s="437"/>
      <c r="W41" s="90">
        <f t="shared" si="25"/>
        <v>0</v>
      </c>
      <c r="X41" s="123"/>
      <c r="Y41" s="123"/>
      <c r="Z41" s="124"/>
      <c r="AA41" s="124"/>
      <c r="AB41" s="673"/>
      <c r="AC41" s="673"/>
      <c r="AD41" s="437"/>
      <c r="AE41" s="437"/>
      <c r="AF41" s="48"/>
      <c r="AG41" s="129"/>
      <c r="AH41" s="689"/>
    </row>
    <row r="42" spans="1:34" ht="19.2" customHeight="1">
      <c r="A42" s="701"/>
      <c r="B42" s="437">
        <v>0</v>
      </c>
      <c r="C42" s="55"/>
      <c r="D42" s="82"/>
      <c r="E42" s="83"/>
      <c r="F42" s="349" t="s">
        <v>128</v>
      </c>
      <c r="G42" s="57"/>
      <c r="H42" s="84">
        <f>F42*G42</f>
        <v>0</v>
      </c>
      <c r="I42" s="437"/>
      <c r="J42" s="87"/>
      <c r="K42" s="57"/>
      <c r="L42" s="86"/>
      <c r="M42" s="426"/>
      <c r="N42" s="57"/>
      <c r="O42" s="86"/>
      <c r="P42" s="54"/>
      <c r="Q42" s="88"/>
      <c r="R42" s="430"/>
      <c r="S42" s="672"/>
      <c r="T42" s="89"/>
      <c r="U42" s="89"/>
      <c r="V42" s="437"/>
      <c r="W42" s="90">
        <f t="shared" si="25"/>
        <v>0</v>
      </c>
      <c r="X42" s="123"/>
      <c r="Y42" s="123"/>
      <c r="Z42" s="124"/>
      <c r="AA42" s="124"/>
      <c r="AB42" s="673"/>
      <c r="AC42" s="673"/>
      <c r="AD42" s="437"/>
      <c r="AE42" s="437"/>
      <c r="AF42" s="48"/>
      <c r="AG42" s="129"/>
      <c r="AH42" s="689"/>
    </row>
    <row r="43" spans="1:34" ht="19.2" customHeight="1">
      <c r="A43" s="701"/>
      <c r="B43" s="121">
        <v>0</v>
      </c>
      <c r="C43" s="100" t="s">
        <v>305</v>
      </c>
      <c r="D43" s="669" t="s">
        <v>301</v>
      </c>
      <c r="E43" s="669"/>
      <c r="F43" s="347"/>
      <c r="G43" s="101"/>
      <c r="H43" s="102"/>
      <c r="I43" s="103"/>
      <c r="J43" s="101">
        <v>14.714285714285714</v>
      </c>
      <c r="K43" s="101">
        <v>2140.4285714285716</v>
      </c>
      <c r="L43" s="104">
        <v>152.21134953797491</v>
      </c>
      <c r="M43" s="101">
        <f t="shared" ref="M43:O43" si="26">AVERAGE(M31:M42)</f>
        <v>14.571428571428571</v>
      </c>
      <c r="N43" s="101">
        <f t="shared" si="26"/>
        <v>1816.8251375044972</v>
      </c>
      <c r="O43" s="104">
        <f t="shared" si="26"/>
        <v>130.3203060998608</v>
      </c>
      <c r="P43" s="54">
        <f>M43-J43</f>
        <v>-0.14285714285714235</v>
      </c>
      <c r="Q43" s="88">
        <f>N43-K43</f>
        <v>-323.60343392407435</v>
      </c>
      <c r="R43" s="105">
        <f t="shared" ref="R43:R50" si="27">O43/L43</f>
        <v>0.85617995304185546</v>
      </c>
      <c r="S43" s="672"/>
      <c r="T43" s="89"/>
      <c r="U43" s="89"/>
      <c r="V43" s="437"/>
      <c r="W43" s="437"/>
      <c r="X43" s="123"/>
      <c r="Y43" s="123"/>
      <c r="Z43" s="132">
        <f>SUM(Z31:Z42)</f>
        <v>0</v>
      </c>
      <c r="AA43" s="132">
        <f>SUM(AA31:AA42)</f>
        <v>0</v>
      </c>
      <c r="AB43" s="673"/>
      <c r="AC43" s="673"/>
      <c r="AD43" s="107">
        <f>SUM(AD31:AD42)</f>
        <v>1</v>
      </c>
      <c r="AE43" s="107">
        <f>SUM(AE31:AE42)</f>
        <v>0</v>
      </c>
      <c r="AF43" s="48">
        <f t="shared" ref="AF43:AF54" si="28">N43-K43</f>
        <v>-323.60343392407435</v>
      </c>
      <c r="AG43" s="428">
        <f t="shared" si="7"/>
        <v>0.84881371971777875</v>
      </c>
      <c r="AH43" s="689"/>
    </row>
    <row r="44" spans="1:34" s="145" customFormat="1" ht="19.2" customHeight="1">
      <c r="A44" s="711" t="s">
        <v>306</v>
      </c>
      <c r="B44" s="97" t="s">
        <v>126</v>
      </c>
      <c r="C44" s="133"/>
      <c r="D44" s="164" t="s">
        <v>73</v>
      </c>
      <c r="E44" s="43"/>
      <c r="F44" s="350">
        <v>24.73</v>
      </c>
      <c r="G44" s="134">
        <v>1839</v>
      </c>
      <c r="H44" s="45">
        <f>F44*G44</f>
        <v>45478.47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2163.5294117647068</v>
      </c>
      <c r="O44" s="138">
        <f t="shared" ref="O44:O50" si="30">N44/M44</f>
        <v>432.70588235294133</v>
      </c>
      <c r="P44" s="51">
        <f t="shared" ref="P44:P50" si="31">M44-J44</f>
        <v>1</v>
      </c>
      <c r="Q44" s="139">
        <f t="shared" ref="Q44:Q50" si="32">O44-L44</f>
        <v>-67.29411764705867</v>
      </c>
      <c r="R44" s="140">
        <f t="shared" si="27"/>
        <v>0.86541176470588266</v>
      </c>
      <c r="S44" s="688">
        <f>R56</f>
        <v>0.9076382227769344</v>
      </c>
      <c r="T44" s="118">
        <v>0.125</v>
      </c>
      <c r="U44" s="118">
        <v>0.16041666666666665</v>
      </c>
      <c r="V44" s="142">
        <v>5</v>
      </c>
      <c r="W44" s="143">
        <f t="shared" ref="W44:W56" si="33">(U44-T44)*24*60</f>
        <v>50.999999999999979</v>
      </c>
      <c r="X44" s="123"/>
      <c r="Y44" s="123"/>
      <c r="Z44" s="124"/>
      <c r="AA44" s="124"/>
      <c r="AB44" s="673"/>
      <c r="AC44" s="673"/>
      <c r="AD44" s="437"/>
      <c r="AE44" s="437"/>
      <c r="AF44" s="144">
        <f t="shared" si="28"/>
        <v>163.52941176470677</v>
      </c>
      <c r="AG44" s="432">
        <f t="shared" si="7"/>
        <v>1.0817647058823534</v>
      </c>
      <c r="AH44" s="705">
        <f>AG56</f>
        <v>0.99221366934762245</v>
      </c>
    </row>
    <row r="45" spans="1:34" s="145" customFormat="1" ht="19.2" customHeight="1">
      <c r="A45" s="712"/>
      <c r="B45" s="97" t="s">
        <v>126</v>
      </c>
      <c r="C45" s="133"/>
      <c r="D45" s="42" t="s">
        <v>74</v>
      </c>
      <c r="E45" s="43"/>
      <c r="F45" s="350">
        <v>24.73</v>
      </c>
      <c r="G45" s="134">
        <v>1758</v>
      </c>
      <c r="H45" s="45">
        <f>F45*G45</f>
        <v>43475.340000000004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2109.6000000000008</v>
      </c>
      <c r="O45" s="138">
        <f t="shared" si="30"/>
        <v>421.92000000000019</v>
      </c>
      <c r="P45" s="51">
        <f t="shared" si="31"/>
        <v>1</v>
      </c>
      <c r="Q45" s="139">
        <f t="shared" si="32"/>
        <v>-78.079999999999814</v>
      </c>
      <c r="R45" s="140">
        <f t="shared" si="27"/>
        <v>0.84384000000000037</v>
      </c>
      <c r="S45" s="688"/>
      <c r="T45" s="89">
        <v>0.16388888888888886</v>
      </c>
      <c r="U45" s="89">
        <v>0.19861111111111107</v>
      </c>
      <c r="V45" s="142">
        <v>5</v>
      </c>
      <c r="W45" s="143">
        <f t="shared" si="33"/>
        <v>49.999999999999986</v>
      </c>
      <c r="X45" s="123"/>
      <c r="Y45" s="123"/>
      <c r="Z45" s="124"/>
      <c r="AA45" s="124"/>
      <c r="AB45" s="673"/>
      <c r="AC45" s="673"/>
      <c r="AD45" s="437"/>
      <c r="AE45" s="437"/>
      <c r="AF45" s="144">
        <f t="shared" si="28"/>
        <v>109.60000000000082</v>
      </c>
      <c r="AG45" s="432">
        <f t="shared" si="7"/>
        <v>1.0548000000000004</v>
      </c>
      <c r="AH45" s="705"/>
    </row>
    <row r="46" spans="1:34" s="145" customFormat="1" ht="19.2" customHeight="1">
      <c r="A46" s="712"/>
      <c r="B46" s="97" t="s">
        <v>125</v>
      </c>
      <c r="C46" s="133"/>
      <c r="D46" s="42" t="s">
        <v>65</v>
      </c>
      <c r="E46" s="43"/>
      <c r="F46" s="350">
        <v>31.43</v>
      </c>
      <c r="G46" s="134">
        <v>1803</v>
      </c>
      <c r="H46" s="45">
        <f t="shared" ref="H46:H51" si="34">F46*G46</f>
        <v>56668.29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1442.3999999999996</v>
      </c>
      <c r="O46" s="138">
        <f t="shared" si="30"/>
        <v>206.05714285714279</v>
      </c>
      <c r="P46" s="51">
        <f t="shared" si="31"/>
        <v>0</v>
      </c>
      <c r="Q46" s="139">
        <f t="shared" si="32"/>
        <v>-8.2285714285714846</v>
      </c>
      <c r="R46" s="140">
        <f t="shared" si="27"/>
        <v>0.96159999999999979</v>
      </c>
      <c r="S46" s="688"/>
      <c r="T46" s="89">
        <v>0.20902777777777773</v>
      </c>
      <c r="U46" s="89">
        <v>0.26111111111111107</v>
      </c>
      <c r="V46" s="142">
        <v>15</v>
      </c>
      <c r="W46" s="143">
        <f t="shared" si="33"/>
        <v>75.000000000000014</v>
      </c>
      <c r="X46" s="123"/>
      <c r="Y46" s="123"/>
      <c r="Z46" s="124"/>
      <c r="AA46" s="124"/>
      <c r="AB46" s="673"/>
      <c r="AC46" s="673"/>
      <c r="AD46" s="437">
        <v>1</v>
      </c>
      <c r="AE46" s="437"/>
      <c r="AF46" s="144">
        <f t="shared" si="28"/>
        <v>-57.600000000000364</v>
      </c>
      <c r="AG46" s="432">
        <f t="shared" si="7"/>
        <v>0.96159999999999979</v>
      </c>
      <c r="AH46" s="705"/>
    </row>
    <row r="47" spans="1:34" s="145" customFormat="1" ht="19.2" customHeight="1">
      <c r="A47" s="712"/>
      <c r="B47" s="97" t="s">
        <v>125</v>
      </c>
      <c r="C47" s="133"/>
      <c r="D47" s="42" t="s">
        <v>202</v>
      </c>
      <c r="E47" s="148"/>
      <c r="F47" s="350">
        <v>28.47</v>
      </c>
      <c r="G47" s="137">
        <v>1806</v>
      </c>
      <c r="H47" s="45">
        <f t="shared" si="34"/>
        <v>51416.82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1444.8000000000006</v>
      </c>
      <c r="O47" s="138">
        <f t="shared" si="30"/>
        <v>206.40000000000009</v>
      </c>
      <c r="P47" s="51">
        <f t="shared" si="31"/>
        <v>0</v>
      </c>
      <c r="Q47" s="139">
        <f t="shared" si="32"/>
        <v>-7.8857142857141866</v>
      </c>
      <c r="R47" s="140">
        <f t="shared" si="27"/>
        <v>0.9632000000000005</v>
      </c>
      <c r="S47" s="688"/>
      <c r="T47" s="89">
        <v>0.27152777777777776</v>
      </c>
      <c r="U47" s="89">
        <v>0.32361111111111107</v>
      </c>
      <c r="V47" s="137">
        <v>15</v>
      </c>
      <c r="W47" s="143">
        <f t="shared" si="33"/>
        <v>74.999999999999972</v>
      </c>
      <c r="X47" s="123"/>
      <c r="Y47" s="123"/>
      <c r="Z47" s="124"/>
      <c r="AA47" s="124"/>
      <c r="AB47" s="673"/>
      <c r="AC47" s="673"/>
      <c r="AD47" s="437"/>
      <c r="AE47" s="437"/>
      <c r="AF47" s="144">
        <f t="shared" si="28"/>
        <v>-55.199999999999363</v>
      </c>
      <c r="AG47" s="432">
        <f t="shared" si="7"/>
        <v>0.96320000000000039</v>
      </c>
      <c r="AH47" s="705"/>
    </row>
    <row r="48" spans="1:34" s="145" customFormat="1" ht="19.2" customHeight="1">
      <c r="A48" s="712"/>
      <c r="B48" s="97" t="s">
        <v>125</v>
      </c>
      <c r="C48" s="133"/>
      <c r="D48" s="42" t="s">
        <v>172</v>
      </c>
      <c r="E48" s="148"/>
      <c r="F48" s="350">
        <v>11.86</v>
      </c>
      <c r="G48" s="137">
        <v>1567</v>
      </c>
      <c r="H48" s="45">
        <f t="shared" si="34"/>
        <v>18584.62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1446.4615384615381</v>
      </c>
      <c r="O48" s="138">
        <f t="shared" si="30"/>
        <v>241.07692307692301</v>
      </c>
      <c r="P48" s="51">
        <f t="shared" si="31"/>
        <v>0</v>
      </c>
      <c r="Q48" s="139">
        <f t="shared" si="32"/>
        <v>-31.589743589743676</v>
      </c>
      <c r="R48" s="140">
        <f t="shared" si="27"/>
        <v>0.88414519465864183</v>
      </c>
      <c r="S48" s="688"/>
      <c r="T48" s="89">
        <v>0.34097222222222218</v>
      </c>
      <c r="U48" s="89">
        <v>0.38611111111111107</v>
      </c>
      <c r="V48" s="134">
        <v>25</v>
      </c>
      <c r="W48" s="143">
        <f t="shared" si="33"/>
        <v>65.000000000000014</v>
      </c>
      <c r="X48" s="123">
        <v>0.32777777777777778</v>
      </c>
      <c r="Y48" s="123">
        <v>0.34027777777777773</v>
      </c>
      <c r="Z48" s="124"/>
      <c r="AA48" s="124"/>
      <c r="AB48" s="673"/>
      <c r="AC48" s="673"/>
      <c r="AD48" s="437"/>
      <c r="AE48" s="437"/>
      <c r="AF48" s="144">
        <f t="shared" si="28"/>
        <v>-189.53846153846189</v>
      </c>
      <c r="AG48" s="432">
        <f t="shared" si="7"/>
        <v>0.88414519465864183</v>
      </c>
      <c r="AH48" s="705"/>
    </row>
    <row r="49" spans="1:34" s="145" customFormat="1" ht="19.2" customHeight="1">
      <c r="A49" s="712"/>
      <c r="B49" s="97" t="s">
        <v>127</v>
      </c>
      <c r="C49" s="133"/>
      <c r="D49" s="42" t="s">
        <v>64</v>
      </c>
      <c r="E49" s="148"/>
      <c r="F49" s="350">
        <v>10.09</v>
      </c>
      <c r="G49" s="134">
        <v>3898.44</v>
      </c>
      <c r="H49" s="45">
        <f t="shared" si="34"/>
        <v>39335.259599999998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1471.1094339622643</v>
      </c>
      <c r="O49" s="138">
        <f t="shared" si="30"/>
        <v>245.18490566037738</v>
      </c>
      <c r="P49" s="51">
        <f t="shared" si="31"/>
        <v>0</v>
      </c>
      <c r="Q49" s="139">
        <f t="shared" si="32"/>
        <v>-4.8150943396226182</v>
      </c>
      <c r="R49" s="140">
        <f t="shared" si="27"/>
        <v>0.98073962264150949</v>
      </c>
      <c r="S49" s="688"/>
      <c r="T49" s="89">
        <v>0.40694444444444439</v>
      </c>
      <c r="U49" s="89">
        <v>0.51736111111111105</v>
      </c>
      <c r="V49" s="134">
        <v>30</v>
      </c>
      <c r="W49" s="143">
        <f t="shared" si="33"/>
        <v>159</v>
      </c>
      <c r="X49" s="152">
        <v>0.39027777777777778</v>
      </c>
      <c r="Y49" s="152">
        <v>0.40625</v>
      </c>
      <c r="Z49" s="153"/>
      <c r="AA49" s="124"/>
      <c r="AB49" s="673"/>
      <c r="AC49" s="673"/>
      <c r="AD49" s="437"/>
      <c r="AE49" s="437"/>
      <c r="AF49" s="144">
        <f t="shared" si="28"/>
        <v>-28.890566037735653</v>
      </c>
      <c r="AG49" s="432">
        <f t="shared" si="7"/>
        <v>0.9807396226415096</v>
      </c>
      <c r="AH49" s="705"/>
    </row>
    <row r="50" spans="1:34" s="145" customFormat="1" ht="19.2" customHeight="1">
      <c r="A50" s="712"/>
      <c r="B50" s="97" t="s">
        <v>127</v>
      </c>
      <c r="C50" s="133"/>
      <c r="D50" s="42" t="s">
        <v>64</v>
      </c>
      <c r="E50" s="148"/>
      <c r="F50" s="350">
        <v>10.09</v>
      </c>
      <c r="G50" s="134">
        <v>3448.6200000000003</v>
      </c>
      <c r="H50" s="45">
        <f t="shared" si="34"/>
        <v>34796.575800000006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1467.4978723404261</v>
      </c>
      <c r="O50" s="138">
        <f t="shared" si="30"/>
        <v>244.58297872340435</v>
      </c>
      <c r="P50" s="51">
        <f t="shared" si="31"/>
        <v>0</v>
      </c>
      <c r="Q50" s="139">
        <f t="shared" si="32"/>
        <v>-5.4170212765956478</v>
      </c>
      <c r="R50" s="140">
        <f t="shared" si="27"/>
        <v>0.97833191489361737</v>
      </c>
      <c r="S50" s="688"/>
      <c r="T50" s="89">
        <v>0.53819444444444442</v>
      </c>
      <c r="U50" s="89">
        <v>0.63611111111111107</v>
      </c>
      <c r="V50" s="134">
        <v>30</v>
      </c>
      <c r="W50" s="143">
        <f t="shared" si="33"/>
        <v>140.99999999999997</v>
      </c>
      <c r="X50" s="152">
        <v>0.52222222222222225</v>
      </c>
      <c r="Y50" s="152">
        <v>0.53749999999999998</v>
      </c>
      <c r="Z50" s="153"/>
      <c r="AA50" s="153"/>
      <c r="AB50" s="673"/>
      <c r="AC50" s="673"/>
      <c r="AD50" s="437"/>
      <c r="AE50" s="437"/>
      <c r="AF50" s="144">
        <f t="shared" si="28"/>
        <v>-32.502127659573944</v>
      </c>
      <c r="AG50" s="432">
        <f t="shared" si="7"/>
        <v>0.97833191489361737</v>
      </c>
      <c r="AH50" s="705"/>
    </row>
    <row r="51" spans="1:34" s="145" customFormat="1" ht="19.2" customHeight="1">
      <c r="A51" s="712"/>
      <c r="B51" s="97">
        <v>0</v>
      </c>
      <c r="C51" s="133"/>
      <c r="D51" s="150"/>
      <c r="E51" s="148"/>
      <c r="F51" s="350" t="s">
        <v>128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688"/>
      <c r="T51" s="151"/>
      <c r="U51" s="151"/>
      <c r="V51" s="134" t="s">
        <v>15</v>
      </c>
      <c r="W51" s="143">
        <f t="shared" si="33"/>
        <v>0</v>
      </c>
      <c r="X51" s="152"/>
      <c r="Y51" s="152"/>
      <c r="Z51" s="153"/>
      <c r="AA51" s="153"/>
      <c r="AB51" s="673"/>
      <c r="AC51" s="673"/>
      <c r="AD51" s="437"/>
      <c r="AE51" s="437"/>
      <c r="AF51" s="144">
        <f t="shared" si="28"/>
        <v>0</v>
      </c>
      <c r="AG51" s="432" t="e">
        <f t="shared" si="7"/>
        <v>#DIV/0!</v>
      </c>
      <c r="AH51" s="705"/>
    </row>
    <row r="52" spans="1:34" s="145" customFormat="1" ht="19.2" customHeight="1">
      <c r="A52" s="712"/>
      <c r="B52" s="97">
        <v>0</v>
      </c>
      <c r="C52" s="133"/>
      <c r="D52" s="150"/>
      <c r="E52" s="148"/>
      <c r="F52" s="350" t="s">
        <v>128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688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673"/>
      <c r="AC52" s="673"/>
      <c r="AD52" s="437"/>
      <c r="AE52" s="437"/>
      <c r="AF52" s="144">
        <f t="shared" si="28"/>
        <v>0</v>
      </c>
      <c r="AG52" s="432" t="e">
        <f t="shared" si="7"/>
        <v>#DIV/0!</v>
      </c>
      <c r="AH52" s="705"/>
    </row>
    <row r="53" spans="1:34" s="145" customFormat="1" ht="19.2" customHeight="1">
      <c r="A53" s="712"/>
      <c r="B53" s="97">
        <v>0</v>
      </c>
      <c r="C53" s="133"/>
      <c r="D53" s="150"/>
      <c r="E53" s="148"/>
      <c r="F53" s="350" t="s">
        <v>128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30"/>
      <c r="S53" s="688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673"/>
      <c r="AC53" s="673"/>
      <c r="AD53" s="437"/>
      <c r="AE53" s="437"/>
      <c r="AF53" s="144">
        <f t="shared" si="28"/>
        <v>0</v>
      </c>
      <c r="AG53" s="432" t="e">
        <f t="shared" si="7"/>
        <v>#DIV/0!</v>
      </c>
      <c r="AH53" s="705"/>
    </row>
    <row r="54" spans="1:34" s="145" customFormat="1" ht="19.2" customHeight="1">
      <c r="A54" s="712"/>
      <c r="B54" s="156">
        <v>0</v>
      </c>
      <c r="C54" s="133"/>
      <c r="D54" s="150"/>
      <c r="E54" s="148"/>
      <c r="F54" s="351" t="s">
        <v>128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30"/>
      <c r="S54" s="688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673"/>
      <c r="AC54" s="673"/>
      <c r="AD54" s="437"/>
      <c r="AE54" s="437"/>
      <c r="AF54" s="144">
        <f t="shared" si="28"/>
        <v>0</v>
      </c>
      <c r="AG54" s="432" t="e">
        <f t="shared" si="7"/>
        <v>#DIV/0!</v>
      </c>
      <c r="AH54" s="705"/>
    </row>
    <row r="55" spans="1:34" s="145" customFormat="1" ht="19.2" customHeight="1">
      <c r="A55" s="712"/>
      <c r="B55" s="156">
        <v>0</v>
      </c>
      <c r="C55" s="133"/>
      <c r="D55" s="150"/>
      <c r="E55" s="148"/>
      <c r="F55" s="351" t="s">
        <v>128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30"/>
      <c r="S55" s="688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673"/>
      <c r="AC55" s="673"/>
      <c r="AD55" s="437"/>
      <c r="AE55" s="437"/>
      <c r="AF55" s="144"/>
      <c r="AG55" s="432"/>
      <c r="AH55" s="705"/>
    </row>
    <row r="56" spans="1:34" ht="19.2" customHeight="1">
      <c r="A56" s="713"/>
      <c r="B56" s="157">
        <v>0</v>
      </c>
      <c r="C56" s="268" t="s">
        <v>307</v>
      </c>
      <c r="D56" s="710" t="s">
        <v>301</v>
      </c>
      <c r="E56" s="669"/>
      <c r="F56" s="34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1649.3426080755621</v>
      </c>
      <c r="O56" s="104">
        <f t="shared" si="35"/>
        <v>285.41826181011271</v>
      </c>
      <c r="P56" s="158">
        <f>M56-J56</f>
        <v>0.28571428571428559</v>
      </c>
      <c r="Q56" s="117">
        <f>N56-K56</f>
        <v>-12.943106210152109</v>
      </c>
      <c r="R56" s="159">
        <f t="shared" ref="R56:R61" si="36">O56/L56</f>
        <v>0.9076382227769344</v>
      </c>
      <c r="S56" s="688"/>
      <c r="T56" s="160"/>
      <c r="U56" s="160"/>
      <c r="V56" s="425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673"/>
      <c r="AC56" s="673"/>
      <c r="AD56" s="107">
        <f>SUM(AD44:AD55)</f>
        <v>1</v>
      </c>
      <c r="AE56" s="107">
        <f>SUM(AE44:AE55)</f>
        <v>0</v>
      </c>
      <c r="AF56" s="162">
        <f>N56-K56</f>
        <v>-12.943106210152109</v>
      </c>
      <c r="AG56" s="430">
        <f>N56/K56</f>
        <v>0.99221366934762245</v>
      </c>
      <c r="AH56" s="705"/>
    </row>
    <row r="57" spans="1:34" ht="19.2" customHeight="1">
      <c r="A57" s="700" t="s">
        <v>308</v>
      </c>
      <c r="B57" s="121" t="s">
        <v>125</v>
      </c>
      <c r="C57" s="121"/>
      <c r="D57" s="42" t="s">
        <v>66</v>
      </c>
      <c r="E57" s="43"/>
      <c r="F57" s="343">
        <v>28.26</v>
      </c>
      <c r="G57" s="57">
        <v>1134</v>
      </c>
      <c r="H57" s="84">
        <f t="shared" ref="H57:H66" si="37">F57*G57</f>
        <v>32046.84</v>
      </c>
      <c r="I57" s="437"/>
      <c r="J57" s="87">
        <v>7</v>
      </c>
      <c r="K57" s="57">
        <v>1500</v>
      </c>
      <c r="L57" s="86">
        <v>214.28571428571428</v>
      </c>
      <c r="M57" s="426">
        <v>7</v>
      </c>
      <c r="N57" s="57">
        <f t="shared" ref="N57:N61" si="38">G57/W57*60</f>
        <v>1447.6595744680853</v>
      </c>
      <c r="O57" s="86">
        <f t="shared" ref="O57:O61" si="39">N57/M57</f>
        <v>206.80851063829792</v>
      </c>
      <c r="P57" s="165">
        <f t="shared" ref="P57:P61" si="40">M57-J57</f>
        <v>0</v>
      </c>
      <c r="Q57" s="49">
        <f t="shared" ref="Q57:Q61" si="41">O57-L57</f>
        <v>-7.4772036474163599</v>
      </c>
      <c r="R57" s="427">
        <f t="shared" si="36"/>
        <v>0.96510638297872364</v>
      </c>
      <c r="S57" s="688">
        <f>R69</f>
        <v>0.9817569112519634</v>
      </c>
      <c r="T57" s="50">
        <v>0.125</v>
      </c>
      <c r="U57" s="50">
        <v>0.15763888888888888</v>
      </c>
      <c r="V57" s="423">
        <v>5</v>
      </c>
      <c r="W57" s="420">
        <f>(U57-T57)*24*60</f>
        <v>46.999999999999993</v>
      </c>
      <c r="X57" s="53"/>
      <c r="Y57" s="53"/>
      <c r="Z57" s="54"/>
      <c r="AA57" s="54"/>
      <c r="AB57" s="673"/>
      <c r="AC57" s="673"/>
      <c r="AD57" s="437"/>
      <c r="AE57" s="437"/>
      <c r="AF57" s="48">
        <f t="shared" si="6"/>
        <v>-52.340425531914661</v>
      </c>
      <c r="AG57" s="431">
        <f t="shared" si="7"/>
        <v>0.96510638297872353</v>
      </c>
      <c r="AH57" s="687">
        <f>AG69</f>
        <v>0.9810015822834568</v>
      </c>
    </row>
    <row r="58" spans="1:34" ht="19.2" customHeight="1">
      <c r="A58" s="701"/>
      <c r="B58" s="121" t="s">
        <v>125</v>
      </c>
      <c r="C58" s="437"/>
      <c r="D58" s="42" t="s">
        <v>67</v>
      </c>
      <c r="E58" s="43"/>
      <c r="F58" s="343">
        <v>27.88</v>
      </c>
      <c r="G58" s="44">
        <v>3439</v>
      </c>
      <c r="H58" s="45">
        <f t="shared" si="37"/>
        <v>95879.319999999992</v>
      </c>
      <c r="I58" s="423"/>
      <c r="J58" s="46">
        <v>7</v>
      </c>
      <c r="K58" s="44">
        <v>1500</v>
      </c>
      <c r="L58" s="86">
        <v>214.28571428571428</v>
      </c>
      <c r="M58" s="421">
        <v>7</v>
      </c>
      <c r="N58" s="44">
        <f t="shared" si="38"/>
        <v>1463.4042553191487</v>
      </c>
      <c r="O58" s="47">
        <f t="shared" si="39"/>
        <v>209.05775075987839</v>
      </c>
      <c r="P58" s="165">
        <f t="shared" si="40"/>
        <v>0</v>
      </c>
      <c r="Q58" s="49">
        <f t="shared" si="41"/>
        <v>-5.2279635258358894</v>
      </c>
      <c r="R58" s="427">
        <f t="shared" si="36"/>
        <v>0.9756028368794325</v>
      </c>
      <c r="S58" s="688"/>
      <c r="T58" s="50">
        <v>0.16458333333333333</v>
      </c>
      <c r="U58" s="50">
        <v>0.26250000000000001</v>
      </c>
      <c r="V58" s="423">
        <v>10</v>
      </c>
      <c r="W58" s="420">
        <f>(U58-T58)*24*60</f>
        <v>141.00000000000003</v>
      </c>
      <c r="X58" s="53"/>
      <c r="Y58" s="53"/>
      <c r="Z58" s="54"/>
      <c r="AA58" s="54"/>
      <c r="AB58" s="706"/>
      <c r="AC58" s="707"/>
      <c r="AD58" s="437">
        <v>1</v>
      </c>
      <c r="AE58" s="437"/>
      <c r="AF58" s="48">
        <f t="shared" si="6"/>
        <v>-36.59574468085134</v>
      </c>
      <c r="AG58" s="427">
        <f t="shared" si="7"/>
        <v>0.97560283687943239</v>
      </c>
      <c r="AH58" s="688"/>
    </row>
    <row r="59" spans="1:34" ht="19.2" customHeight="1">
      <c r="A59" s="701"/>
      <c r="B59" s="121" t="s">
        <v>125</v>
      </c>
      <c r="C59" s="437"/>
      <c r="D59" s="42" t="s">
        <v>68</v>
      </c>
      <c r="E59" s="43"/>
      <c r="F59" s="343">
        <v>28</v>
      </c>
      <c r="G59" s="44">
        <v>3130</v>
      </c>
      <c r="H59" s="45">
        <f t="shared" si="37"/>
        <v>87640</v>
      </c>
      <c r="I59" s="423"/>
      <c r="J59" s="46">
        <v>7</v>
      </c>
      <c r="K59" s="44">
        <v>1500</v>
      </c>
      <c r="L59" s="86">
        <v>214.28571428571428</v>
      </c>
      <c r="M59" s="421">
        <v>7</v>
      </c>
      <c r="N59" s="44">
        <f t="shared" si="38"/>
        <v>1467.1874999999995</v>
      </c>
      <c r="O59" s="47">
        <f t="shared" si="39"/>
        <v>209.59821428571422</v>
      </c>
      <c r="P59" s="165">
        <f t="shared" si="40"/>
        <v>0</v>
      </c>
      <c r="Q59" s="49">
        <f t="shared" si="41"/>
        <v>-4.6875000000000568</v>
      </c>
      <c r="R59" s="427">
        <f t="shared" si="36"/>
        <v>0.97812499999999969</v>
      </c>
      <c r="S59" s="688"/>
      <c r="T59" s="50">
        <v>0.27986111111111112</v>
      </c>
      <c r="U59" s="50">
        <v>0.36875000000000002</v>
      </c>
      <c r="V59" s="142">
        <v>25</v>
      </c>
      <c r="W59" s="420">
        <f t="shared" ref="W59:W69" si="42">(U59-T59)*24*60</f>
        <v>128.00000000000003</v>
      </c>
      <c r="X59" s="53">
        <v>0.26666666666666666</v>
      </c>
      <c r="Y59" s="53">
        <v>0.27916666666666667</v>
      </c>
      <c r="Z59" s="54"/>
      <c r="AA59" s="54"/>
      <c r="AB59" s="673"/>
      <c r="AC59" s="673"/>
      <c r="AD59" s="437"/>
      <c r="AE59" s="437"/>
      <c r="AF59" s="48">
        <f t="shared" si="6"/>
        <v>-32.812500000000455</v>
      </c>
      <c r="AG59" s="427">
        <f t="shared" si="7"/>
        <v>0.97812499999999969</v>
      </c>
      <c r="AH59" s="688"/>
    </row>
    <row r="60" spans="1:34" ht="19.2" customHeight="1">
      <c r="A60" s="701"/>
      <c r="B60" s="121" t="s">
        <v>127</v>
      </c>
      <c r="C60" s="437"/>
      <c r="D60" s="42" t="s">
        <v>64</v>
      </c>
      <c r="E60" s="43"/>
      <c r="F60" s="343">
        <v>10.09</v>
      </c>
      <c r="G60" s="44">
        <v>3598.56</v>
      </c>
      <c r="H60" s="45">
        <f t="shared" si="37"/>
        <v>36309.470399999998</v>
      </c>
      <c r="I60" s="423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1489.0593103448271</v>
      </c>
      <c r="O60" s="47">
        <f t="shared" si="39"/>
        <v>248.17655172413785</v>
      </c>
      <c r="P60" s="165">
        <f t="shared" si="40"/>
        <v>0</v>
      </c>
      <c r="Q60" s="49">
        <f t="shared" si="41"/>
        <v>-1.8234482758621482</v>
      </c>
      <c r="R60" s="427">
        <f t="shared" si="36"/>
        <v>0.99270620689655142</v>
      </c>
      <c r="S60" s="688"/>
      <c r="T60" s="50">
        <v>0.38958333333333334</v>
      </c>
      <c r="U60" s="50">
        <v>0.49027777777777781</v>
      </c>
      <c r="V60" s="142">
        <v>30</v>
      </c>
      <c r="W60" s="420">
        <f t="shared" si="42"/>
        <v>145.00000000000006</v>
      </c>
      <c r="X60" s="53">
        <v>0.37361111111111112</v>
      </c>
      <c r="Y60" s="53">
        <v>0.3888888888888889</v>
      </c>
      <c r="Z60" s="54"/>
      <c r="AA60" s="54"/>
      <c r="AB60" s="673"/>
      <c r="AC60" s="673"/>
      <c r="AD60" s="437"/>
      <c r="AE60" s="437"/>
      <c r="AF60" s="48">
        <f t="shared" si="6"/>
        <v>-10.940689655172946</v>
      </c>
      <c r="AG60" s="431">
        <f t="shared" si="7"/>
        <v>0.99270620689655142</v>
      </c>
      <c r="AH60" s="688"/>
    </row>
    <row r="61" spans="1:34" ht="19.2" customHeight="1">
      <c r="A61" s="701"/>
      <c r="B61" s="121" t="s">
        <v>127</v>
      </c>
      <c r="C61" s="437"/>
      <c r="D61" s="42" t="s">
        <v>64</v>
      </c>
      <c r="E61" s="43"/>
      <c r="F61" s="343">
        <v>10.09</v>
      </c>
      <c r="G61" s="44">
        <v>4048.38</v>
      </c>
      <c r="H61" s="45">
        <f t="shared" si="37"/>
        <v>40848.154199999997</v>
      </c>
      <c r="I61" s="423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1490.2012269938646</v>
      </c>
      <c r="O61" s="47">
        <f t="shared" si="39"/>
        <v>248.36687116564408</v>
      </c>
      <c r="P61" s="165">
        <f t="shared" si="40"/>
        <v>0</v>
      </c>
      <c r="Q61" s="49">
        <f t="shared" si="41"/>
        <v>-1.6331288343559152</v>
      </c>
      <c r="R61" s="427">
        <f t="shared" si="36"/>
        <v>0.99346748466257639</v>
      </c>
      <c r="S61" s="688"/>
      <c r="T61" s="50">
        <v>0.51111111111111118</v>
      </c>
      <c r="U61" s="50">
        <v>0.62430555555555567</v>
      </c>
      <c r="V61" s="142">
        <v>30</v>
      </c>
      <c r="W61" s="420">
        <f t="shared" si="42"/>
        <v>163.00000000000006</v>
      </c>
      <c r="X61" s="53">
        <v>0.49444444444444446</v>
      </c>
      <c r="Y61" s="53">
        <v>0.51041666666666663</v>
      </c>
      <c r="Z61" s="54"/>
      <c r="AA61" s="54"/>
      <c r="AB61" s="673"/>
      <c r="AC61" s="673"/>
      <c r="AD61" s="437"/>
      <c r="AE61" s="437"/>
      <c r="AF61" s="48">
        <f t="shared" si="6"/>
        <v>-9.7987730061354341</v>
      </c>
      <c r="AG61" s="427">
        <f t="shared" si="7"/>
        <v>0.99346748466257639</v>
      </c>
      <c r="AH61" s="688"/>
    </row>
    <row r="62" spans="1:34" ht="19.2" customHeight="1">
      <c r="A62" s="701"/>
      <c r="B62" s="121">
        <v>0</v>
      </c>
      <c r="C62" s="437"/>
      <c r="D62" s="42"/>
      <c r="E62" s="43"/>
      <c r="F62" s="343" t="s">
        <v>128</v>
      </c>
      <c r="G62" s="134"/>
      <c r="H62" s="45">
        <f t="shared" si="37"/>
        <v>0</v>
      </c>
      <c r="I62" s="423"/>
      <c r="J62" s="46"/>
      <c r="K62" s="44"/>
      <c r="L62" s="86"/>
      <c r="M62" s="62"/>
      <c r="N62" s="44"/>
      <c r="O62" s="47"/>
      <c r="P62" s="165"/>
      <c r="Q62" s="49"/>
      <c r="R62" s="427"/>
      <c r="S62" s="688"/>
      <c r="T62" s="166"/>
      <c r="U62" s="166"/>
      <c r="V62" s="142"/>
      <c r="W62" s="420">
        <f t="shared" si="42"/>
        <v>0</v>
      </c>
      <c r="X62" s="53"/>
      <c r="Y62" s="53"/>
      <c r="Z62" s="54"/>
      <c r="AA62" s="54"/>
      <c r="AB62" s="673"/>
      <c r="AC62" s="673"/>
      <c r="AD62" s="437"/>
      <c r="AE62" s="437"/>
      <c r="AF62" s="48">
        <f t="shared" si="6"/>
        <v>0</v>
      </c>
      <c r="AG62" s="427" t="e">
        <f t="shared" si="7"/>
        <v>#DIV/0!</v>
      </c>
      <c r="AH62" s="688"/>
    </row>
    <row r="63" spans="1:34" ht="19.2" customHeight="1">
      <c r="A63" s="701"/>
      <c r="B63" s="121">
        <v>0</v>
      </c>
      <c r="C63" s="437"/>
      <c r="D63" s="42"/>
      <c r="E63" s="43"/>
      <c r="F63" s="343" t="s">
        <v>128</v>
      </c>
      <c r="G63" s="134"/>
      <c r="H63" s="45">
        <f t="shared" si="37"/>
        <v>0</v>
      </c>
      <c r="I63" s="423"/>
      <c r="J63" s="46"/>
      <c r="K63" s="44"/>
      <c r="L63" s="86"/>
      <c r="M63" s="62" t="s">
        <v>15</v>
      </c>
      <c r="N63" s="44"/>
      <c r="O63" s="47"/>
      <c r="P63" s="165"/>
      <c r="Q63" s="49"/>
      <c r="R63" s="427"/>
      <c r="S63" s="688"/>
      <c r="T63" s="166"/>
      <c r="U63" s="166"/>
      <c r="V63" s="142"/>
      <c r="W63" s="420">
        <f t="shared" si="42"/>
        <v>0</v>
      </c>
      <c r="X63" s="53"/>
      <c r="Y63" s="53"/>
      <c r="Z63" s="54"/>
      <c r="AA63" s="54"/>
      <c r="AB63" s="673"/>
      <c r="AC63" s="673"/>
      <c r="AD63" s="437"/>
      <c r="AE63" s="437"/>
      <c r="AF63" s="48">
        <f t="shared" si="6"/>
        <v>0</v>
      </c>
      <c r="AG63" s="431" t="e">
        <f t="shared" si="7"/>
        <v>#DIV/0!</v>
      </c>
      <c r="AH63" s="688"/>
    </row>
    <row r="64" spans="1:34" ht="19.2" customHeight="1">
      <c r="A64" s="702"/>
      <c r="B64" s="163">
        <v>0</v>
      </c>
      <c r="C64" s="393"/>
      <c r="D64" s="42"/>
      <c r="E64" s="43"/>
      <c r="F64" s="343" t="s">
        <v>128</v>
      </c>
      <c r="G64" s="134"/>
      <c r="H64" s="45">
        <f t="shared" si="37"/>
        <v>0</v>
      </c>
      <c r="I64" s="423"/>
      <c r="J64" s="167"/>
      <c r="K64" s="61"/>
      <c r="L64" s="86"/>
      <c r="M64" s="62"/>
      <c r="N64" s="44"/>
      <c r="O64" s="47"/>
      <c r="P64" s="165"/>
      <c r="Q64" s="49"/>
      <c r="R64" s="427"/>
      <c r="S64" s="688"/>
      <c r="T64" s="166"/>
      <c r="U64" s="166"/>
      <c r="V64" s="142"/>
      <c r="W64" s="420">
        <f t="shared" si="42"/>
        <v>0</v>
      </c>
      <c r="X64" s="423"/>
      <c r="Y64" s="423"/>
      <c r="Z64" s="54"/>
      <c r="AA64" s="54"/>
      <c r="AB64" s="673"/>
      <c r="AC64" s="673"/>
      <c r="AD64" s="437"/>
      <c r="AE64" s="437"/>
      <c r="AF64" s="48">
        <f t="shared" si="6"/>
        <v>0</v>
      </c>
      <c r="AG64" s="427" t="e">
        <f t="shared" si="7"/>
        <v>#DIV/0!</v>
      </c>
      <c r="AH64" s="688"/>
    </row>
    <row r="65" spans="1:34" ht="19.2" customHeight="1">
      <c r="A65" s="702"/>
      <c r="B65" s="97">
        <v>0</v>
      </c>
      <c r="C65" s="433"/>
      <c r="D65" s="42"/>
      <c r="E65" s="43"/>
      <c r="F65" s="343" t="s">
        <v>128</v>
      </c>
      <c r="G65" s="134"/>
      <c r="H65" s="45">
        <f t="shared" si="37"/>
        <v>0</v>
      </c>
      <c r="I65" s="423"/>
      <c r="J65" s="167"/>
      <c r="K65" s="61"/>
      <c r="L65" s="86"/>
      <c r="M65" s="62"/>
      <c r="N65" s="61"/>
      <c r="O65" s="77"/>
      <c r="P65" s="48"/>
      <c r="Q65" s="49"/>
      <c r="R65" s="427"/>
      <c r="S65" s="688"/>
      <c r="T65" s="166"/>
      <c r="U65" s="166"/>
      <c r="V65" s="142"/>
      <c r="W65" s="420">
        <f t="shared" si="42"/>
        <v>0</v>
      </c>
      <c r="X65" s="423"/>
      <c r="Y65" s="423"/>
      <c r="Z65" s="54"/>
      <c r="AA65" s="54"/>
      <c r="AB65" s="673"/>
      <c r="AC65" s="673"/>
      <c r="AD65" s="437"/>
      <c r="AE65" s="437"/>
      <c r="AF65" s="48">
        <f t="shared" si="6"/>
        <v>0</v>
      </c>
      <c r="AG65" s="427" t="e">
        <f t="shared" si="7"/>
        <v>#DIV/0!</v>
      </c>
      <c r="AH65" s="688"/>
    </row>
    <row r="66" spans="1:34" ht="19.2" customHeight="1">
      <c r="A66" s="702"/>
      <c r="B66" s="97">
        <v>0</v>
      </c>
      <c r="C66" s="433"/>
      <c r="D66" s="42"/>
      <c r="E66" s="43"/>
      <c r="F66" s="343" t="s">
        <v>128</v>
      </c>
      <c r="G66" s="134"/>
      <c r="H66" s="45">
        <f t="shared" si="37"/>
        <v>0</v>
      </c>
      <c r="I66" s="423"/>
      <c r="J66" s="167"/>
      <c r="K66" s="61"/>
      <c r="L66" s="86"/>
      <c r="M66" s="62"/>
      <c r="N66" s="61"/>
      <c r="O66" s="77"/>
      <c r="P66" s="48"/>
      <c r="Q66" s="49"/>
      <c r="R66" s="427"/>
      <c r="S66" s="688"/>
      <c r="T66" s="166"/>
      <c r="U66" s="166"/>
      <c r="V66" s="142"/>
      <c r="W66" s="420">
        <f t="shared" si="42"/>
        <v>0</v>
      </c>
      <c r="X66" s="423"/>
      <c r="Y66" s="423"/>
      <c r="Z66" s="54"/>
      <c r="AA66" s="54"/>
      <c r="AB66" s="673"/>
      <c r="AC66" s="673"/>
      <c r="AD66" s="437"/>
      <c r="AE66" s="437"/>
      <c r="AF66" s="48">
        <f t="shared" si="6"/>
        <v>0</v>
      </c>
      <c r="AG66" s="431" t="e">
        <f t="shared" si="7"/>
        <v>#DIV/0!</v>
      </c>
      <c r="AH66" s="688"/>
    </row>
    <row r="67" spans="1:34" ht="19.2" customHeight="1">
      <c r="A67" s="702"/>
      <c r="B67" s="97">
        <v>0</v>
      </c>
      <c r="C67" s="433"/>
      <c r="D67" s="42"/>
      <c r="E67" s="43"/>
      <c r="F67" s="343" t="s">
        <v>128</v>
      </c>
      <c r="G67" s="134"/>
      <c r="H67" s="45">
        <f>F67*G67</f>
        <v>0</v>
      </c>
      <c r="I67" s="423"/>
      <c r="J67" s="167"/>
      <c r="K67" s="61"/>
      <c r="L67" s="86"/>
      <c r="M67" s="62"/>
      <c r="N67" s="61"/>
      <c r="O67" s="77"/>
      <c r="P67" s="48"/>
      <c r="Q67" s="49"/>
      <c r="R67" s="427"/>
      <c r="S67" s="688"/>
      <c r="T67" s="166"/>
      <c r="U67" s="166"/>
      <c r="V67" s="142"/>
      <c r="W67" s="420">
        <f t="shared" si="42"/>
        <v>0</v>
      </c>
      <c r="X67" s="423"/>
      <c r="Y67" s="423"/>
      <c r="Z67" s="54"/>
      <c r="AA67" s="54"/>
      <c r="AB67" s="673"/>
      <c r="AC67" s="673"/>
      <c r="AD67" s="437"/>
      <c r="AE67" s="437"/>
      <c r="AF67" s="48">
        <f t="shared" si="6"/>
        <v>0</v>
      </c>
      <c r="AG67" s="427" t="e">
        <f t="shared" si="7"/>
        <v>#DIV/0!</v>
      </c>
      <c r="AH67" s="688"/>
    </row>
    <row r="68" spans="1:34" ht="19.2" customHeight="1">
      <c r="A68" s="702"/>
      <c r="B68" s="423">
        <v>0</v>
      </c>
      <c r="C68" s="433"/>
      <c r="D68" s="42"/>
      <c r="E68" s="43"/>
      <c r="F68" s="350" t="s">
        <v>128</v>
      </c>
      <c r="G68" s="134"/>
      <c r="H68" s="45">
        <f>F68*G68</f>
        <v>0</v>
      </c>
      <c r="I68" s="423"/>
      <c r="J68" s="167"/>
      <c r="K68" s="61"/>
      <c r="L68" s="86"/>
      <c r="M68" s="62"/>
      <c r="N68" s="61"/>
      <c r="O68" s="77"/>
      <c r="P68" s="48"/>
      <c r="Q68" s="49"/>
      <c r="R68" s="427"/>
      <c r="S68" s="688"/>
      <c r="T68" s="166"/>
      <c r="U68" s="166"/>
      <c r="V68" s="142"/>
      <c r="W68" s="420">
        <f t="shared" si="42"/>
        <v>0</v>
      </c>
      <c r="X68" s="423"/>
      <c r="Y68" s="423"/>
      <c r="Z68" s="54"/>
      <c r="AA68" s="54"/>
      <c r="AB68" s="673"/>
      <c r="AC68" s="673"/>
      <c r="AD68" s="437"/>
      <c r="AE68" s="437"/>
      <c r="AF68" s="48"/>
      <c r="AG68" s="427"/>
      <c r="AH68" s="688"/>
    </row>
    <row r="69" spans="1:34" ht="19.2" customHeight="1">
      <c r="A69" s="702"/>
      <c r="B69" s="168">
        <v>0</v>
      </c>
      <c r="C69" s="6" t="s">
        <v>309</v>
      </c>
      <c r="D69" s="669" t="s">
        <v>310</v>
      </c>
      <c r="E69" s="669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1471.5023734251852</v>
      </c>
      <c r="O69" s="73">
        <f t="shared" si="43"/>
        <v>224.40157971473451</v>
      </c>
      <c r="P69" s="48">
        <f>M69-J69</f>
        <v>0</v>
      </c>
      <c r="Q69" s="49">
        <f>N69-K69</f>
        <v>-28.497626574814831</v>
      </c>
      <c r="R69" s="172">
        <f t="shared" ref="R69:R76" si="44">O69/L69</f>
        <v>0.9817569112519634</v>
      </c>
      <c r="S69" s="688"/>
      <c r="T69" s="141"/>
      <c r="U69" s="141"/>
      <c r="V69" s="44"/>
      <c r="W69" s="420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673"/>
      <c r="AC69" s="673"/>
      <c r="AD69" s="107">
        <f>SUM(AD57:AD68)</f>
        <v>1</v>
      </c>
      <c r="AE69" s="107">
        <f>SUM(AE57:AE68)</f>
        <v>0</v>
      </c>
      <c r="AF69" s="48">
        <f t="shared" si="6"/>
        <v>-28.497626574814831</v>
      </c>
      <c r="AG69" s="427">
        <f t="shared" si="7"/>
        <v>0.9810015822834568</v>
      </c>
      <c r="AH69" s="688"/>
    </row>
    <row r="70" spans="1:34" ht="19.2" customHeight="1">
      <c r="A70" s="703" t="s">
        <v>311</v>
      </c>
      <c r="B70" s="423" t="s">
        <v>127</v>
      </c>
      <c r="C70" s="97"/>
      <c r="D70" s="42" t="s">
        <v>138</v>
      </c>
      <c r="E70" s="43"/>
      <c r="F70" s="343">
        <v>54.09</v>
      </c>
      <c r="G70" s="57">
        <v>519</v>
      </c>
      <c r="H70" s="45">
        <f>F70*G70</f>
        <v>28072.710000000003</v>
      </c>
      <c r="I70" s="423"/>
      <c r="J70" s="46">
        <v>16</v>
      </c>
      <c r="K70" s="44">
        <v>1500</v>
      </c>
      <c r="L70" s="47">
        <v>93.75</v>
      </c>
      <c r="M70" s="421">
        <v>17</v>
      </c>
      <c r="N70" s="44">
        <f t="shared" ref="N70:N76" si="45">G70/W70*60</f>
        <v>1415.4545454545455</v>
      </c>
      <c r="O70" s="47">
        <f t="shared" ref="O70:O76" si="46">N70/M70</f>
        <v>83.262032085561501</v>
      </c>
      <c r="P70" s="48">
        <f t="shared" ref="P70:P76" si="47">M70-J70</f>
        <v>1</v>
      </c>
      <c r="Q70" s="49">
        <f t="shared" ref="Q70:Q76" si="48">O70-L70</f>
        <v>-10.487967914438499</v>
      </c>
      <c r="R70" s="427">
        <f t="shared" si="44"/>
        <v>0.88812834224598936</v>
      </c>
      <c r="S70" s="688">
        <f>R82</f>
        <v>0.90107076807659725</v>
      </c>
      <c r="T70" s="50">
        <v>0.25</v>
      </c>
      <c r="U70" s="50">
        <v>0.26527777777777778</v>
      </c>
      <c r="V70" s="423">
        <v>5</v>
      </c>
      <c r="W70" s="420">
        <f>(U70-T70)*24*60</f>
        <v>22</v>
      </c>
      <c r="X70" s="423"/>
      <c r="Y70" s="423"/>
      <c r="Z70" s="54"/>
      <c r="AA70" s="54"/>
      <c r="AB70" s="673"/>
      <c r="AC70" s="673"/>
      <c r="AD70" s="437"/>
      <c r="AE70" s="437"/>
      <c r="AF70" s="48">
        <f t="shared" si="6"/>
        <v>-84.545454545454504</v>
      </c>
      <c r="AG70" s="427">
        <f t="shared" si="7"/>
        <v>0.94363636363636372</v>
      </c>
      <c r="AH70" s="688">
        <f>AG82</f>
        <v>0.90797443610997741</v>
      </c>
    </row>
    <row r="71" spans="1:34" ht="19.2" customHeight="1">
      <c r="A71" s="703"/>
      <c r="B71" s="423" t="s">
        <v>124</v>
      </c>
      <c r="C71" s="41"/>
      <c r="D71" s="173" t="s">
        <v>181</v>
      </c>
      <c r="E71" s="43"/>
      <c r="F71" s="343">
        <v>56.43</v>
      </c>
      <c r="G71" s="44">
        <v>1070</v>
      </c>
      <c r="H71" s="45">
        <f>F71*G71</f>
        <v>60380.1</v>
      </c>
      <c r="I71" s="423"/>
      <c r="J71" s="46">
        <v>18</v>
      </c>
      <c r="K71" s="174">
        <v>1565</v>
      </c>
      <c r="L71" s="47">
        <v>86.944444444444443</v>
      </c>
      <c r="M71" s="426">
        <v>18</v>
      </c>
      <c r="N71" s="44">
        <f t="shared" si="45"/>
        <v>1426.6666666666667</v>
      </c>
      <c r="O71" s="47">
        <f t="shared" si="46"/>
        <v>79.259259259259267</v>
      </c>
      <c r="P71" s="48">
        <f t="shared" si="47"/>
        <v>0</v>
      </c>
      <c r="Q71" s="49">
        <f t="shared" si="48"/>
        <v>-7.6851851851851762</v>
      </c>
      <c r="R71" s="427">
        <f t="shared" si="44"/>
        <v>0.91160809371672002</v>
      </c>
      <c r="S71" s="688"/>
      <c r="T71" s="50">
        <v>0.27013888888888887</v>
      </c>
      <c r="U71" s="50">
        <v>0.30138888888888887</v>
      </c>
      <c r="V71" s="423">
        <v>7</v>
      </c>
      <c r="W71" s="420">
        <f t="shared" ref="W71:W81" si="49">(U71-T71)*24*60</f>
        <v>45</v>
      </c>
      <c r="X71" s="53"/>
      <c r="Y71" s="53"/>
      <c r="Z71" s="54"/>
      <c r="AA71" s="54"/>
      <c r="AB71" s="673"/>
      <c r="AC71" s="673"/>
      <c r="AD71" s="437"/>
      <c r="AE71" s="437"/>
      <c r="AF71" s="48">
        <f>N71-K71</f>
        <v>-138.33333333333326</v>
      </c>
      <c r="AG71" s="427">
        <f>N71/K71</f>
        <v>0.91160809371671991</v>
      </c>
      <c r="AH71" s="688"/>
    </row>
    <row r="72" spans="1:34" ht="19.2" customHeight="1">
      <c r="A72" s="703"/>
      <c r="B72" s="423" t="s">
        <v>123</v>
      </c>
      <c r="C72" s="66"/>
      <c r="D72" s="173" t="s">
        <v>69</v>
      </c>
      <c r="E72" s="43"/>
      <c r="F72" s="343">
        <v>53.36</v>
      </c>
      <c r="G72" s="44">
        <v>1782.8999999999999</v>
      </c>
      <c r="H72" s="45">
        <f t="shared" ref="H72:H80" si="50">F72*G72</f>
        <v>95135.543999999994</v>
      </c>
      <c r="I72" s="423"/>
      <c r="J72" s="87">
        <v>19</v>
      </c>
      <c r="K72" s="57">
        <v>1636</v>
      </c>
      <c r="L72" s="86">
        <v>86.10526315789474</v>
      </c>
      <c r="M72" s="421">
        <v>19</v>
      </c>
      <c r="N72" s="44">
        <f t="shared" si="45"/>
        <v>1445.594594594595</v>
      </c>
      <c r="O72" s="47">
        <f t="shared" si="46"/>
        <v>76.083926031294482</v>
      </c>
      <c r="P72" s="48">
        <f t="shared" si="47"/>
        <v>0</v>
      </c>
      <c r="Q72" s="49">
        <f t="shared" si="48"/>
        <v>-10.021337126600258</v>
      </c>
      <c r="R72" s="427">
        <f t="shared" si="44"/>
        <v>0.88361527786955696</v>
      </c>
      <c r="S72" s="688"/>
      <c r="T72" s="50">
        <v>0.30624999999999997</v>
      </c>
      <c r="U72" s="50">
        <v>0.35763888888888884</v>
      </c>
      <c r="V72" s="423">
        <v>7</v>
      </c>
      <c r="W72" s="420">
        <f t="shared" si="49"/>
        <v>73.999999999999972</v>
      </c>
      <c r="X72" s="53"/>
      <c r="Y72" s="53"/>
      <c r="Z72" s="54"/>
      <c r="AA72" s="54"/>
      <c r="AB72" s="673"/>
      <c r="AC72" s="673"/>
      <c r="AD72" s="437"/>
      <c r="AE72" s="437"/>
      <c r="AF72" s="48">
        <f>N72-K72</f>
        <v>-190.40540540540496</v>
      </c>
      <c r="AG72" s="427">
        <f>N72/K72</f>
        <v>0.88361527786955685</v>
      </c>
      <c r="AH72" s="688"/>
    </row>
    <row r="73" spans="1:34" ht="19.2" customHeight="1">
      <c r="A73" s="703"/>
      <c r="B73" s="423" t="s">
        <v>123</v>
      </c>
      <c r="C73" s="175"/>
      <c r="D73" s="176" t="s">
        <v>69</v>
      </c>
      <c r="E73" s="177"/>
      <c r="F73" s="343">
        <v>53.36</v>
      </c>
      <c r="G73" s="44">
        <v>4160.0999999999995</v>
      </c>
      <c r="H73" s="45">
        <f t="shared" si="50"/>
        <v>221982.93599999996</v>
      </c>
      <c r="I73" s="437"/>
      <c r="J73" s="178">
        <v>19</v>
      </c>
      <c r="K73" s="179">
        <v>1636</v>
      </c>
      <c r="L73" s="86">
        <v>86.10526315789474</v>
      </c>
      <c r="M73" s="426">
        <v>19</v>
      </c>
      <c r="N73" s="44">
        <f t="shared" si="45"/>
        <v>1451.1976744186043</v>
      </c>
      <c r="O73" s="47">
        <f t="shared" si="46"/>
        <v>76.378824969400227</v>
      </c>
      <c r="P73" s="48">
        <f t="shared" si="47"/>
        <v>0</v>
      </c>
      <c r="Q73" s="49">
        <f t="shared" si="48"/>
        <v>-9.7264381884945124</v>
      </c>
      <c r="R73" s="427">
        <f t="shared" si="44"/>
        <v>0.88704014328765546</v>
      </c>
      <c r="S73" s="688"/>
      <c r="T73" s="50">
        <v>0.37291666666666662</v>
      </c>
      <c r="U73" s="50">
        <v>0.49236111111111108</v>
      </c>
      <c r="V73" s="423">
        <v>22</v>
      </c>
      <c r="W73" s="420">
        <f t="shared" si="49"/>
        <v>172.00000000000003</v>
      </c>
      <c r="X73" s="180">
        <v>0.36249999999999999</v>
      </c>
      <c r="Y73" s="180">
        <v>0.37222222222222223</v>
      </c>
      <c r="Z73" s="124"/>
      <c r="AA73" s="124"/>
      <c r="AB73" s="673"/>
      <c r="AC73" s="673"/>
      <c r="AD73" s="437"/>
      <c r="AE73" s="437">
        <v>1</v>
      </c>
      <c r="AF73" s="48">
        <f>N73-K73</f>
        <v>-184.80232558139573</v>
      </c>
      <c r="AG73" s="427">
        <f>N73/K73</f>
        <v>0.88704014328765546</v>
      </c>
      <c r="AH73" s="688"/>
    </row>
    <row r="74" spans="1:34" ht="19.2" customHeight="1">
      <c r="A74" s="703"/>
      <c r="B74" s="423" t="s">
        <v>127</v>
      </c>
      <c r="C74" s="175"/>
      <c r="D74" s="176" t="s">
        <v>76</v>
      </c>
      <c r="E74" s="177"/>
      <c r="F74" s="343">
        <v>56.43</v>
      </c>
      <c r="G74" s="44">
        <v>912</v>
      </c>
      <c r="H74" s="45">
        <f t="shared" si="50"/>
        <v>51464.159999999996</v>
      </c>
      <c r="I74" s="423"/>
      <c r="J74" s="46">
        <v>18</v>
      </c>
      <c r="K74" s="174">
        <v>1500</v>
      </c>
      <c r="L74" s="47">
        <v>83.333333333333329</v>
      </c>
      <c r="M74" s="421">
        <v>18</v>
      </c>
      <c r="N74" s="44">
        <f t="shared" si="45"/>
        <v>1302.8571428571424</v>
      </c>
      <c r="O74" s="47">
        <f t="shared" si="46"/>
        <v>72.380952380952351</v>
      </c>
      <c r="P74" s="48">
        <f t="shared" si="47"/>
        <v>0</v>
      </c>
      <c r="Q74" s="49">
        <f t="shared" si="48"/>
        <v>-10.952380952380977</v>
      </c>
      <c r="R74" s="427">
        <f t="shared" si="44"/>
        <v>0.86857142857142822</v>
      </c>
      <c r="S74" s="688"/>
      <c r="T74" s="50">
        <v>0.53263888888888877</v>
      </c>
      <c r="U74" s="50">
        <v>0.56180555555555545</v>
      </c>
      <c r="V74" s="423">
        <v>5</v>
      </c>
      <c r="W74" s="420">
        <f t="shared" si="49"/>
        <v>42.000000000000014</v>
      </c>
      <c r="X74" s="180"/>
      <c r="Y74" s="180"/>
      <c r="Z74" s="124"/>
      <c r="AA74" s="124"/>
      <c r="AB74" s="673"/>
      <c r="AC74" s="673"/>
      <c r="AD74" s="437"/>
      <c r="AE74" s="437"/>
      <c r="AF74" s="48">
        <f t="shared" ref="AF74:AF80" si="51">N74-K74</f>
        <v>-197.14285714285757</v>
      </c>
      <c r="AG74" s="427">
        <f t="shared" ref="AG74:AG80" si="52">N74/K74</f>
        <v>0.86857142857142833</v>
      </c>
      <c r="AH74" s="688"/>
    </row>
    <row r="75" spans="1:34" ht="19.2" customHeight="1">
      <c r="A75" s="703"/>
      <c r="B75" s="423" t="s">
        <v>123</v>
      </c>
      <c r="C75" s="66"/>
      <c r="D75" s="173" t="s">
        <v>70</v>
      </c>
      <c r="E75" s="43"/>
      <c r="F75" s="343">
        <v>53.76</v>
      </c>
      <c r="G75" s="57">
        <v>2002.4</v>
      </c>
      <c r="H75" s="45">
        <f t="shared" si="50"/>
        <v>107649.024</v>
      </c>
      <c r="I75" s="423"/>
      <c r="J75" s="87">
        <v>16</v>
      </c>
      <c r="K75" s="57">
        <v>1440</v>
      </c>
      <c r="L75" s="86">
        <v>90</v>
      </c>
      <c r="M75" s="421">
        <v>16</v>
      </c>
      <c r="N75" s="44">
        <f t="shared" si="45"/>
        <v>1349.932584269663</v>
      </c>
      <c r="O75" s="47">
        <f t="shared" si="46"/>
        <v>84.37078651685394</v>
      </c>
      <c r="P75" s="48">
        <f t="shared" si="47"/>
        <v>0</v>
      </c>
      <c r="Q75" s="49">
        <f t="shared" si="48"/>
        <v>-5.6292134831460601</v>
      </c>
      <c r="R75" s="427">
        <f t="shared" si="44"/>
        <v>0.93745318352059936</v>
      </c>
      <c r="S75" s="688"/>
      <c r="T75" s="50">
        <v>0.56666666666666654</v>
      </c>
      <c r="U75" s="50">
        <v>0.6284722222222221</v>
      </c>
      <c r="V75" s="423">
        <v>7</v>
      </c>
      <c r="W75" s="420">
        <f t="shared" si="49"/>
        <v>89</v>
      </c>
      <c r="X75" s="180"/>
      <c r="Y75" s="180"/>
      <c r="Z75" s="124"/>
      <c r="AA75" s="124"/>
      <c r="AB75" s="673"/>
      <c r="AC75" s="673"/>
      <c r="AD75" s="437"/>
      <c r="AE75" s="437"/>
      <c r="AF75" s="48">
        <f t="shared" si="51"/>
        <v>-90.067415730336961</v>
      </c>
      <c r="AG75" s="427">
        <f t="shared" si="52"/>
        <v>0.93745318352059936</v>
      </c>
      <c r="AH75" s="688"/>
    </row>
    <row r="76" spans="1:34" ht="19.2" customHeight="1">
      <c r="A76" s="703"/>
      <c r="B76" s="423" t="s">
        <v>123</v>
      </c>
      <c r="C76" s="175"/>
      <c r="D76" s="176" t="s">
        <v>71</v>
      </c>
      <c r="E76" s="177"/>
      <c r="F76" s="343">
        <v>47.51</v>
      </c>
      <c r="G76" s="174">
        <v>1897</v>
      </c>
      <c r="H76" s="45">
        <f t="shared" si="50"/>
        <v>90126.47</v>
      </c>
      <c r="I76" s="423">
        <v>1</v>
      </c>
      <c r="J76" s="87">
        <v>17</v>
      </c>
      <c r="K76" s="57">
        <v>1440</v>
      </c>
      <c r="L76" s="86">
        <v>84.705882352941174</v>
      </c>
      <c r="M76" s="426">
        <v>17</v>
      </c>
      <c r="N76" s="44">
        <f t="shared" si="45"/>
        <v>1339.0588235294115</v>
      </c>
      <c r="O76" s="47">
        <f t="shared" si="46"/>
        <v>78.768166089965376</v>
      </c>
      <c r="P76" s="48">
        <f t="shared" si="47"/>
        <v>0</v>
      </c>
      <c r="Q76" s="49">
        <f t="shared" si="48"/>
        <v>-5.9377162629757976</v>
      </c>
      <c r="R76" s="427">
        <f t="shared" si="44"/>
        <v>0.92990196078431353</v>
      </c>
      <c r="S76" s="688"/>
      <c r="T76" s="50">
        <v>0.64374999999999982</v>
      </c>
      <c r="U76" s="50">
        <v>0.70277777777777761</v>
      </c>
      <c r="V76" s="423">
        <v>22</v>
      </c>
      <c r="W76" s="420">
        <f t="shared" si="49"/>
        <v>85.000000000000014</v>
      </c>
      <c r="X76" s="180">
        <v>0.6333333333333333</v>
      </c>
      <c r="Y76" s="180">
        <v>0.6430555555555556</v>
      </c>
      <c r="Z76" s="124"/>
      <c r="AA76" s="124"/>
      <c r="AB76" s="673"/>
      <c r="AC76" s="673"/>
      <c r="AD76" s="437"/>
      <c r="AE76" s="437"/>
      <c r="AF76" s="48">
        <f t="shared" si="51"/>
        <v>-100.94117647058852</v>
      </c>
      <c r="AG76" s="427">
        <f t="shared" si="52"/>
        <v>0.92990196078431353</v>
      </c>
      <c r="AH76" s="688"/>
    </row>
    <row r="77" spans="1:34" ht="19.2" customHeight="1">
      <c r="A77" s="703"/>
      <c r="B77" s="423">
        <v>0</v>
      </c>
      <c r="C77" s="433"/>
      <c r="D77" s="42"/>
      <c r="E77" s="43"/>
      <c r="F77" s="343" t="s">
        <v>128</v>
      </c>
      <c r="G77" s="174"/>
      <c r="H77" s="45">
        <f t="shared" si="50"/>
        <v>0</v>
      </c>
      <c r="I77" s="437"/>
      <c r="J77" s="46"/>
      <c r="K77" s="174"/>
      <c r="L77" s="47"/>
      <c r="M77" s="426"/>
      <c r="N77" s="44"/>
      <c r="O77" s="47"/>
      <c r="P77" s="48"/>
      <c r="Q77" s="49"/>
      <c r="R77" s="427"/>
      <c r="S77" s="688"/>
      <c r="T77" s="50"/>
      <c r="U77" s="50"/>
      <c r="V77" s="423"/>
      <c r="W77" s="420">
        <f t="shared" si="49"/>
        <v>0</v>
      </c>
      <c r="X77" s="180"/>
      <c r="Y77" s="180"/>
      <c r="Z77" s="124"/>
      <c r="AA77" s="124"/>
      <c r="AB77" s="673"/>
      <c r="AC77" s="673"/>
      <c r="AD77" s="437"/>
      <c r="AE77" s="437"/>
      <c r="AF77" s="48">
        <f t="shared" si="51"/>
        <v>0</v>
      </c>
      <c r="AG77" s="427" t="e">
        <f t="shared" si="52"/>
        <v>#DIV/0!</v>
      </c>
      <c r="AH77" s="688"/>
    </row>
    <row r="78" spans="1:34" ht="19.2" customHeight="1">
      <c r="A78" s="703"/>
      <c r="B78" s="423">
        <v>0</v>
      </c>
      <c r="C78" s="433"/>
      <c r="D78" s="42"/>
      <c r="E78" s="43"/>
      <c r="F78" s="343" t="s">
        <v>128</v>
      </c>
      <c r="G78" s="57"/>
      <c r="H78" s="45">
        <f t="shared" si="50"/>
        <v>0</v>
      </c>
      <c r="I78" s="437"/>
      <c r="J78" s="87"/>
      <c r="K78" s="57"/>
      <c r="L78" s="86"/>
      <c r="M78" s="426"/>
      <c r="N78" s="44"/>
      <c r="O78" s="47"/>
      <c r="P78" s="48"/>
      <c r="Q78" s="49"/>
      <c r="R78" s="427"/>
      <c r="S78" s="688"/>
      <c r="T78" s="50"/>
      <c r="U78" s="50"/>
      <c r="V78" s="423"/>
      <c r="W78" s="420">
        <f t="shared" si="49"/>
        <v>0</v>
      </c>
      <c r="X78" s="180"/>
      <c r="Y78" s="180"/>
      <c r="Z78" s="124"/>
      <c r="AA78" s="124"/>
      <c r="AB78" s="673"/>
      <c r="AC78" s="673"/>
      <c r="AD78" s="437"/>
      <c r="AE78" s="437"/>
      <c r="AF78" s="48">
        <f t="shared" si="51"/>
        <v>0</v>
      </c>
      <c r="AG78" s="427" t="e">
        <f t="shared" si="52"/>
        <v>#DIV/0!</v>
      </c>
      <c r="AH78" s="688"/>
    </row>
    <row r="79" spans="1:34" ht="19.2" customHeight="1">
      <c r="A79" s="703"/>
      <c r="B79" s="423">
        <v>0</v>
      </c>
      <c r="C79" s="175"/>
      <c r="D79" s="176"/>
      <c r="E79" s="177"/>
      <c r="F79" s="343" t="s">
        <v>128</v>
      </c>
      <c r="G79" s="57"/>
      <c r="H79" s="45">
        <f t="shared" si="50"/>
        <v>0</v>
      </c>
      <c r="I79" s="437"/>
      <c r="J79" s="87"/>
      <c r="K79" s="57"/>
      <c r="L79" s="86"/>
      <c r="M79" s="426"/>
      <c r="N79" s="57"/>
      <c r="O79" s="181"/>
      <c r="P79" s="108"/>
      <c r="Q79" s="182"/>
      <c r="R79" s="109"/>
      <c r="S79" s="688"/>
      <c r="T79" s="50"/>
      <c r="U79" s="50"/>
      <c r="V79" s="423"/>
      <c r="W79" s="420">
        <f t="shared" si="49"/>
        <v>0</v>
      </c>
      <c r="X79" s="180"/>
      <c r="Y79" s="180"/>
      <c r="Z79" s="124"/>
      <c r="AA79" s="124"/>
      <c r="AB79" s="673"/>
      <c r="AC79" s="673"/>
      <c r="AD79" s="437"/>
      <c r="AE79" s="437"/>
      <c r="AF79" s="48">
        <f t="shared" si="51"/>
        <v>0</v>
      </c>
      <c r="AG79" s="427" t="e">
        <f t="shared" si="52"/>
        <v>#DIV/0!</v>
      </c>
      <c r="AH79" s="688"/>
    </row>
    <row r="80" spans="1:34" ht="19.2" customHeight="1">
      <c r="A80" s="703"/>
      <c r="B80" s="423">
        <v>0</v>
      </c>
      <c r="C80" s="433"/>
      <c r="D80" s="42"/>
      <c r="E80" s="43"/>
      <c r="F80" s="343"/>
      <c r="G80" s="57"/>
      <c r="H80" s="45">
        <f t="shared" si="50"/>
        <v>0</v>
      </c>
      <c r="I80" s="437"/>
      <c r="J80" s="87"/>
      <c r="K80" s="57"/>
      <c r="L80" s="86"/>
      <c r="M80" s="426"/>
      <c r="N80" s="57"/>
      <c r="O80" s="183"/>
      <c r="P80" s="54"/>
      <c r="Q80" s="88"/>
      <c r="R80" s="436"/>
      <c r="S80" s="688"/>
      <c r="T80" s="50"/>
      <c r="U80" s="50"/>
      <c r="V80" s="423"/>
      <c r="W80" s="420">
        <f t="shared" si="49"/>
        <v>0</v>
      </c>
      <c r="X80" s="180"/>
      <c r="Y80" s="180"/>
      <c r="Z80" s="124"/>
      <c r="AA80" s="124"/>
      <c r="AB80" s="673"/>
      <c r="AC80" s="673"/>
      <c r="AD80" s="437"/>
      <c r="AE80" s="437"/>
      <c r="AF80" s="48">
        <f t="shared" si="51"/>
        <v>0</v>
      </c>
      <c r="AG80" s="427" t="e">
        <f t="shared" si="52"/>
        <v>#DIV/0!</v>
      </c>
      <c r="AH80" s="688"/>
    </row>
    <row r="81" spans="1:34" ht="19.2" customHeight="1">
      <c r="A81" s="703"/>
      <c r="B81" s="423">
        <v>0</v>
      </c>
      <c r="C81" s="433"/>
      <c r="D81" s="42"/>
      <c r="E81" s="43"/>
      <c r="F81" s="350"/>
      <c r="G81" s="57"/>
      <c r="H81" s="84"/>
      <c r="I81" s="437"/>
      <c r="J81" s="87"/>
      <c r="K81" s="57"/>
      <c r="L81" s="86"/>
      <c r="M81" s="426"/>
      <c r="N81" s="57"/>
      <c r="O81" s="183"/>
      <c r="P81" s="54"/>
      <c r="Q81" s="88"/>
      <c r="R81" s="436"/>
      <c r="S81" s="688"/>
      <c r="T81" s="50"/>
      <c r="U81" s="50"/>
      <c r="V81" s="423"/>
      <c r="W81" s="420">
        <f t="shared" si="49"/>
        <v>0</v>
      </c>
      <c r="X81" s="180"/>
      <c r="Y81" s="180"/>
      <c r="Z81" s="124"/>
      <c r="AA81" s="124"/>
      <c r="AB81" s="673"/>
      <c r="AC81" s="673"/>
      <c r="AD81" s="437"/>
      <c r="AE81" s="437"/>
      <c r="AF81" s="48"/>
      <c r="AG81" s="125"/>
      <c r="AH81" s="688"/>
    </row>
    <row r="82" spans="1:34" ht="19.2" customHeight="1">
      <c r="A82" s="704"/>
      <c r="B82" s="168">
        <v>0</v>
      </c>
      <c r="C82" s="100" t="s">
        <v>312</v>
      </c>
      <c r="D82" s="669" t="s">
        <v>301</v>
      </c>
      <c r="E82" s="669"/>
      <c r="F82" s="353"/>
      <c r="G82" s="101"/>
      <c r="H82" s="102"/>
      <c r="I82" s="103"/>
      <c r="J82" s="101">
        <v>17.571428571428573</v>
      </c>
      <c r="K82" s="101">
        <v>1531</v>
      </c>
      <c r="L82" s="104">
        <v>87.277740920929773</v>
      </c>
      <c r="M82" s="101">
        <f t="shared" ref="M82:O82" si="53">AVERAGE(M70:M81)</f>
        <v>17.714285714285715</v>
      </c>
      <c r="N82" s="101">
        <f t="shared" si="53"/>
        <v>1390.1088616843754</v>
      </c>
      <c r="O82" s="184">
        <f t="shared" si="53"/>
        <v>78.643421047612449</v>
      </c>
      <c r="P82" s="116">
        <f>M82-J82</f>
        <v>0.14285714285714235</v>
      </c>
      <c r="Q82" s="117">
        <f>N82-K82</f>
        <v>-140.89113831562463</v>
      </c>
      <c r="R82" s="172">
        <f>O82/L82</f>
        <v>0.90107076807659725</v>
      </c>
      <c r="S82" s="688"/>
      <c r="T82" s="50"/>
      <c r="U82" s="50"/>
      <c r="V82" s="423"/>
      <c r="W82" s="44"/>
      <c r="X82" s="47"/>
      <c r="Y82" s="47"/>
      <c r="Z82" s="106">
        <f>SUM(Z70:Z81)</f>
        <v>0</v>
      </c>
      <c r="AA82" s="106">
        <f>SUM(AA70:AA81)</f>
        <v>0</v>
      </c>
      <c r="AB82" s="673"/>
      <c r="AC82" s="673"/>
      <c r="AD82" s="107">
        <f>SUM(AD70:AD81)</f>
        <v>0</v>
      </c>
      <c r="AE82" s="107">
        <f>SUM(AE70:AE81)</f>
        <v>1</v>
      </c>
      <c r="AF82" s="48">
        <f>N82-K82</f>
        <v>-140.89113831562463</v>
      </c>
      <c r="AG82" s="427">
        <f>N82/K82</f>
        <v>0.90797443610997741</v>
      </c>
      <c r="AH82" s="688"/>
    </row>
    <row r="83" spans="1:34" ht="19.2" customHeight="1">
      <c r="A83" s="696" t="s">
        <v>313</v>
      </c>
      <c r="B83" s="110" t="s">
        <v>123</v>
      </c>
      <c r="C83" s="66"/>
      <c r="D83" s="358" t="s">
        <v>179</v>
      </c>
      <c r="E83" s="43"/>
      <c r="F83" s="350">
        <v>61.02</v>
      </c>
      <c r="G83" s="57">
        <v>1418.3</v>
      </c>
      <c r="H83" s="84">
        <f t="shared" ref="H83:H94" si="54">F83*G83</f>
        <v>86544.665999999997</v>
      </c>
      <c r="I83" s="437"/>
      <c r="J83" s="87">
        <v>17</v>
      </c>
      <c r="K83" s="57">
        <v>1440</v>
      </c>
      <c r="L83" s="86">
        <v>84.705882352941174</v>
      </c>
      <c r="M83" s="426">
        <v>17</v>
      </c>
      <c r="N83" s="57">
        <f t="shared" ref="N83:N89" si="55">G83/W83*60</f>
        <v>1350.7619047619044</v>
      </c>
      <c r="O83" s="183">
        <f t="shared" ref="O83:O89" si="56">N83/M83</f>
        <v>79.456582633053202</v>
      </c>
      <c r="P83" s="54">
        <f t="shared" ref="P83:P89" si="57">M83-J83</f>
        <v>0</v>
      </c>
      <c r="Q83" s="88">
        <f t="shared" ref="Q83:Q89" si="58">O83-L83</f>
        <v>-5.2492997198879721</v>
      </c>
      <c r="R83" s="185">
        <f t="shared" ref="R83:R89" si="59">O83/L83</f>
        <v>0.93802910052910038</v>
      </c>
      <c r="S83" s="688">
        <f>R95</f>
        <v>0.90414443685005497</v>
      </c>
      <c r="T83" s="50">
        <v>0.33333333333333331</v>
      </c>
      <c r="U83" s="50">
        <v>0.37708333333333333</v>
      </c>
      <c r="V83" s="423">
        <v>5</v>
      </c>
      <c r="W83" s="420">
        <f t="shared" ref="W83:W93" si="60">(U83-T83)*24*60</f>
        <v>63.000000000000014</v>
      </c>
      <c r="X83" s="53"/>
      <c r="Y83" s="53"/>
      <c r="Z83" s="54"/>
      <c r="AA83" s="54"/>
      <c r="AB83" s="673"/>
      <c r="AC83" s="673"/>
      <c r="AD83" s="437"/>
      <c r="AE83" s="437"/>
      <c r="AF83" s="48">
        <f t="shared" ref="AF83:AF173" si="61">N83-K83</f>
        <v>-89.238095238095639</v>
      </c>
      <c r="AG83" s="427">
        <f t="shared" ref="AG83:AG173" si="62">N83/K83</f>
        <v>0.93802910052910027</v>
      </c>
      <c r="AH83" s="688">
        <f>AG95</f>
        <v>0.90313759802834115</v>
      </c>
    </row>
    <row r="84" spans="1:34" ht="19.2" customHeight="1">
      <c r="A84" s="697"/>
      <c r="B84" s="110" t="s">
        <v>124</v>
      </c>
      <c r="C84" s="433"/>
      <c r="D84" s="186" t="s">
        <v>195</v>
      </c>
      <c r="E84" s="43"/>
      <c r="F84" s="350">
        <v>50.67</v>
      </c>
      <c r="G84" s="44">
        <v>3166.8399999999997</v>
      </c>
      <c r="H84" s="84">
        <f t="shared" si="54"/>
        <v>160463.78279999999</v>
      </c>
      <c r="I84" s="423"/>
      <c r="J84" s="87">
        <v>19</v>
      </c>
      <c r="K84" s="57">
        <v>1500</v>
      </c>
      <c r="L84" s="86">
        <v>78.94736842105263</v>
      </c>
      <c r="M84" s="426">
        <v>19</v>
      </c>
      <c r="N84" s="57">
        <f t="shared" si="55"/>
        <v>1328.7440559440561</v>
      </c>
      <c r="O84" s="183">
        <f t="shared" si="56"/>
        <v>69.933897681266103</v>
      </c>
      <c r="P84" s="54">
        <f t="shared" si="57"/>
        <v>0</v>
      </c>
      <c r="Q84" s="88">
        <f t="shared" si="58"/>
        <v>-9.013470739786527</v>
      </c>
      <c r="R84" s="185">
        <f t="shared" si="59"/>
        <v>0.88582937062937062</v>
      </c>
      <c r="S84" s="688"/>
      <c r="T84" s="50">
        <v>0.3923611111111111</v>
      </c>
      <c r="U84" s="50">
        <v>0.49166666666666664</v>
      </c>
      <c r="V84" s="423">
        <v>22</v>
      </c>
      <c r="W84" s="420">
        <f t="shared" si="60"/>
        <v>142.99999999999997</v>
      </c>
      <c r="X84" s="53">
        <v>0.38194444444444442</v>
      </c>
      <c r="Y84" s="53">
        <v>0.39166666666666666</v>
      </c>
      <c r="Z84" s="54"/>
      <c r="AA84" s="54"/>
      <c r="AB84" s="673"/>
      <c r="AC84" s="673"/>
      <c r="AD84" s="437"/>
      <c r="AE84" s="437"/>
      <c r="AF84" s="48">
        <f t="shared" si="61"/>
        <v>-171.25594405594393</v>
      </c>
      <c r="AG84" s="427">
        <f t="shared" si="62"/>
        <v>0.88582937062937073</v>
      </c>
      <c r="AH84" s="688"/>
    </row>
    <row r="85" spans="1:34" ht="19.2" customHeight="1">
      <c r="A85" s="697"/>
      <c r="B85" s="110" t="s">
        <v>123</v>
      </c>
      <c r="C85" s="122"/>
      <c r="D85" s="186" t="s">
        <v>192</v>
      </c>
      <c r="E85" s="43"/>
      <c r="F85" s="350">
        <v>61.09</v>
      </c>
      <c r="G85" s="44">
        <v>2033</v>
      </c>
      <c r="H85" s="84">
        <f t="shared" si="54"/>
        <v>124195.97</v>
      </c>
      <c r="I85" s="423"/>
      <c r="J85" s="87">
        <v>17</v>
      </c>
      <c r="K85" s="57">
        <v>1440</v>
      </c>
      <c r="L85" s="86">
        <v>84.705882352941174</v>
      </c>
      <c r="M85" s="426">
        <v>17</v>
      </c>
      <c r="N85" s="57">
        <f t="shared" si="55"/>
        <v>1270.6250000000005</v>
      </c>
      <c r="O85" s="183">
        <f t="shared" si="56"/>
        <v>74.74264705882355</v>
      </c>
      <c r="P85" s="54">
        <f t="shared" si="57"/>
        <v>0</v>
      </c>
      <c r="Q85" s="88">
        <f t="shared" si="58"/>
        <v>-9.9632352941176237</v>
      </c>
      <c r="R85" s="185">
        <f t="shared" si="59"/>
        <v>0.88237847222222254</v>
      </c>
      <c r="S85" s="688"/>
      <c r="T85" s="50">
        <v>0.53194444444444444</v>
      </c>
      <c r="U85" s="50">
        <v>0.59861111111111109</v>
      </c>
      <c r="V85" s="423">
        <v>5</v>
      </c>
      <c r="W85" s="420">
        <f t="shared" si="60"/>
        <v>95.999999999999972</v>
      </c>
      <c r="X85" s="53"/>
      <c r="Y85" s="53"/>
      <c r="Z85" s="54"/>
      <c r="AA85" s="54"/>
      <c r="AB85" s="673"/>
      <c r="AC85" s="673"/>
      <c r="AD85" s="437">
        <v>1</v>
      </c>
      <c r="AE85" s="437"/>
      <c r="AF85" s="48">
        <f t="shared" si="61"/>
        <v>-169.37499999999955</v>
      </c>
      <c r="AG85" s="427">
        <f t="shared" si="62"/>
        <v>0.88237847222222254</v>
      </c>
      <c r="AH85" s="688"/>
    </row>
    <row r="86" spans="1:34" ht="19.2" customHeight="1">
      <c r="A86" s="697"/>
      <c r="B86" s="110" t="s">
        <v>123</v>
      </c>
      <c r="C86" s="97"/>
      <c r="D86" s="186" t="s">
        <v>179</v>
      </c>
      <c r="E86" s="43"/>
      <c r="F86" s="350">
        <v>61.02</v>
      </c>
      <c r="G86" s="44">
        <v>763.69999999999993</v>
      </c>
      <c r="H86" s="84">
        <f t="shared" si="54"/>
        <v>46600.973999999995</v>
      </c>
      <c r="I86" s="423">
        <v>1</v>
      </c>
      <c r="J86" s="87">
        <v>17</v>
      </c>
      <c r="K86" s="57">
        <v>1440</v>
      </c>
      <c r="L86" s="86">
        <v>84.705882352941174</v>
      </c>
      <c r="M86" s="426">
        <v>17</v>
      </c>
      <c r="N86" s="57">
        <f t="shared" si="55"/>
        <v>1347.7058823529394</v>
      </c>
      <c r="O86" s="183">
        <f t="shared" si="56"/>
        <v>79.276816608996441</v>
      </c>
      <c r="P86" s="54">
        <f t="shared" si="57"/>
        <v>0</v>
      </c>
      <c r="Q86" s="88">
        <f t="shared" si="58"/>
        <v>-5.429065743944733</v>
      </c>
      <c r="R86" s="185">
        <f t="shared" si="59"/>
        <v>0.93590686274509693</v>
      </c>
      <c r="S86" s="688"/>
      <c r="T86" s="50">
        <v>0.60347222222222219</v>
      </c>
      <c r="U86" s="50">
        <v>0.62708333333333333</v>
      </c>
      <c r="V86" s="423">
        <v>7</v>
      </c>
      <c r="W86" s="420">
        <f t="shared" si="60"/>
        <v>34.000000000000043</v>
      </c>
      <c r="X86" s="53"/>
      <c r="Y86" s="53"/>
      <c r="Z86" s="54"/>
      <c r="AA86" s="54"/>
      <c r="AB86" s="673"/>
      <c r="AC86" s="673"/>
      <c r="AD86" s="437"/>
      <c r="AE86" s="437"/>
      <c r="AF86" s="48">
        <f t="shared" si="61"/>
        <v>-92.294117647060602</v>
      </c>
      <c r="AG86" s="427">
        <f t="shared" si="62"/>
        <v>0.93590686274509682</v>
      </c>
      <c r="AH86" s="688"/>
    </row>
    <row r="87" spans="1:34" ht="19.2" customHeight="1">
      <c r="A87" s="697"/>
      <c r="B87" s="110" t="s">
        <v>124</v>
      </c>
      <c r="C87" s="97"/>
      <c r="D87" s="186" t="s">
        <v>173</v>
      </c>
      <c r="E87" s="43"/>
      <c r="F87" s="350">
        <v>49.91</v>
      </c>
      <c r="G87" s="44">
        <v>1210.72</v>
      </c>
      <c r="H87" s="84">
        <f t="shared" si="54"/>
        <v>60427.035199999998</v>
      </c>
      <c r="I87" s="423">
        <v>1</v>
      </c>
      <c r="J87" s="87">
        <v>17</v>
      </c>
      <c r="K87" s="57">
        <v>1565</v>
      </c>
      <c r="L87" s="86">
        <v>92.058823529411768</v>
      </c>
      <c r="M87" s="426">
        <v>17</v>
      </c>
      <c r="N87" s="57">
        <f t="shared" si="55"/>
        <v>1424.3764705882359</v>
      </c>
      <c r="O87" s="183">
        <f t="shared" si="56"/>
        <v>83.786851211072701</v>
      </c>
      <c r="P87" s="54">
        <f t="shared" si="57"/>
        <v>0</v>
      </c>
      <c r="Q87" s="88">
        <f t="shared" si="58"/>
        <v>-8.271972318339067</v>
      </c>
      <c r="R87" s="185">
        <f t="shared" si="59"/>
        <v>0.91014470964104532</v>
      </c>
      <c r="S87" s="688"/>
      <c r="T87" s="50">
        <v>0.63124999999999998</v>
      </c>
      <c r="U87" s="50">
        <v>0.66666666666666663</v>
      </c>
      <c r="V87" s="423">
        <v>6</v>
      </c>
      <c r="W87" s="420">
        <f t="shared" si="60"/>
        <v>50.999999999999979</v>
      </c>
      <c r="X87" s="53"/>
      <c r="Y87" s="53"/>
      <c r="Z87" s="54"/>
      <c r="AA87" s="54"/>
      <c r="AB87" s="673"/>
      <c r="AC87" s="673"/>
      <c r="AD87" s="437"/>
      <c r="AE87" s="437"/>
      <c r="AF87" s="48">
        <f t="shared" si="61"/>
        <v>-140.62352941176414</v>
      </c>
      <c r="AG87" s="427">
        <f t="shared" si="62"/>
        <v>0.91014470964104532</v>
      </c>
      <c r="AH87" s="688"/>
    </row>
    <row r="88" spans="1:34" ht="19.2" customHeight="1">
      <c r="A88" s="697"/>
      <c r="B88" s="110" t="s">
        <v>122</v>
      </c>
      <c r="C88" s="433"/>
      <c r="D88" s="186" t="s">
        <v>52</v>
      </c>
      <c r="E88" s="43"/>
      <c r="F88" s="350">
        <v>37.83</v>
      </c>
      <c r="G88" s="57">
        <v>1548.8</v>
      </c>
      <c r="H88" s="84">
        <f t="shared" si="54"/>
        <v>58591.103999999992</v>
      </c>
      <c r="I88" s="423">
        <v>1</v>
      </c>
      <c r="J88" s="87">
        <v>20</v>
      </c>
      <c r="K88" s="57">
        <v>2400</v>
      </c>
      <c r="L88" s="86">
        <v>120</v>
      </c>
      <c r="M88" s="426">
        <v>20</v>
      </c>
      <c r="N88" s="57">
        <f t="shared" si="55"/>
        <v>2266.5365853658527</v>
      </c>
      <c r="O88" s="183">
        <f t="shared" si="56"/>
        <v>113.32682926829264</v>
      </c>
      <c r="P88" s="54">
        <f t="shared" si="57"/>
        <v>0</v>
      </c>
      <c r="Q88" s="88">
        <f t="shared" si="58"/>
        <v>-6.6731707317073585</v>
      </c>
      <c r="R88" s="185">
        <f t="shared" si="59"/>
        <v>0.94439024390243864</v>
      </c>
      <c r="S88" s="688"/>
      <c r="T88" s="50">
        <v>0.6826388888888888</v>
      </c>
      <c r="U88" s="50">
        <v>0.71111111111111103</v>
      </c>
      <c r="V88" s="423">
        <v>23</v>
      </c>
      <c r="W88" s="420">
        <f t="shared" si="60"/>
        <v>41.000000000000014</v>
      </c>
      <c r="X88" s="53">
        <v>0.67083333333333339</v>
      </c>
      <c r="Y88" s="53">
        <v>0.68194444444444446</v>
      </c>
      <c r="Z88" s="54"/>
      <c r="AA88" s="54"/>
      <c r="AB88" s="673"/>
      <c r="AC88" s="673"/>
      <c r="AD88" s="437"/>
      <c r="AE88" s="437"/>
      <c r="AF88" s="48">
        <f t="shared" si="61"/>
        <v>-133.46341463414728</v>
      </c>
      <c r="AG88" s="427">
        <f t="shared" si="62"/>
        <v>0.94439024390243864</v>
      </c>
      <c r="AH88" s="688"/>
    </row>
    <row r="89" spans="1:34" ht="19.2" customHeight="1">
      <c r="A89" s="697"/>
      <c r="B89" s="110" t="s">
        <v>127</v>
      </c>
      <c r="C89" s="433"/>
      <c r="D89" s="42" t="s">
        <v>72</v>
      </c>
      <c r="E89" s="43"/>
      <c r="F89" s="350">
        <v>53.68</v>
      </c>
      <c r="G89" s="114">
        <v>762</v>
      </c>
      <c r="H89" s="84">
        <f t="shared" si="54"/>
        <v>40904.159999999996</v>
      </c>
      <c r="I89" s="423"/>
      <c r="J89" s="87">
        <v>20</v>
      </c>
      <c r="K89" s="57">
        <v>1500</v>
      </c>
      <c r="L89" s="86">
        <v>75</v>
      </c>
      <c r="M89" s="426">
        <v>20</v>
      </c>
      <c r="N89" s="57">
        <f t="shared" si="55"/>
        <v>1203.1578947368412</v>
      </c>
      <c r="O89" s="183">
        <f t="shared" si="56"/>
        <v>60.15789473684206</v>
      </c>
      <c r="P89" s="54">
        <f t="shared" si="57"/>
        <v>0</v>
      </c>
      <c r="Q89" s="88">
        <f t="shared" si="58"/>
        <v>-14.84210526315794</v>
      </c>
      <c r="R89" s="185">
        <f t="shared" si="59"/>
        <v>0.8021052631578941</v>
      </c>
      <c r="S89" s="688"/>
      <c r="T89" s="50">
        <v>0.71597222222222212</v>
      </c>
      <c r="U89" s="50">
        <v>0.74236111111111103</v>
      </c>
      <c r="V89" s="423">
        <v>7</v>
      </c>
      <c r="W89" s="420">
        <f t="shared" si="60"/>
        <v>38.000000000000028</v>
      </c>
      <c r="X89" s="53"/>
      <c r="Y89" s="53"/>
      <c r="Z89" s="54"/>
      <c r="AA89" s="54"/>
      <c r="AB89" s="673"/>
      <c r="AC89" s="673"/>
      <c r="AD89" s="437"/>
      <c r="AE89" s="437"/>
      <c r="AF89" s="48">
        <f t="shared" si="61"/>
        <v>-296.84210526315883</v>
      </c>
      <c r="AG89" s="427">
        <f t="shared" si="62"/>
        <v>0.8021052631578941</v>
      </c>
      <c r="AH89" s="688"/>
    </row>
    <row r="90" spans="1:34" ht="19.2" customHeight="1">
      <c r="A90" s="697"/>
      <c r="B90" s="110">
        <v>0</v>
      </c>
      <c r="C90" s="433"/>
      <c r="D90" s="42"/>
      <c r="E90" s="43"/>
      <c r="F90" s="350" t="s">
        <v>128</v>
      </c>
      <c r="G90" s="127"/>
      <c r="H90" s="84">
        <f t="shared" si="54"/>
        <v>0</v>
      </c>
      <c r="I90" s="187"/>
      <c r="J90" s="87"/>
      <c r="K90" s="57"/>
      <c r="L90" s="86"/>
      <c r="M90" s="426"/>
      <c r="N90" s="57"/>
      <c r="O90" s="183"/>
      <c r="P90" s="54"/>
      <c r="Q90" s="88"/>
      <c r="R90" s="185"/>
      <c r="S90" s="688"/>
      <c r="T90" s="50"/>
      <c r="U90" s="50"/>
      <c r="V90" s="423"/>
      <c r="W90" s="420">
        <f t="shared" si="60"/>
        <v>0</v>
      </c>
      <c r="X90" s="188"/>
      <c r="Y90" s="188"/>
      <c r="Z90" s="54"/>
      <c r="AA90" s="54"/>
      <c r="AB90" s="673"/>
      <c r="AC90" s="673"/>
      <c r="AD90" s="437"/>
      <c r="AE90" s="437"/>
      <c r="AF90" s="48">
        <f t="shared" si="61"/>
        <v>0</v>
      </c>
      <c r="AG90" s="427" t="e">
        <f t="shared" si="62"/>
        <v>#DIV/0!</v>
      </c>
      <c r="AH90" s="688"/>
    </row>
    <row r="91" spans="1:34" ht="19.2" customHeight="1">
      <c r="A91" s="697"/>
      <c r="B91" s="110">
        <v>0</v>
      </c>
      <c r="C91" s="433"/>
      <c r="D91" s="42"/>
      <c r="E91" s="43"/>
      <c r="F91" s="350" t="s">
        <v>128</v>
      </c>
      <c r="G91" s="44"/>
      <c r="H91" s="84">
        <f t="shared" si="54"/>
        <v>0</v>
      </c>
      <c r="I91" s="189"/>
      <c r="J91" s="87"/>
      <c r="K91" s="57"/>
      <c r="L91" s="86"/>
      <c r="M91" s="426"/>
      <c r="N91" s="57"/>
      <c r="O91" s="183"/>
      <c r="P91" s="54"/>
      <c r="Q91" s="88"/>
      <c r="R91" s="185"/>
      <c r="S91" s="689"/>
      <c r="T91" s="50"/>
      <c r="U91" s="50"/>
      <c r="V91" s="423"/>
      <c r="W91" s="420">
        <f t="shared" si="60"/>
        <v>0</v>
      </c>
      <c r="X91" s="115"/>
      <c r="Y91" s="115"/>
      <c r="Z91" s="54"/>
      <c r="AA91" s="54"/>
      <c r="AB91" s="673"/>
      <c r="AC91" s="673"/>
      <c r="AD91" s="437"/>
      <c r="AE91" s="437"/>
      <c r="AF91" s="48">
        <f t="shared" si="61"/>
        <v>0</v>
      </c>
      <c r="AG91" s="427" t="e">
        <f t="shared" si="62"/>
        <v>#DIV/0!</v>
      </c>
      <c r="AH91" s="689"/>
    </row>
    <row r="92" spans="1:34" ht="19.2" customHeight="1">
      <c r="A92" s="697"/>
      <c r="B92" s="110">
        <v>0</v>
      </c>
      <c r="C92" s="433"/>
      <c r="D92" s="42"/>
      <c r="E92" s="43"/>
      <c r="F92" s="350" t="s">
        <v>128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35"/>
      <c r="S92" s="689"/>
      <c r="T92" s="50"/>
      <c r="U92" s="50"/>
      <c r="V92" s="423"/>
      <c r="W92" s="420">
        <f t="shared" si="60"/>
        <v>0</v>
      </c>
      <c r="X92" s="180"/>
      <c r="Y92" s="180"/>
      <c r="Z92" s="124"/>
      <c r="AA92" s="124"/>
      <c r="AB92" s="673"/>
      <c r="AC92" s="673"/>
      <c r="AD92" s="437"/>
      <c r="AE92" s="437"/>
      <c r="AF92" s="48">
        <f t="shared" si="61"/>
        <v>0</v>
      </c>
      <c r="AG92" s="427" t="e">
        <f t="shared" si="62"/>
        <v>#DIV/0!</v>
      </c>
      <c r="AH92" s="689"/>
    </row>
    <row r="93" spans="1:34" ht="19.2" customHeight="1">
      <c r="A93" s="697"/>
      <c r="B93" s="424">
        <v>0</v>
      </c>
      <c r="C93" s="195"/>
      <c r="D93" s="59"/>
      <c r="E93" s="60"/>
      <c r="F93" s="350" t="s">
        <v>128</v>
      </c>
      <c r="G93" s="44"/>
      <c r="H93" s="84">
        <f t="shared" si="54"/>
        <v>0</v>
      </c>
      <c r="I93" s="196"/>
      <c r="J93" s="87"/>
      <c r="K93" s="57"/>
      <c r="L93" s="192"/>
      <c r="M93" s="426"/>
      <c r="N93" s="57"/>
      <c r="O93" s="86"/>
      <c r="P93" s="54"/>
      <c r="Q93" s="88"/>
      <c r="R93" s="430"/>
      <c r="S93" s="698"/>
      <c r="T93" s="63"/>
      <c r="U93" s="63"/>
      <c r="V93" s="424"/>
      <c r="W93" s="420">
        <f t="shared" si="60"/>
        <v>0</v>
      </c>
      <c r="X93" s="197"/>
      <c r="Y93" s="197"/>
      <c r="Z93" s="124"/>
      <c r="AA93" s="124"/>
      <c r="AB93" s="673"/>
      <c r="AC93" s="673"/>
      <c r="AD93" s="437"/>
      <c r="AE93" s="437"/>
      <c r="AF93" s="48">
        <f t="shared" si="61"/>
        <v>0</v>
      </c>
      <c r="AG93" s="427" t="e">
        <f t="shared" si="62"/>
        <v>#DIV/0!</v>
      </c>
      <c r="AH93" s="689"/>
    </row>
    <row r="94" spans="1:34" ht="19.2" customHeight="1">
      <c r="A94" s="697"/>
      <c r="B94" s="424">
        <v>0</v>
      </c>
      <c r="C94" s="195"/>
      <c r="D94" s="42"/>
      <c r="E94" s="43"/>
      <c r="F94" s="350" t="s">
        <v>128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30"/>
      <c r="S94" s="698"/>
      <c r="T94" s="63"/>
      <c r="U94" s="63"/>
      <c r="V94" s="424"/>
      <c r="W94" s="420">
        <f>(U94-T94)*24*60</f>
        <v>0</v>
      </c>
      <c r="X94" s="197"/>
      <c r="Y94" s="197"/>
      <c r="Z94" s="124"/>
      <c r="AA94" s="124"/>
      <c r="AB94" s="673"/>
      <c r="AC94" s="673"/>
      <c r="AD94" s="437"/>
      <c r="AE94" s="437"/>
      <c r="AF94" s="48">
        <f t="shared" si="61"/>
        <v>0</v>
      </c>
      <c r="AG94" s="427" t="e">
        <f t="shared" si="62"/>
        <v>#DIV/0!</v>
      </c>
      <c r="AH94" s="689"/>
    </row>
    <row r="95" spans="1:34" ht="19.2" customHeight="1">
      <c r="A95" s="697"/>
      <c r="B95" s="200">
        <v>0</v>
      </c>
      <c r="C95" s="100" t="s">
        <v>314</v>
      </c>
      <c r="D95" s="669" t="s">
        <v>301</v>
      </c>
      <c r="E95" s="669"/>
      <c r="F95" s="344"/>
      <c r="G95" s="70"/>
      <c r="H95" s="201"/>
      <c r="I95" s="103"/>
      <c r="J95" s="202">
        <v>18.142857142857142</v>
      </c>
      <c r="K95" s="202">
        <v>1612.1428571428571</v>
      </c>
      <c r="L95" s="203">
        <v>88.589119858469687</v>
      </c>
      <c r="M95" s="202">
        <f t="shared" ref="M95:O95" si="63">AVERAGE(M83:M94)</f>
        <v>18.142857142857142</v>
      </c>
      <c r="N95" s="202">
        <f t="shared" si="63"/>
        <v>1455.9868276785471</v>
      </c>
      <c r="O95" s="203">
        <f t="shared" si="63"/>
        <v>80.097359885478099</v>
      </c>
      <c r="P95" s="204">
        <f>M95-J95</f>
        <v>0</v>
      </c>
      <c r="Q95" s="205">
        <f t="shared" ref="Q95:Q103" si="64">O95-L95</f>
        <v>-8.4917599729915878</v>
      </c>
      <c r="R95" s="206">
        <f>O95/L95</f>
        <v>0.90414443685005497</v>
      </c>
      <c r="S95" s="689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673"/>
      <c r="AC95" s="673"/>
      <c r="AD95" s="107">
        <f>SUM(AD83:AD94)</f>
        <v>1</v>
      </c>
      <c r="AE95" s="107">
        <f>SUM(AE83:AE94)</f>
        <v>0</v>
      </c>
      <c r="AF95" s="65">
        <f t="shared" si="61"/>
        <v>-156.15602946431</v>
      </c>
      <c r="AG95" s="428">
        <f t="shared" si="62"/>
        <v>0.90313759802834115</v>
      </c>
      <c r="AH95" s="689"/>
    </row>
    <row r="96" spans="1:34" ht="19.2" customHeight="1">
      <c r="A96" s="699" t="s">
        <v>315</v>
      </c>
      <c r="B96" s="423" t="s">
        <v>125</v>
      </c>
      <c r="C96" s="97"/>
      <c r="D96" s="42" t="s">
        <v>200</v>
      </c>
      <c r="E96" s="43"/>
      <c r="F96" s="343">
        <v>29.46</v>
      </c>
      <c r="G96" s="44">
        <v>1461</v>
      </c>
      <c r="H96" s="45">
        <f t="shared" ref="H96:H105" si="65">F96*G96</f>
        <v>43041.06</v>
      </c>
      <c r="I96" s="423"/>
      <c r="J96" s="46">
        <v>16</v>
      </c>
      <c r="K96" s="44">
        <v>1385</v>
      </c>
      <c r="L96" s="47">
        <v>86.5625</v>
      </c>
      <c r="M96" s="421">
        <v>16</v>
      </c>
      <c r="N96" s="44">
        <f t="shared" ref="N96:N103" si="66">G96/W96*60</f>
        <v>1138.4415584415588</v>
      </c>
      <c r="O96" s="47">
        <f t="shared" ref="O96:O103" si="67">N96/M96</f>
        <v>71.152597402597422</v>
      </c>
      <c r="P96" s="48">
        <f t="shared" ref="P96:P103" si="68">M96-J96</f>
        <v>0</v>
      </c>
      <c r="Q96" s="49">
        <f t="shared" si="64"/>
        <v>-15.409902597402578</v>
      </c>
      <c r="R96" s="427">
        <f t="shared" ref="R96:R103" si="69">O96/L96</f>
        <v>0.82197946457874282</v>
      </c>
      <c r="S96" s="688">
        <f>R108</f>
        <v>0.83306295789914298</v>
      </c>
      <c r="T96" s="89">
        <v>0.33333333333333331</v>
      </c>
      <c r="U96" s="89">
        <v>0.38680555555555551</v>
      </c>
      <c r="V96" s="437">
        <v>5</v>
      </c>
      <c r="W96" s="90">
        <f t="shared" ref="W96:W133" si="70">(U96-T96)*24*60</f>
        <v>76.999999999999972</v>
      </c>
      <c r="X96" s="96"/>
      <c r="Y96" s="96"/>
      <c r="Z96" s="54"/>
      <c r="AA96" s="54"/>
      <c r="AB96" s="673"/>
      <c r="AC96" s="673"/>
      <c r="AD96" s="437"/>
      <c r="AE96" s="437"/>
      <c r="AF96" s="54">
        <f t="shared" si="61"/>
        <v>-246.55844155844125</v>
      </c>
      <c r="AG96" s="430">
        <f t="shared" si="62"/>
        <v>0.82197946457874282</v>
      </c>
      <c r="AH96" s="672">
        <f>AG108</f>
        <v>0.87301781651379828</v>
      </c>
    </row>
    <row r="97" spans="1:34" s="215" customFormat="1" ht="19.2" customHeight="1">
      <c r="A97" s="699"/>
      <c r="B97" s="423" t="s">
        <v>125</v>
      </c>
      <c r="C97" s="207"/>
      <c r="D97" s="208" t="s">
        <v>63</v>
      </c>
      <c r="E97" s="56"/>
      <c r="F97" s="354">
        <v>29.113149847094796</v>
      </c>
      <c r="G97" s="209">
        <v>2717.6</v>
      </c>
      <c r="H97" s="210">
        <f t="shared" si="65"/>
        <v>79117.896024464819</v>
      </c>
      <c r="I97" s="142"/>
      <c r="J97" s="46">
        <v>20</v>
      </c>
      <c r="K97" s="44">
        <v>1385</v>
      </c>
      <c r="L97" s="47">
        <v>69.25</v>
      </c>
      <c r="M97" s="87">
        <v>19</v>
      </c>
      <c r="N97" s="44">
        <f t="shared" si="66"/>
        <v>1283.9055118110234</v>
      </c>
      <c r="O97" s="47">
        <f t="shared" si="67"/>
        <v>67.573974305843336</v>
      </c>
      <c r="P97" s="48">
        <f t="shared" si="68"/>
        <v>-1</v>
      </c>
      <c r="Q97" s="49">
        <f t="shared" si="64"/>
        <v>-1.6760256941566638</v>
      </c>
      <c r="R97" s="427">
        <f t="shared" si="69"/>
        <v>0.97579746290026481</v>
      </c>
      <c r="S97" s="688"/>
      <c r="T97" s="211">
        <v>0.40277777777777773</v>
      </c>
      <c r="U97" s="211">
        <v>0.4909722222222222</v>
      </c>
      <c r="V97" s="212">
        <v>23</v>
      </c>
      <c r="W97" s="90">
        <f t="shared" si="70"/>
        <v>127.00000000000003</v>
      </c>
      <c r="X97" s="53">
        <v>0.39166666666666666</v>
      </c>
      <c r="Y97" s="53">
        <v>0.40138888888888885</v>
      </c>
      <c r="Z97" s="54"/>
      <c r="AA97" s="54"/>
      <c r="AB97" s="673"/>
      <c r="AC97" s="673"/>
      <c r="AD97" s="212"/>
      <c r="AE97" s="212"/>
      <c r="AF97" s="213">
        <f t="shared" si="61"/>
        <v>-101.09448818897658</v>
      </c>
      <c r="AG97" s="214">
        <f t="shared" si="62"/>
        <v>0.92700758975525155</v>
      </c>
      <c r="AH97" s="672"/>
    </row>
    <row r="98" spans="1:34" s="218" customFormat="1" ht="19.2" customHeight="1">
      <c r="A98" s="699"/>
      <c r="B98" s="423" t="s">
        <v>123</v>
      </c>
      <c r="C98" s="55"/>
      <c r="D98" s="42" t="s">
        <v>171</v>
      </c>
      <c r="E98" s="83"/>
      <c r="F98" s="354">
        <v>77.349999999999994</v>
      </c>
      <c r="G98" s="57">
        <v>310</v>
      </c>
      <c r="H98" s="210">
        <f t="shared" si="65"/>
        <v>23978.5</v>
      </c>
      <c r="I98" s="437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1094.1176470588273</v>
      </c>
      <c r="O98" s="47">
        <f t="shared" si="67"/>
        <v>60.784313725490406</v>
      </c>
      <c r="P98" s="48">
        <f t="shared" si="68"/>
        <v>-1</v>
      </c>
      <c r="Q98" s="49">
        <f t="shared" si="64"/>
        <v>-15.005159958720114</v>
      </c>
      <c r="R98" s="427">
        <f t="shared" si="69"/>
        <v>0.80201525054466516</v>
      </c>
      <c r="S98" s="688"/>
      <c r="T98" s="89">
        <v>0.53055555555555545</v>
      </c>
      <c r="U98" s="89">
        <v>0.54236111111111096</v>
      </c>
      <c r="V98" s="437">
        <v>4</v>
      </c>
      <c r="W98" s="90">
        <f t="shared" si="70"/>
        <v>16.99999999999994</v>
      </c>
      <c r="X98" s="216"/>
      <c r="Y98" s="216"/>
      <c r="Z98" s="217"/>
      <c r="AA98" s="217"/>
      <c r="AB98" s="673"/>
      <c r="AC98" s="673"/>
      <c r="AD98" s="437">
        <v>1</v>
      </c>
      <c r="AE98" s="437"/>
      <c r="AF98" s="54">
        <f t="shared" si="61"/>
        <v>-345.88235294117271</v>
      </c>
      <c r="AG98" s="430">
        <f t="shared" si="62"/>
        <v>0.75980392156863008</v>
      </c>
      <c r="AH98" s="672"/>
    </row>
    <row r="99" spans="1:34" ht="19.2" customHeight="1">
      <c r="A99" s="699"/>
      <c r="B99" s="423" t="s">
        <v>123</v>
      </c>
      <c r="C99" s="81"/>
      <c r="D99" s="82" t="s">
        <v>57</v>
      </c>
      <c r="E99" s="83"/>
      <c r="F99" s="354">
        <v>77.34</v>
      </c>
      <c r="G99" s="57">
        <v>789</v>
      </c>
      <c r="H99" s="210">
        <f t="shared" si="65"/>
        <v>61021.26</v>
      </c>
      <c r="I99" s="437"/>
      <c r="J99" s="46">
        <v>18</v>
      </c>
      <c r="K99" s="44">
        <v>1440</v>
      </c>
      <c r="L99" s="47">
        <v>80</v>
      </c>
      <c r="M99" s="421">
        <v>18</v>
      </c>
      <c r="N99" s="44">
        <f t="shared" si="66"/>
        <v>1279.4594594594585</v>
      </c>
      <c r="O99" s="47">
        <f t="shared" si="67"/>
        <v>71.081081081081024</v>
      </c>
      <c r="P99" s="48">
        <f t="shared" si="68"/>
        <v>0</v>
      </c>
      <c r="Q99" s="49">
        <f t="shared" si="64"/>
        <v>-8.9189189189189761</v>
      </c>
      <c r="R99" s="427">
        <f t="shared" si="69"/>
        <v>0.88851351351351282</v>
      </c>
      <c r="S99" s="688"/>
      <c r="T99" s="89">
        <v>0.54722222222222205</v>
      </c>
      <c r="U99" s="89">
        <v>0.57291666666666652</v>
      </c>
      <c r="V99" s="437">
        <v>7</v>
      </c>
      <c r="W99" s="90">
        <f t="shared" si="70"/>
        <v>37.000000000000028</v>
      </c>
      <c r="X99" s="180"/>
      <c r="Y99" s="180"/>
      <c r="Z99" s="124"/>
      <c r="AA99" s="124"/>
      <c r="AB99" s="673"/>
      <c r="AC99" s="673"/>
      <c r="AD99" s="437"/>
      <c r="AE99" s="437"/>
      <c r="AF99" s="213">
        <f t="shared" si="61"/>
        <v>-160.54054054054154</v>
      </c>
      <c r="AG99" s="214">
        <f t="shared" si="62"/>
        <v>0.88851351351351282</v>
      </c>
      <c r="AH99" s="672"/>
    </row>
    <row r="100" spans="1:34" s="218" customFormat="1" ht="19.2" customHeight="1">
      <c r="A100" s="699"/>
      <c r="B100" s="423" t="s">
        <v>127</v>
      </c>
      <c r="C100" s="55"/>
      <c r="D100" s="42" t="s">
        <v>209</v>
      </c>
      <c r="E100" s="83"/>
      <c r="F100" s="354">
        <v>51.44</v>
      </c>
      <c r="G100" s="57">
        <v>1807</v>
      </c>
      <c r="H100" s="210">
        <f t="shared" si="65"/>
        <v>92952.08</v>
      </c>
      <c r="I100" s="437"/>
      <c r="J100" s="46">
        <v>20</v>
      </c>
      <c r="K100" s="44">
        <v>1440</v>
      </c>
      <c r="L100" s="47">
        <v>72</v>
      </c>
      <c r="M100" s="87">
        <v>21</v>
      </c>
      <c r="N100" s="44">
        <f t="shared" si="66"/>
        <v>1275.5294117647056</v>
      </c>
      <c r="O100" s="47">
        <f t="shared" si="67"/>
        <v>60.739495798319318</v>
      </c>
      <c r="P100" s="48">
        <f t="shared" si="68"/>
        <v>1</v>
      </c>
      <c r="Q100" s="49">
        <f t="shared" si="64"/>
        <v>-11.260504201680682</v>
      </c>
      <c r="R100" s="427">
        <f t="shared" si="69"/>
        <v>0.84360410830999055</v>
      </c>
      <c r="S100" s="688"/>
      <c r="T100" s="211">
        <v>0.57777777777777761</v>
      </c>
      <c r="U100" s="211">
        <v>0.6368055555555554</v>
      </c>
      <c r="V100" s="212">
        <v>7</v>
      </c>
      <c r="W100" s="90">
        <f t="shared" si="70"/>
        <v>85.000000000000014</v>
      </c>
      <c r="X100" s="219"/>
      <c r="Y100" s="219"/>
      <c r="Z100" s="217"/>
      <c r="AA100" s="217"/>
      <c r="AB100" s="673"/>
      <c r="AC100" s="673"/>
      <c r="AD100" s="437"/>
      <c r="AE100" s="437"/>
      <c r="AF100" s="54">
        <f t="shared" si="61"/>
        <v>-164.47058823529437</v>
      </c>
      <c r="AG100" s="430">
        <f t="shared" si="62"/>
        <v>0.88578431372549005</v>
      </c>
      <c r="AH100" s="672"/>
    </row>
    <row r="101" spans="1:34" s="218" customFormat="1" ht="19.2" customHeight="1">
      <c r="A101" s="699"/>
      <c r="B101" s="423" t="s">
        <v>125</v>
      </c>
      <c r="C101" s="55"/>
      <c r="D101" s="82" t="s">
        <v>63</v>
      </c>
      <c r="E101" s="83"/>
      <c r="F101" s="354">
        <v>29.113149847094796</v>
      </c>
      <c r="G101" s="57">
        <v>442.40000000000003</v>
      </c>
      <c r="H101" s="210">
        <f t="shared" si="65"/>
        <v>12879.65749235474</v>
      </c>
      <c r="I101" s="437">
        <v>1</v>
      </c>
      <c r="J101" s="46">
        <v>20</v>
      </c>
      <c r="K101" s="44">
        <v>1385</v>
      </c>
      <c r="L101" s="47">
        <v>69.25</v>
      </c>
      <c r="M101" s="87">
        <v>19</v>
      </c>
      <c r="N101" s="44">
        <f t="shared" si="66"/>
        <v>1264.0000000000048</v>
      </c>
      <c r="O101" s="47">
        <f t="shared" si="67"/>
        <v>66.526315789473941</v>
      </c>
      <c r="P101" s="48">
        <f t="shared" si="68"/>
        <v>-1</v>
      </c>
      <c r="Q101" s="49">
        <f t="shared" si="64"/>
        <v>-2.7236842105260592</v>
      </c>
      <c r="R101" s="427">
        <f t="shared" si="69"/>
        <v>0.96066882006460563</v>
      </c>
      <c r="S101" s="688"/>
      <c r="T101" s="211">
        <v>0.65277777777777768</v>
      </c>
      <c r="U101" s="89">
        <v>0.66736111111111096</v>
      </c>
      <c r="V101" s="212">
        <v>23</v>
      </c>
      <c r="W101" s="90">
        <f t="shared" si="70"/>
        <v>20.999999999999925</v>
      </c>
      <c r="X101" s="220">
        <v>0.64166666666666672</v>
      </c>
      <c r="Y101" s="220">
        <v>0.65138888888888891</v>
      </c>
      <c r="Z101" s="217"/>
      <c r="AA101" s="217"/>
      <c r="AB101" s="673"/>
      <c r="AC101" s="673"/>
      <c r="AD101" s="437"/>
      <c r="AE101" s="437"/>
      <c r="AF101" s="213">
        <f t="shared" si="61"/>
        <v>-120.99999999999523</v>
      </c>
      <c r="AG101" s="214">
        <f t="shared" si="62"/>
        <v>0.91263537906137526</v>
      </c>
      <c r="AH101" s="672"/>
    </row>
    <row r="102" spans="1:34" s="218" customFormat="1" ht="19.2" customHeight="1">
      <c r="A102" s="699"/>
      <c r="B102" s="423" t="s">
        <v>124</v>
      </c>
      <c r="C102" s="175"/>
      <c r="D102" s="176" t="s">
        <v>195</v>
      </c>
      <c r="E102" s="177"/>
      <c r="F102" s="354">
        <v>50.67</v>
      </c>
      <c r="G102" s="57">
        <v>695.16</v>
      </c>
      <c r="H102" s="210">
        <f t="shared" si="65"/>
        <v>35223.7572</v>
      </c>
      <c r="I102" s="423">
        <v>1</v>
      </c>
      <c r="J102" s="46">
        <v>19</v>
      </c>
      <c r="K102" s="44">
        <v>1500</v>
      </c>
      <c r="L102" s="47">
        <v>78.94736842105263</v>
      </c>
      <c r="M102" s="87">
        <v>19</v>
      </c>
      <c r="N102" s="44">
        <f t="shared" si="66"/>
        <v>1303.4249999999981</v>
      </c>
      <c r="O102" s="47">
        <f t="shared" si="67"/>
        <v>68.601315789473588</v>
      </c>
      <c r="P102" s="48">
        <f t="shared" si="68"/>
        <v>0</v>
      </c>
      <c r="Q102" s="49">
        <f t="shared" si="64"/>
        <v>-10.346052631579042</v>
      </c>
      <c r="R102" s="427">
        <f t="shared" si="69"/>
        <v>0.86894999999999878</v>
      </c>
      <c r="S102" s="688"/>
      <c r="T102" s="211">
        <v>0.67152777777777761</v>
      </c>
      <c r="U102" s="211">
        <v>0.69374999999999987</v>
      </c>
      <c r="V102" s="212">
        <v>6</v>
      </c>
      <c r="W102" s="90">
        <f t="shared" si="70"/>
        <v>32.000000000000043</v>
      </c>
      <c r="X102" s="220"/>
      <c r="Y102" s="220"/>
      <c r="Z102" s="217"/>
      <c r="AA102" s="217"/>
      <c r="AB102" s="673"/>
      <c r="AC102" s="673"/>
      <c r="AD102" s="437"/>
      <c r="AE102" s="437"/>
      <c r="AF102" s="54">
        <f t="shared" si="61"/>
        <v>-196.57500000000186</v>
      </c>
      <c r="AG102" s="430">
        <f t="shared" si="62"/>
        <v>0.86894999999999878</v>
      </c>
      <c r="AH102" s="672"/>
    </row>
    <row r="103" spans="1:34" s="218" customFormat="1" ht="19.2" customHeight="1">
      <c r="A103" s="699"/>
      <c r="B103" s="423" t="s">
        <v>126</v>
      </c>
      <c r="C103" s="221"/>
      <c r="D103" s="82" t="s">
        <v>62</v>
      </c>
      <c r="E103" s="83"/>
      <c r="F103" s="354">
        <v>36.409999999999997</v>
      </c>
      <c r="G103" s="57">
        <v>1782.25</v>
      </c>
      <c r="H103" s="210">
        <f t="shared" si="65"/>
        <v>64891.722499999996</v>
      </c>
      <c r="I103" s="222">
        <v>1</v>
      </c>
      <c r="J103" s="46">
        <v>10</v>
      </c>
      <c r="K103" s="44">
        <v>2769</v>
      </c>
      <c r="L103" s="47">
        <v>276.89999999999998</v>
      </c>
      <c r="M103" s="87">
        <v>12</v>
      </c>
      <c r="N103" s="44">
        <f t="shared" si="66"/>
        <v>2486.8604651162691</v>
      </c>
      <c r="O103" s="47">
        <f t="shared" si="67"/>
        <v>207.23837209302243</v>
      </c>
      <c r="P103" s="48">
        <f t="shared" si="68"/>
        <v>2</v>
      </c>
      <c r="Q103" s="49">
        <f t="shared" si="64"/>
        <v>-69.661627906977543</v>
      </c>
      <c r="R103" s="427">
        <f t="shared" si="69"/>
        <v>0.74842315671008475</v>
      </c>
      <c r="S103" s="688"/>
      <c r="T103" s="211">
        <v>0.6993055555555554</v>
      </c>
      <c r="U103" s="211">
        <v>0.72916666666666663</v>
      </c>
      <c r="V103" s="212">
        <v>8</v>
      </c>
      <c r="W103" s="90">
        <f t="shared" si="70"/>
        <v>43.000000000000171</v>
      </c>
      <c r="X103" s="220"/>
      <c r="Y103" s="220"/>
      <c r="Z103" s="217"/>
      <c r="AA103" s="217"/>
      <c r="AB103" s="673"/>
      <c r="AC103" s="673"/>
      <c r="AD103" s="437"/>
      <c r="AE103" s="437"/>
      <c r="AF103" s="54">
        <f t="shared" si="61"/>
        <v>-282.1395348837309</v>
      </c>
      <c r="AG103" s="430">
        <f t="shared" si="62"/>
        <v>0.89810778805210156</v>
      </c>
      <c r="AH103" s="672"/>
    </row>
    <row r="104" spans="1:34" s="218" customFormat="1" ht="19.2" customHeight="1">
      <c r="A104" s="699"/>
      <c r="B104" s="423">
        <v>0</v>
      </c>
      <c r="C104" s="223"/>
      <c r="D104" s="82"/>
      <c r="E104" s="83"/>
      <c r="F104" s="354" t="s">
        <v>128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427"/>
      <c r="S104" s="689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673"/>
      <c r="AC104" s="673"/>
      <c r="AD104" s="437"/>
      <c r="AE104" s="437"/>
      <c r="AF104" s="213">
        <f t="shared" si="61"/>
        <v>0</v>
      </c>
      <c r="AG104" s="214" t="e">
        <f t="shared" si="62"/>
        <v>#DIV/0!</v>
      </c>
      <c r="AH104" s="672"/>
    </row>
    <row r="105" spans="1:34" s="218" customFormat="1" ht="19.2" customHeight="1">
      <c r="A105" s="699"/>
      <c r="B105" s="423">
        <v>0</v>
      </c>
      <c r="C105" s="223"/>
      <c r="D105" s="82"/>
      <c r="E105" s="83"/>
      <c r="F105" s="354" t="s">
        <v>128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27"/>
      <c r="S105" s="689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673"/>
      <c r="AC105" s="673"/>
      <c r="AD105" s="437"/>
      <c r="AE105" s="437"/>
      <c r="AF105" s="54">
        <f t="shared" si="61"/>
        <v>0</v>
      </c>
      <c r="AG105" s="430" t="e">
        <f t="shared" si="62"/>
        <v>#DIV/0!</v>
      </c>
      <c r="AH105" s="672"/>
    </row>
    <row r="106" spans="1:34" s="218" customFormat="1" ht="19.2" customHeight="1">
      <c r="A106" s="699"/>
      <c r="B106" s="221">
        <v>0</v>
      </c>
      <c r="C106" s="223"/>
      <c r="D106" s="82"/>
      <c r="E106" s="83"/>
      <c r="F106" s="343" t="s">
        <v>128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427"/>
      <c r="S106" s="698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673"/>
      <c r="AC106" s="673"/>
      <c r="AD106" s="437"/>
      <c r="AE106" s="437"/>
      <c r="AF106" s="54">
        <f t="shared" si="61"/>
        <v>0</v>
      </c>
      <c r="AG106" s="430" t="e">
        <f t="shared" si="62"/>
        <v>#DIV/0!</v>
      </c>
      <c r="AH106" s="672"/>
    </row>
    <row r="107" spans="1:34" s="218" customFormat="1" ht="19.2" customHeight="1">
      <c r="A107" s="699"/>
      <c r="B107" s="221">
        <v>0</v>
      </c>
      <c r="C107" s="223"/>
      <c r="D107" s="82"/>
      <c r="E107" s="83"/>
      <c r="F107" s="343" t="s">
        <v>128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30"/>
      <c r="S107" s="698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673"/>
      <c r="AC107" s="673"/>
      <c r="AD107" s="437"/>
      <c r="AE107" s="437"/>
      <c r="AF107" s="217"/>
      <c r="AG107" s="430"/>
      <c r="AH107" s="672"/>
    </row>
    <row r="108" spans="1:34" ht="19.2" customHeight="1">
      <c r="A108" s="699"/>
      <c r="B108" s="110">
        <v>0</v>
      </c>
      <c r="C108" s="100" t="s">
        <v>316</v>
      </c>
      <c r="D108" s="669" t="s">
        <v>301</v>
      </c>
      <c r="E108" s="669"/>
      <c r="F108" s="355"/>
      <c r="G108" s="101"/>
      <c r="H108" s="102"/>
      <c r="I108" s="103"/>
      <c r="J108" s="101">
        <v>17.75</v>
      </c>
      <c r="K108" s="101">
        <v>1593</v>
      </c>
      <c r="L108" s="104">
        <v>101.08741776315789</v>
      </c>
      <c r="M108" s="101">
        <f t="shared" ref="M108:O108" si="71">AVERAGE(M96:M107)</f>
        <v>17.75</v>
      </c>
      <c r="N108" s="101">
        <f t="shared" si="71"/>
        <v>1390.7173817064806</v>
      </c>
      <c r="O108" s="104">
        <f t="shared" si="71"/>
        <v>84.212183248162674</v>
      </c>
      <c r="P108" s="54">
        <f t="shared" ref="P108:P117" si="72">M108-J108</f>
        <v>0</v>
      </c>
      <c r="Q108" s="88">
        <f t="shared" ref="Q108:Q118" si="73">O108-L108</f>
        <v>-16.875234514995213</v>
      </c>
      <c r="R108" s="105">
        <f t="shared" ref="R108:R118" si="74">O108/L108</f>
        <v>0.83306295789914298</v>
      </c>
      <c r="S108" s="689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673"/>
      <c r="AC108" s="673"/>
      <c r="AD108" s="107">
        <f>SUM(AD96:AD107)</f>
        <v>1</v>
      </c>
      <c r="AE108" s="107">
        <f>SUM(AE96:AE107)</f>
        <v>0</v>
      </c>
      <c r="AF108" s="54">
        <f t="shared" si="61"/>
        <v>-202.28261829351936</v>
      </c>
      <c r="AG108" s="430">
        <f t="shared" si="62"/>
        <v>0.87301781651379828</v>
      </c>
      <c r="AH108" s="672"/>
    </row>
    <row r="109" spans="1:34" ht="19.2" customHeight="1">
      <c r="A109" s="690" t="s">
        <v>317</v>
      </c>
      <c r="B109" s="423" t="s">
        <v>126</v>
      </c>
      <c r="C109" s="433"/>
      <c r="D109" s="390" t="s">
        <v>207</v>
      </c>
      <c r="E109" s="43"/>
      <c r="F109" s="343">
        <v>29.965493443754308</v>
      </c>
      <c r="G109" s="44">
        <v>1737</v>
      </c>
      <c r="H109" s="45">
        <f t="shared" ref="H109:H119" si="75">F109*G109</f>
        <v>52050.062111801235</v>
      </c>
      <c r="I109" s="423"/>
      <c r="J109" s="46">
        <v>18</v>
      </c>
      <c r="K109" s="44">
        <v>1200</v>
      </c>
      <c r="L109" s="47">
        <v>66.666666666666671</v>
      </c>
      <c r="M109" s="421">
        <v>18</v>
      </c>
      <c r="N109" s="44">
        <f t="shared" ref="N109:N118" si="76">G109/W109*60</f>
        <v>1211.8604651162789</v>
      </c>
      <c r="O109" s="47">
        <f t="shared" ref="O109:O118" si="77">N109/M109</f>
        <v>67.32558139534882</v>
      </c>
      <c r="P109" s="48">
        <f t="shared" si="72"/>
        <v>0</v>
      </c>
      <c r="Q109" s="49">
        <f t="shared" si="73"/>
        <v>0.65891472868214862</v>
      </c>
      <c r="R109" s="427">
        <f t="shared" si="74"/>
        <v>1.0098837209302323</v>
      </c>
      <c r="S109" s="693">
        <f>R121</f>
        <v>0.92655240943835304</v>
      </c>
      <c r="T109" s="226">
        <v>0.5</v>
      </c>
      <c r="U109" s="226">
        <v>0.55972222222222223</v>
      </c>
      <c r="V109" s="227">
        <v>5</v>
      </c>
      <c r="W109" s="420">
        <f t="shared" si="70"/>
        <v>86.000000000000014</v>
      </c>
      <c r="X109" s="53"/>
      <c r="Y109" s="53"/>
      <c r="Z109" s="54"/>
      <c r="AA109" s="54"/>
      <c r="AB109" s="673"/>
      <c r="AC109" s="673"/>
      <c r="AD109" s="437">
        <v>1</v>
      </c>
      <c r="AE109" s="437"/>
      <c r="AF109" s="48">
        <f t="shared" si="61"/>
        <v>11.860465116278874</v>
      </c>
      <c r="AG109" s="125">
        <f t="shared" si="62"/>
        <v>1.0098837209302325</v>
      </c>
      <c r="AH109" s="672">
        <f>AG121</f>
        <v>0.9151299509961881</v>
      </c>
    </row>
    <row r="110" spans="1:34" ht="19.2" customHeight="1">
      <c r="A110" s="691"/>
      <c r="B110" s="423" t="s">
        <v>123</v>
      </c>
      <c r="C110" s="175"/>
      <c r="D110" s="42" t="s">
        <v>56</v>
      </c>
      <c r="E110" s="177"/>
      <c r="F110" s="343">
        <v>71.55</v>
      </c>
      <c r="G110" s="174">
        <v>732</v>
      </c>
      <c r="H110" s="45">
        <f t="shared" si="75"/>
        <v>52374.6</v>
      </c>
      <c r="I110" s="423"/>
      <c r="J110" s="46">
        <v>18</v>
      </c>
      <c r="K110" s="44">
        <v>1385</v>
      </c>
      <c r="L110" s="47">
        <v>76.944444444444443</v>
      </c>
      <c r="M110" s="421">
        <v>18</v>
      </c>
      <c r="N110" s="44">
        <f t="shared" si="76"/>
        <v>1254.8571428571415</v>
      </c>
      <c r="O110" s="47">
        <f t="shared" si="77"/>
        <v>69.714285714285637</v>
      </c>
      <c r="P110" s="48">
        <f t="shared" si="72"/>
        <v>0</v>
      </c>
      <c r="Q110" s="49">
        <f t="shared" si="73"/>
        <v>-7.2301587301588057</v>
      </c>
      <c r="R110" s="427">
        <f t="shared" si="74"/>
        <v>0.90603403816400108</v>
      </c>
      <c r="S110" s="679"/>
      <c r="T110" s="226">
        <v>0.56458333333333333</v>
      </c>
      <c r="U110" s="226">
        <v>0.58888888888888891</v>
      </c>
      <c r="V110" s="227">
        <v>7</v>
      </c>
      <c r="W110" s="420">
        <f t="shared" si="70"/>
        <v>35.000000000000036</v>
      </c>
      <c r="X110" s="188"/>
      <c r="Y110" s="188"/>
      <c r="Z110" s="54"/>
      <c r="AA110" s="54"/>
      <c r="AB110" s="673"/>
      <c r="AC110" s="673"/>
      <c r="AD110" s="437"/>
      <c r="AE110" s="437"/>
      <c r="AF110" s="48">
        <f t="shared" si="61"/>
        <v>-130.14285714285847</v>
      </c>
      <c r="AG110" s="125">
        <f t="shared" si="62"/>
        <v>0.90603403816400108</v>
      </c>
      <c r="AH110" s="672"/>
    </row>
    <row r="111" spans="1:34" ht="19.2" customHeight="1">
      <c r="A111" s="691"/>
      <c r="B111" s="423" t="s">
        <v>123</v>
      </c>
      <c r="C111" s="175"/>
      <c r="D111" s="176" t="s">
        <v>58</v>
      </c>
      <c r="E111" s="177"/>
      <c r="F111" s="343">
        <v>59.54</v>
      </c>
      <c r="G111" s="57">
        <v>1330</v>
      </c>
      <c r="H111" s="45">
        <f t="shared" si="75"/>
        <v>79188.2</v>
      </c>
      <c r="I111" s="437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1266.6666666666679</v>
      </c>
      <c r="O111" s="47">
        <f t="shared" si="77"/>
        <v>70.370370370370438</v>
      </c>
      <c r="P111" s="48">
        <f t="shared" si="72"/>
        <v>0</v>
      </c>
      <c r="Q111" s="49">
        <f t="shared" si="73"/>
        <v>-6.5740740740740051</v>
      </c>
      <c r="R111" s="427">
        <f t="shared" si="74"/>
        <v>0.91456077015643888</v>
      </c>
      <c r="S111" s="679"/>
      <c r="T111" s="226">
        <v>0.60416666666666663</v>
      </c>
      <c r="U111" s="226">
        <v>0.64791666666666659</v>
      </c>
      <c r="V111" s="227">
        <v>22</v>
      </c>
      <c r="W111" s="420">
        <f t="shared" si="70"/>
        <v>62.999999999999936</v>
      </c>
      <c r="X111" s="53">
        <v>0.59305555555555556</v>
      </c>
      <c r="Y111" s="53">
        <v>0.60277777777777775</v>
      </c>
      <c r="Z111" s="54"/>
      <c r="AA111" s="54"/>
      <c r="AB111" s="673"/>
      <c r="AC111" s="673"/>
      <c r="AD111" s="437"/>
      <c r="AE111" s="437"/>
      <c r="AF111" s="48">
        <f t="shared" si="61"/>
        <v>-118.33333333333212</v>
      </c>
      <c r="AG111" s="125">
        <f t="shared" si="62"/>
        <v>0.91456077015643888</v>
      </c>
      <c r="AH111" s="672"/>
    </row>
    <row r="112" spans="1:34" ht="19.2" customHeight="1">
      <c r="A112" s="691"/>
      <c r="B112" s="423" t="s">
        <v>123</v>
      </c>
      <c r="C112" s="175"/>
      <c r="D112" s="176" t="s">
        <v>70</v>
      </c>
      <c r="E112" s="83"/>
      <c r="F112" s="343">
        <v>53.76</v>
      </c>
      <c r="G112" s="57">
        <v>500.6</v>
      </c>
      <c r="H112" s="45">
        <f t="shared" si="75"/>
        <v>26912.256000000001</v>
      </c>
      <c r="I112" s="437">
        <v>1</v>
      </c>
      <c r="J112" s="46">
        <v>16</v>
      </c>
      <c r="K112" s="44">
        <v>1440</v>
      </c>
      <c r="L112" s="47">
        <v>90</v>
      </c>
      <c r="M112" s="421">
        <v>16</v>
      </c>
      <c r="N112" s="44">
        <f t="shared" si="76"/>
        <v>1305.9130434782564</v>
      </c>
      <c r="O112" s="47">
        <f t="shared" si="77"/>
        <v>81.619565217391028</v>
      </c>
      <c r="P112" s="48">
        <f t="shared" si="72"/>
        <v>0</v>
      </c>
      <c r="Q112" s="49">
        <f t="shared" si="73"/>
        <v>-8.3804347826089725</v>
      </c>
      <c r="R112" s="427">
        <f t="shared" si="74"/>
        <v>0.90688405797101146</v>
      </c>
      <c r="S112" s="679"/>
      <c r="T112" s="226">
        <v>0.68819444444444433</v>
      </c>
      <c r="U112" s="226">
        <v>0.70416666666666661</v>
      </c>
      <c r="V112" s="227">
        <v>5</v>
      </c>
      <c r="W112" s="420">
        <f t="shared" si="70"/>
        <v>23.000000000000078</v>
      </c>
      <c r="X112" s="216"/>
      <c r="Y112" s="216"/>
      <c r="Z112" s="54"/>
      <c r="AA112" s="54"/>
      <c r="AB112" s="673"/>
      <c r="AC112" s="673"/>
      <c r="AD112" s="437"/>
      <c r="AE112" s="437">
        <v>1</v>
      </c>
      <c r="AF112" s="48">
        <f t="shared" si="61"/>
        <v>-134.08695652174356</v>
      </c>
      <c r="AG112" s="125">
        <f t="shared" si="62"/>
        <v>0.90688405797101146</v>
      </c>
      <c r="AH112" s="672"/>
    </row>
    <row r="113" spans="1:34" s="218" customFormat="1" ht="19.2" customHeight="1">
      <c r="A113" s="691"/>
      <c r="B113" s="423" t="s">
        <v>127</v>
      </c>
      <c r="C113" s="175"/>
      <c r="D113" s="176" t="s">
        <v>77</v>
      </c>
      <c r="E113" s="83"/>
      <c r="F113" s="343">
        <v>55.56</v>
      </c>
      <c r="G113" s="57">
        <v>961</v>
      </c>
      <c r="H113" s="45">
        <f t="shared" si="75"/>
        <v>53393.16</v>
      </c>
      <c r="I113" s="437"/>
      <c r="J113" s="46">
        <v>16</v>
      </c>
      <c r="K113" s="44">
        <v>1440</v>
      </c>
      <c r="L113" s="47">
        <v>90</v>
      </c>
      <c r="M113" s="426">
        <v>16</v>
      </c>
      <c r="N113" s="44">
        <f t="shared" si="76"/>
        <v>1310.4545454545455</v>
      </c>
      <c r="O113" s="47">
        <f t="shared" si="77"/>
        <v>81.903409090909093</v>
      </c>
      <c r="P113" s="48">
        <f t="shared" si="72"/>
        <v>0</v>
      </c>
      <c r="Q113" s="49">
        <f t="shared" si="73"/>
        <v>-8.0965909090909065</v>
      </c>
      <c r="R113" s="427">
        <f t="shared" si="74"/>
        <v>0.91003787878787878</v>
      </c>
      <c r="S113" s="679"/>
      <c r="T113" s="226">
        <v>0.70694444444444438</v>
      </c>
      <c r="U113" s="226">
        <v>0.73749999999999993</v>
      </c>
      <c r="V113" s="227">
        <v>4</v>
      </c>
      <c r="W113" s="420">
        <f t="shared" si="70"/>
        <v>44</v>
      </c>
      <c r="X113" s="216"/>
      <c r="Y113" s="216"/>
      <c r="Z113" s="217"/>
      <c r="AA113" s="217"/>
      <c r="AB113" s="673"/>
      <c r="AC113" s="673"/>
      <c r="AD113" s="221"/>
      <c r="AE113" s="221"/>
      <c r="AF113" s="48">
        <f t="shared" si="61"/>
        <v>-129.5454545454545</v>
      </c>
      <c r="AG113" s="125">
        <f t="shared" si="62"/>
        <v>0.91003787878787878</v>
      </c>
      <c r="AH113" s="672"/>
    </row>
    <row r="114" spans="1:34" s="218" customFormat="1" ht="19.2" customHeight="1">
      <c r="A114" s="691"/>
      <c r="B114" s="423" t="s">
        <v>127</v>
      </c>
      <c r="C114" s="175"/>
      <c r="D114" s="176" t="s">
        <v>203</v>
      </c>
      <c r="E114" s="43"/>
      <c r="F114" s="343">
        <v>54.09</v>
      </c>
      <c r="G114" s="44">
        <v>967</v>
      </c>
      <c r="H114" s="45">
        <f t="shared" si="75"/>
        <v>52305.030000000006</v>
      </c>
      <c r="I114" s="437"/>
      <c r="J114" s="46">
        <v>16</v>
      </c>
      <c r="K114" s="44">
        <v>1440</v>
      </c>
      <c r="L114" s="47">
        <v>90</v>
      </c>
      <c r="M114" s="426">
        <v>15</v>
      </c>
      <c r="N114" s="44">
        <f t="shared" si="76"/>
        <v>1318.6363636363635</v>
      </c>
      <c r="O114" s="47">
        <f t="shared" si="77"/>
        <v>87.909090909090907</v>
      </c>
      <c r="P114" s="48">
        <f t="shared" si="72"/>
        <v>-1</v>
      </c>
      <c r="Q114" s="49">
        <f t="shared" si="73"/>
        <v>-2.0909090909090935</v>
      </c>
      <c r="R114" s="427">
        <f t="shared" si="74"/>
        <v>0.97676767676767673</v>
      </c>
      <c r="S114" s="679"/>
      <c r="T114" s="226">
        <v>0.74166666666666659</v>
      </c>
      <c r="U114" s="226">
        <v>0.77222222222222214</v>
      </c>
      <c r="V114" s="227">
        <v>6</v>
      </c>
      <c r="W114" s="420">
        <f t="shared" si="70"/>
        <v>44</v>
      </c>
      <c r="X114" s="216"/>
      <c r="Y114" s="216"/>
      <c r="Z114" s="217"/>
      <c r="AA114" s="217"/>
      <c r="AB114" s="673"/>
      <c r="AC114" s="673"/>
      <c r="AD114" s="221"/>
      <c r="AE114" s="221"/>
      <c r="AF114" s="48">
        <f t="shared" si="61"/>
        <v>-121.36363636363649</v>
      </c>
      <c r="AG114" s="125">
        <f t="shared" si="62"/>
        <v>0.91571969696969691</v>
      </c>
      <c r="AH114" s="672"/>
    </row>
    <row r="115" spans="1:34" s="218" customFormat="1" ht="19.2" customHeight="1">
      <c r="A115" s="691"/>
      <c r="B115" s="423" t="s">
        <v>127</v>
      </c>
      <c r="C115" s="175"/>
      <c r="D115" s="82" t="s">
        <v>208</v>
      </c>
      <c r="E115" s="83"/>
      <c r="F115" s="343">
        <v>52.21</v>
      </c>
      <c r="G115" s="229">
        <v>1083</v>
      </c>
      <c r="H115" s="45">
        <f t="shared" si="75"/>
        <v>56543.43</v>
      </c>
      <c r="I115" s="437"/>
      <c r="J115" s="46">
        <v>17</v>
      </c>
      <c r="K115" s="44">
        <v>1440</v>
      </c>
      <c r="L115" s="47">
        <v>84.705882352941174</v>
      </c>
      <c r="M115" s="426">
        <v>17</v>
      </c>
      <c r="N115" s="44">
        <f t="shared" si="76"/>
        <v>1326.1224489795923</v>
      </c>
      <c r="O115" s="47">
        <f t="shared" si="77"/>
        <v>78.00720288115248</v>
      </c>
      <c r="P115" s="48">
        <f t="shared" si="72"/>
        <v>0</v>
      </c>
      <c r="Q115" s="49">
        <f t="shared" si="73"/>
        <v>-6.6986794717886937</v>
      </c>
      <c r="R115" s="427">
        <f t="shared" si="74"/>
        <v>0.92091836734693899</v>
      </c>
      <c r="S115" s="679"/>
      <c r="T115" s="226">
        <v>0.77708333333333324</v>
      </c>
      <c r="U115" s="226">
        <v>0.81111111111111101</v>
      </c>
      <c r="V115" s="227">
        <v>7</v>
      </c>
      <c r="W115" s="420">
        <f t="shared" si="70"/>
        <v>48.999999999999986</v>
      </c>
      <c r="X115" s="216"/>
      <c r="Y115" s="216"/>
      <c r="Z115" s="217"/>
      <c r="AA115" s="217"/>
      <c r="AB115" s="673"/>
      <c r="AC115" s="673"/>
      <c r="AD115" s="221"/>
      <c r="AE115" s="221"/>
      <c r="AF115" s="48">
        <f t="shared" si="61"/>
        <v>-113.87755102040774</v>
      </c>
      <c r="AG115" s="125">
        <f t="shared" si="62"/>
        <v>0.9209183673469391</v>
      </c>
      <c r="AH115" s="672"/>
    </row>
    <row r="116" spans="1:34" s="218" customFormat="1" ht="19.2" customHeight="1">
      <c r="A116" s="691"/>
      <c r="B116" s="423" t="s">
        <v>127</v>
      </c>
      <c r="C116" s="55"/>
      <c r="D116" s="82" t="s">
        <v>188</v>
      </c>
      <c r="E116" s="83"/>
      <c r="F116" s="343">
        <v>58.17</v>
      </c>
      <c r="G116" s="229">
        <v>1229</v>
      </c>
      <c r="H116" s="45">
        <f t="shared" si="75"/>
        <v>71490.930000000008</v>
      </c>
      <c r="I116" s="437"/>
      <c r="J116" s="46">
        <v>16</v>
      </c>
      <c r="K116" s="44">
        <v>1636</v>
      </c>
      <c r="L116" s="47">
        <v>102.25</v>
      </c>
      <c r="M116" s="426">
        <v>16</v>
      </c>
      <c r="N116" s="44">
        <f t="shared" si="76"/>
        <v>1418.0769230769238</v>
      </c>
      <c r="O116" s="47">
        <f t="shared" si="77"/>
        <v>88.629807692307736</v>
      </c>
      <c r="P116" s="48">
        <f t="shared" si="72"/>
        <v>0</v>
      </c>
      <c r="Q116" s="49">
        <f t="shared" si="73"/>
        <v>-13.620192307692264</v>
      </c>
      <c r="R116" s="427">
        <f t="shared" si="74"/>
        <v>0.86679518525484334</v>
      </c>
      <c r="S116" s="679"/>
      <c r="T116" s="226">
        <v>0.81527777777777766</v>
      </c>
      <c r="U116" s="226">
        <v>0.85138888888888875</v>
      </c>
      <c r="V116" s="227">
        <v>6</v>
      </c>
      <c r="W116" s="420">
        <f t="shared" si="70"/>
        <v>51.999999999999972</v>
      </c>
      <c r="X116" s="216"/>
      <c r="Y116" s="216"/>
      <c r="Z116" s="217"/>
      <c r="AA116" s="217"/>
      <c r="AB116" s="673"/>
      <c r="AC116" s="673"/>
      <c r="AD116" s="221"/>
      <c r="AE116" s="221"/>
      <c r="AF116" s="48">
        <f t="shared" si="61"/>
        <v>-217.92307692307622</v>
      </c>
      <c r="AG116" s="125">
        <f t="shared" si="62"/>
        <v>0.86679518525484334</v>
      </c>
      <c r="AH116" s="672"/>
    </row>
    <row r="117" spans="1:34" s="218" customFormat="1" ht="19.2" customHeight="1">
      <c r="A117" s="691"/>
      <c r="B117" s="423" t="s">
        <v>127</v>
      </c>
      <c r="C117" s="55"/>
      <c r="D117" s="82" t="s">
        <v>210</v>
      </c>
      <c r="E117" s="83"/>
      <c r="F117" s="343">
        <v>57.3</v>
      </c>
      <c r="G117" s="229">
        <v>1800</v>
      </c>
      <c r="H117" s="45">
        <f t="shared" si="75"/>
        <v>103140</v>
      </c>
      <c r="I117" s="437"/>
      <c r="J117" s="46">
        <v>19</v>
      </c>
      <c r="K117" s="44">
        <v>1440</v>
      </c>
      <c r="L117" s="47">
        <v>75.78947368421052</v>
      </c>
      <c r="M117" s="426">
        <v>19</v>
      </c>
      <c r="N117" s="44">
        <f t="shared" si="76"/>
        <v>1317.0731707317068</v>
      </c>
      <c r="O117" s="47">
        <f t="shared" si="77"/>
        <v>69.31964056482667</v>
      </c>
      <c r="P117" s="48">
        <f t="shared" si="72"/>
        <v>0</v>
      </c>
      <c r="Q117" s="49">
        <f t="shared" si="73"/>
        <v>-6.4698331193838499</v>
      </c>
      <c r="R117" s="427">
        <f t="shared" si="74"/>
        <v>0.91463414634146312</v>
      </c>
      <c r="S117" s="679"/>
      <c r="T117" s="226">
        <v>0.85694444444444429</v>
      </c>
      <c r="U117" s="226">
        <v>0.91388888888888875</v>
      </c>
      <c r="V117" s="227">
        <v>8</v>
      </c>
      <c r="W117" s="420">
        <f t="shared" si="70"/>
        <v>82.000000000000028</v>
      </c>
      <c r="X117" s="216"/>
      <c r="Y117" s="216"/>
      <c r="Z117" s="217"/>
      <c r="AA117" s="217"/>
      <c r="AB117" s="673"/>
      <c r="AC117" s="673"/>
      <c r="AD117" s="221"/>
      <c r="AE117" s="221"/>
      <c r="AF117" s="48">
        <f t="shared" si="61"/>
        <v>-122.9268292682932</v>
      </c>
      <c r="AG117" s="125">
        <f t="shared" si="62"/>
        <v>0.91463414634146301</v>
      </c>
      <c r="AH117" s="672"/>
    </row>
    <row r="118" spans="1:34" s="218" customFormat="1" ht="19.2" customHeight="1">
      <c r="A118" s="691"/>
      <c r="B118" s="423" t="s">
        <v>127</v>
      </c>
      <c r="C118" s="163"/>
      <c r="D118" s="176" t="s">
        <v>193</v>
      </c>
      <c r="E118" s="43"/>
      <c r="F118" s="343">
        <v>51.06</v>
      </c>
      <c r="G118" s="44">
        <v>1593</v>
      </c>
      <c r="H118" s="45">
        <v>81338.58</v>
      </c>
      <c r="I118" s="437"/>
      <c r="J118" s="46">
        <v>16</v>
      </c>
      <c r="K118" s="44">
        <v>1500</v>
      </c>
      <c r="L118" s="47">
        <v>93.75</v>
      </c>
      <c r="M118" s="426">
        <v>16</v>
      </c>
      <c r="N118" s="44">
        <f t="shared" si="76"/>
        <v>1291.6216216216205</v>
      </c>
      <c r="O118" s="47">
        <f t="shared" si="77"/>
        <v>80.726351351351283</v>
      </c>
      <c r="P118" s="48">
        <v>0</v>
      </c>
      <c r="Q118" s="49">
        <f t="shared" si="73"/>
        <v>-13.023648648648717</v>
      </c>
      <c r="R118" s="517">
        <f t="shared" si="74"/>
        <v>0.86108108108108039</v>
      </c>
      <c r="S118" s="679"/>
      <c r="T118" s="226">
        <v>0.91944444444444429</v>
      </c>
      <c r="U118" s="226">
        <v>0.97083333333333321</v>
      </c>
      <c r="V118" s="227">
        <v>8</v>
      </c>
      <c r="W118" s="420">
        <f t="shared" si="70"/>
        <v>74.000000000000057</v>
      </c>
      <c r="X118" s="216"/>
      <c r="Y118" s="216"/>
      <c r="Z118" s="217"/>
      <c r="AA118" s="217"/>
      <c r="AB118" s="673"/>
      <c r="AC118" s="673"/>
      <c r="AD118" s="221"/>
      <c r="AE118" s="221"/>
      <c r="AF118" s="48">
        <f t="shared" si="61"/>
        <v>-208.37837837837947</v>
      </c>
      <c r="AG118" s="125">
        <f t="shared" si="62"/>
        <v>0.86108108108108039</v>
      </c>
      <c r="AH118" s="672"/>
    </row>
    <row r="119" spans="1:34" s="218" customFormat="1" ht="19.2" customHeight="1">
      <c r="A119" s="691"/>
      <c r="B119" s="423">
        <v>0</v>
      </c>
      <c r="C119" s="223"/>
      <c r="D119" s="82"/>
      <c r="E119" s="83"/>
      <c r="F119" s="343" t="s">
        <v>128</v>
      </c>
      <c r="G119" s="229"/>
      <c r="H119" s="45">
        <f t="shared" si="75"/>
        <v>0</v>
      </c>
      <c r="I119" s="437"/>
      <c r="J119" s="178"/>
      <c r="K119" s="231"/>
      <c r="L119" s="47"/>
      <c r="M119" s="426"/>
      <c r="N119" s="179"/>
      <c r="O119" s="224"/>
      <c r="P119" s="165"/>
      <c r="Q119" s="49"/>
      <c r="R119" s="427"/>
      <c r="S119" s="679"/>
      <c r="T119" s="226"/>
      <c r="U119" s="226"/>
      <c r="V119" s="227"/>
      <c r="W119" s="420">
        <f t="shared" si="70"/>
        <v>0</v>
      </c>
      <c r="X119" s="216"/>
      <c r="Y119" s="216"/>
      <c r="Z119" s="217"/>
      <c r="AA119" s="217"/>
      <c r="AB119" s="673"/>
      <c r="AC119" s="673"/>
      <c r="AD119" s="221"/>
      <c r="AE119" s="221"/>
      <c r="AF119" s="48">
        <f t="shared" si="61"/>
        <v>0</v>
      </c>
      <c r="AG119" s="125" t="e">
        <f t="shared" si="62"/>
        <v>#DIV/0!</v>
      </c>
      <c r="AH119" s="672"/>
    </row>
    <row r="120" spans="1:34" s="218" customFormat="1" ht="19.2" customHeight="1">
      <c r="A120" s="691"/>
      <c r="B120" s="423">
        <v>0</v>
      </c>
      <c r="C120" s="223"/>
      <c r="D120" s="82"/>
      <c r="E120" s="83"/>
      <c r="F120" s="350" t="s">
        <v>128</v>
      </c>
      <c r="G120" s="229"/>
      <c r="H120" s="230">
        <f>F120*G120</f>
        <v>0</v>
      </c>
      <c r="I120" s="437"/>
      <c r="J120" s="178"/>
      <c r="K120" s="231"/>
      <c r="L120" s="47"/>
      <c r="M120" s="426"/>
      <c r="N120" s="179"/>
      <c r="O120" s="224"/>
      <c r="P120" s="165"/>
      <c r="Q120" s="49"/>
      <c r="R120" s="427"/>
      <c r="S120" s="679"/>
      <c r="T120" s="226"/>
      <c r="U120" s="226"/>
      <c r="V120" s="227"/>
      <c r="W120" s="420">
        <f t="shared" si="70"/>
        <v>0</v>
      </c>
      <c r="X120" s="216"/>
      <c r="Y120" s="216"/>
      <c r="Z120" s="217"/>
      <c r="AA120" s="217"/>
      <c r="AB120" s="673"/>
      <c r="AC120" s="673"/>
      <c r="AD120" s="221"/>
      <c r="AE120" s="221"/>
      <c r="AF120" s="48">
        <f t="shared" si="61"/>
        <v>0</v>
      </c>
      <c r="AG120" s="125" t="e">
        <f t="shared" si="62"/>
        <v>#DIV/0!</v>
      </c>
      <c r="AH120" s="672"/>
    </row>
    <row r="121" spans="1:34" ht="19.2" customHeight="1">
      <c r="A121" s="692"/>
      <c r="B121" s="121">
        <v>0</v>
      </c>
      <c r="C121" s="100" t="s">
        <v>318</v>
      </c>
      <c r="D121" s="232" t="s">
        <v>301</v>
      </c>
      <c r="E121" s="233"/>
      <c r="F121" s="352"/>
      <c r="G121" s="234"/>
      <c r="H121" s="235"/>
      <c r="I121" s="236"/>
      <c r="J121" s="202">
        <v>17.111111111111111</v>
      </c>
      <c r="K121" s="202">
        <v>1422.8888888888889</v>
      </c>
      <c r="L121" s="203">
        <v>83.700101288078585</v>
      </c>
      <c r="M121" s="202">
        <f t="shared" ref="M121:O121" si="78">AVERAGE(M109:M120)</f>
        <v>16.899999999999999</v>
      </c>
      <c r="N121" s="202">
        <f t="shared" si="78"/>
        <v>1302.1282391619095</v>
      </c>
      <c r="O121" s="203">
        <f t="shared" si="78"/>
        <v>77.552530518703406</v>
      </c>
      <c r="P121" s="48">
        <f t="shared" ref="P121:P130" si="79">M121-J121</f>
        <v>-0.21111111111111214</v>
      </c>
      <c r="Q121" s="49">
        <f t="shared" ref="Q121:Q130" si="80">O121-L121</f>
        <v>-6.1475707693751787</v>
      </c>
      <c r="R121" s="172">
        <f t="shared" ref="R121:R130" si="81">O121/L121</f>
        <v>0.92655240943835304</v>
      </c>
      <c r="S121" s="687"/>
      <c r="T121" s="50"/>
      <c r="U121" s="50"/>
      <c r="V121" s="44"/>
      <c r="W121" s="420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673"/>
      <c r="AC121" s="673"/>
      <c r="AD121" s="107">
        <f>SUM(AD109:AD120)</f>
        <v>1</v>
      </c>
      <c r="AE121" s="107">
        <f>SUM(AE109:AE120)</f>
        <v>1</v>
      </c>
      <c r="AF121" s="48">
        <f>N121-K121</f>
        <v>-120.76064972697941</v>
      </c>
      <c r="AG121" s="125">
        <f>N121/K121</f>
        <v>0.9151299509961881</v>
      </c>
      <c r="AH121" s="672"/>
    </row>
    <row r="122" spans="1:34" ht="19.2" customHeight="1">
      <c r="A122" s="694" t="s">
        <v>319</v>
      </c>
      <c r="B122" s="130" t="s">
        <v>123</v>
      </c>
      <c r="C122" s="163"/>
      <c r="D122" s="176" t="s">
        <v>79</v>
      </c>
      <c r="E122" s="43"/>
      <c r="F122" s="343">
        <v>58.67</v>
      </c>
      <c r="G122" s="44">
        <v>1651</v>
      </c>
      <c r="H122" s="45">
        <f t="shared" ref="H122:H132" si="82">F122*G122</f>
        <v>96864.17</v>
      </c>
      <c r="I122" s="423"/>
      <c r="J122" s="46">
        <v>19</v>
      </c>
      <c r="K122" s="44">
        <v>1440</v>
      </c>
      <c r="L122" s="47">
        <v>75.78947368421052</v>
      </c>
      <c r="M122" s="421">
        <v>19</v>
      </c>
      <c r="N122" s="174">
        <f t="shared" ref="N122:N130" si="83">G122/W122*60</f>
        <v>1356.9863013698618</v>
      </c>
      <c r="O122" s="237">
        <f t="shared" ref="O122:O130" si="84">N122/M122</f>
        <v>71.420331651045359</v>
      </c>
      <c r="P122" s="108">
        <f t="shared" si="79"/>
        <v>0</v>
      </c>
      <c r="Q122" s="182">
        <f t="shared" si="80"/>
        <v>-4.3691420331651614</v>
      </c>
      <c r="R122" s="109">
        <f t="shared" si="81"/>
        <v>0.94235159817351521</v>
      </c>
      <c r="S122" s="688">
        <f>R134</f>
        <v>0.89659299813478255</v>
      </c>
      <c r="T122" s="50">
        <v>0.5</v>
      </c>
      <c r="U122" s="50">
        <v>0.55069444444444449</v>
      </c>
      <c r="V122" s="227">
        <v>5</v>
      </c>
      <c r="W122" s="420">
        <f t="shared" si="70"/>
        <v>73.000000000000057</v>
      </c>
      <c r="X122" s="53"/>
      <c r="Y122" s="53"/>
      <c r="Z122" s="54"/>
      <c r="AA122" s="54"/>
      <c r="AB122" s="673"/>
      <c r="AC122" s="673"/>
      <c r="AD122" s="437"/>
      <c r="AE122" s="437"/>
      <c r="AF122" s="48">
        <f t="shared" si="61"/>
        <v>-83.013698630138151</v>
      </c>
      <c r="AG122" s="427">
        <f t="shared" si="62"/>
        <v>0.94235159817351521</v>
      </c>
      <c r="AH122" s="687">
        <f>AG134</f>
        <v>0.90394885405098968</v>
      </c>
    </row>
    <row r="123" spans="1:34" ht="19.2" customHeight="1">
      <c r="A123" s="694"/>
      <c r="B123" s="130" t="s">
        <v>123</v>
      </c>
      <c r="C123" s="97"/>
      <c r="D123" s="42" t="s">
        <v>78</v>
      </c>
      <c r="E123" s="177"/>
      <c r="F123" s="343">
        <v>59.52</v>
      </c>
      <c r="G123" s="44">
        <v>2099</v>
      </c>
      <c r="H123" s="45">
        <f t="shared" si="82"/>
        <v>124932.48000000001</v>
      </c>
      <c r="I123" s="437"/>
      <c r="J123" s="46">
        <v>21</v>
      </c>
      <c r="K123" s="44">
        <v>1385</v>
      </c>
      <c r="L123" s="47">
        <v>65.952380952380949</v>
      </c>
      <c r="M123" s="426">
        <v>21</v>
      </c>
      <c r="N123" s="57">
        <f t="shared" si="83"/>
        <v>1285.102040816327</v>
      </c>
      <c r="O123" s="86">
        <f t="shared" si="84"/>
        <v>61.195335276967953</v>
      </c>
      <c r="P123" s="54">
        <f t="shared" si="79"/>
        <v>0</v>
      </c>
      <c r="Q123" s="88">
        <f t="shared" si="80"/>
        <v>-4.7570456754129964</v>
      </c>
      <c r="R123" s="430">
        <f t="shared" si="81"/>
        <v>0.92787150961467657</v>
      </c>
      <c r="S123" s="688"/>
      <c r="T123" s="50">
        <v>0.55555555555555558</v>
      </c>
      <c r="U123" s="50">
        <v>0.62361111111111112</v>
      </c>
      <c r="V123" s="227">
        <v>7</v>
      </c>
      <c r="W123" s="420">
        <f t="shared" si="70"/>
        <v>97.999999999999972</v>
      </c>
      <c r="X123" s="53"/>
      <c r="Y123" s="53"/>
      <c r="Z123" s="54"/>
      <c r="AA123" s="54"/>
      <c r="AB123" s="673"/>
      <c r="AC123" s="673"/>
      <c r="AD123" s="437"/>
      <c r="AE123" s="437"/>
      <c r="AF123" s="48">
        <f t="shared" si="61"/>
        <v>-99.897959183673038</v>
      </c>
      <c r="AG123" s="427">
        <f t="shared" si="62"/>
        <v>0.92787150961467646</v>
      </c>
      <c r="AH123" s="688"/>
    </row>
    <row r="124" spans="1:34" ht="19.2" customHeight="1">
      <c r="A124" s="694"/>
      <c r="B124" s="130" t="s">
        <v>123</v>
      </c>
      <c r="C124" s="175"/>
      <c r="D124" s="176" t="s">
        <v>213</v>
      </c>
      <c r="E124" s="177"/>
      <c r="F124" s="343">
        <v>63.92</v>
      </c>
      <c r="G124" s="174">
        <v>1985.28</v>
      </c>
      <c r="H124" s="45">
        <f t="shared" si="82"/>
        <v>126899.09760000001</v>
      </c>
      <c r="I124" s="238"/>
      <c r="J124" s="46">
        <v>19</v>
      </c>
      <c r="K124" s="44">
        <v>1440</v>
      </c>
      <c r="L124" s="47">
        <v>75.78947368421052</v>
      </c>
      <c r="M124" s="421">
        <v>19</v>
      </c>
      <c r="N124" s="174">
        <f t="shared" si="83"/>
        <v>1323.52</v>
      </c>
      <c r="O124" s="237">
        <f t="shared" si="84"/>
        <v>69.658947368421053</v>
      </c>
      <c r="P124" s="108">
        <f t="shared" si="79"/>
        <v>0</v>
      </c>
      <c r="Q124" s="182">
        <f t="shared" si="80"/>
        <v>-6.1305263157894672</v>
      </c>
      <c r="R124" s="109">
        <f t="shared" si="81"/>
        <v>0.91911111111111121</v>
      </c>
      <c r="S124" s="695"/>
      <c r="T124" s="50">
        <v>0.63958333333333339</v>
      </c>
      <c r="U124" s="50">
        <v>0.70208333333333339</v>
      </c>
      <c r="V124" s="227">
        <v>23</v>
      </c>
      <c r="W124" s="420">
        <f t="shared" si="70"/>
        <v>90</v>
      </c>
      <c r="X124" s="188">
        <v>0.62847222222222221</v>
      </c>
      <c r="Y124" s="188">
        <v>0.63888888888888895</v>
      </c>
      <c r="Z124" s="54"/>
      <c r="AA124" s="54"/>
      <c r="AB124" s="673"/>
      <c r="AC124" s="673"/>
      <c r="AD124" s="437"/>
      <c r="AE124" s="437">
        <v>1</v>
      </c>
      <c r="AF124" s="108">
        <f t="shared" si="61"/>
        <v>-116.48000000000002</v>
      </c>
      <c r="AG124" s="109">
        <f t="shared" si="62"/>
        <v>0.9191111111111111</v>
      </c>
      <c r="AH124" s="688"/>
    </row>
    <row r="125" spans="1:34" ht="19.2" customHeight="1">
      <c r="A125" s="694"/>
      <c r="B125" s="130" t="s">
        <v>127</v>
      </c>
      <c r="C125" s="97"/>
      <c r="D125" s="42" t="s">
        <v>80</v>
      </c>
      <c r="E125" s="43"/>
      <c r="F125" s="343">
        <v>56.79</v>
      </c>
      <c r="G125" s="44">
        <v>1162</v>
      </c>
      <c r="H125" s="45">
        <f t="shared" si="82"/>
        <v>65989.98</v>
      </c>
      <c r="I125" s="423"/>
      <c r="J125" s="46">
        <v>18</v>
      </c>
      <c r="K125" s="44">
        <v>1636</v>
      </c>
      <c r="L125" s="47">
        <v>90.888888888888886</v>
      </c>
      <c r="M125" s="421">
        <v>18</v>
      </c>
      <c r="N125" s="174">
        <f t="shared" si="83"/>
        <v>1422.8571428571433</v>
      </c>
      <c r="O125" s="237">
        <f t="shared" si="84"/>
        <v>79.047619047619079</v>
      </c>
      <c r="P125" s="108">
        <f t="shared" si="79"/>
        <v>0</v>
      </c>
      <c r="Q125" s="182">
        <f t="shared" si="80"/>
        <v>-11.841269841269806</v>
      </c>
      <c r="R125" s="109">
        <f t="shared" si="81"/>
        <v>0.86971707998602898</v>
      </c>
      <c r="S125" s="695"/>
      <c r="T125" s="50">
        <v>0.74236111111111114</v>
      </c>
      <c r="U125" s="50">
        <v>0.77638888888888891</v>
      </c>
      <c r="V125" s="227">
        <v>5</v>
      </c>
      <c r="W125" s="420">
        <f t="shared" si="70"/>
        <v>48.999999999999986</v>
      </c>
      <c r="X125" s="64"/>
      <c r="Y125" s="64"/>
      <c r="Z125" s="54"/>
      <c r="AA125" s="54"/>
      <c r="AB125" s="673"/>
      <c r="AC125" s="673"/>
      <c r="AD125" s="437"/>
      <c r="AE125" s="437"/>
      <c r="AF125" s="48">
        <f t="shared" si="61"/>
        <v>-213.14285714285666</v>
      </c>
      <c r="AG125" s="427">
        <f t="shared" si="62"/>
        <v>0.86971707998602898</v>
      </c>
      <c r="AH125" s="689"/>
    </row>
    <row r="126" spans="1:34" ht="19.2" customHeight="1">
      <c r="A126" s="694"/>
      <c r="B126" s="130" t="s">
        <v>127</v>
      </c>
      <c r="C126" s="437"/>
      <c r="D126" s="391" t="s">
        <v>81</v>
      </c>
      <c r="E126" s="177"/>
      <c r="F126" s="343">
        <v>56.87</v>
      </c>
      <c r="G126" s="57">
        <v>947</v>
      </c>
      <c r="H126" s="45">
        <f t="shared" si="82"/>
        <v>53855.89</v>
      </c>
      <c r="I126" s="437"/>
      <c r="J126" s="46">
        <v>18</v>
      </c>
      <c r="K126" s="44">
        <v>1636</v>
      </c>
      <c r="L126" s="47">
        <v>90.888888888888886</v>
      </c>
      <c r="M126" s="426">
        <v>18</v>
      </c>
      <c r="N126" s="57">
        <f t="shared" si="83"/>
        <v>1385.853658536585</v>
      </c>
      <c r="O126" s="86">
        <f t="shared" si="84"/>
        <v>76.991869918699166</v>
      </c>
      <c r="P126" s="54">
        <f t="shared" si="79"/>
        <v>0</v>
      </c>
      <c r="Q126" s="88">
        <f t="shared" si="80"/>
        <v>-13.89701897018972</v>
      </c>
      <c r="R126" s="430">
        <f t="shared" si="81"/>
        <v>0.84709881328642123</v>
      </c>
      <c r="S126" s="695"/>
      <c r="T126" s="50">
        <v>0.78125</v>
      </c>
      <c r="U126" s="50">
        <v>0.80972222222222223</v>
      </c>
      <c r="V126" s="227">
        <v>7</v>
      </c>
      <c r="W126" s="420">
        <f t="shared" si="70"/>
        <v>41.000000000000014</v>
      </c>
      <c r="X126" s="64"/>
      <c r="Y126" s="64"/>
      <c r="Z126" s="54"/>
      <c r="AA126" s="54"/>
      <c r="AB126" s="673"/>
      <c r="AC126" s="673"/>
      <c r="AD126" s="437"/>
      <c r="AE126" s="437"/>
      <c r="AF126" s="108">
        <f t="shared" si="61"/>
        <v>-250.14634146341496</v>
      </c>
      <c r="AG126" s="109">
        <f t="shared" si="62"/>
        <v>0.84709881328642123</v>
      </c>
      <c r="AH126" s="689"/>
    </row>
    <row r="127" spans="1:34" ht="19.2" customHeight="1">
      <c r="A127" s="694"/>
      <c r="B127" s="130" t="s">
        <v>123</v>
      </c>
      <c r="C127" s="223"/>
      <c r="D127" s="392" t="s">
        <v>213</v>
      </c>
      <c r="E127" s="83"/>
      <c r="F127" s="343">
        <v>63.92</v>
      </c>
      <c r="G127" s="209">
        <v>270.71999999999997</v>
      </c>
      <c r="H127" s="45">
        <f t="shared" si="82"/>
        <v>17304.422399999999</v>
      </c>
      <c r="I127" s="221">
        <v>1</v>
      </c>
      <c r="J127" s="46">
        <v>19</v>
      </c>
      <c r="K127" s="44">
        <v>1440</v>
      </c>
      <c r="L127" s="47">
        <v>75.78947368421052</v>
      </c>
      <c r="M127" s="421">
        <v>19</v>
      </c>
      <c r="N127" s="57">
        <f t="shared" si="83"/>
        <v>1249.4769230769273</v>
      </c>
      <c r="O127" s="86">
        <f t="shared" si="84"/>
        <v>65.761943319838281</v>
      </c>
      <c r="P127" s="54">
        <f t="shared" si="79"/>
        <v>0</v>
      </c>
      <c r="Q127" s="88">
        <f t="shared" si="80"/>
        <v>-10.02753036437224</v>
      </c>
      <c r="R127" s="430">
        <f t="shared" si="81"/>
        <v>0.86769230769231076</v>
      </c>
      <c r="S127" s="695"/>
      <c r="T127" s="50">
        <v>0.81388888888888888</v>
      </c>
      <c r="U127" s="50">
        <v>0.82291666666666663</v>
      </c>
      <c r="V127" s="423">
        <v>6</v>
      </c>
      <c r="W127" s="420">
        <f t="shared" si="70"/>
        <v>12.999999999999954</v>
      </c>
      <c r="X127" s="64"/>
      <c r="Y127" s="64"/>
      <c r="Z127" s="54"/>
      <c r="AA127" s="54"/>
      <c r="AB127" s="673"/>
      <c r="AC127" s="673"/>
      <c r="AD127" s="437"/>
      <c r="AE127" s="437"/>
      <c r="AF127" s="108">
        <f t="shared" si="61"/>
        <v>-190.52307692307272</v>
      </c>
      <c r="AG127" s="109">
        <f t="shared" si="62"/>
        <v>0.86769230769231065</v>
      </c>
      <c r="AH127" s="689"/>
    </row>
    <row r="128" spans="1:34" ht="19.2" customHeight="1">
      <c r="A128" s="694"/>
      <c r="B128" s="130" t="s">
        <v>127</v>
      </c>
      <c r="C128" s="157"/>
      <c r="D128" s="59" t="s">
        <v>82</v>
      </c>
      <c r="E128" s="83"/>
      <c r="F128" s="343">
        <v>47.6</v>
      </c>
      <c r="G128" s="57">
        <v>1222</v>
      </c>
      <c r="H128" s="45">
        <f t="shared" si="82"/>
        <v>58167.200000000004</v>
      </c>
      <c r="I128" s="437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3"/>
        <v>1333.0909090909099</v>
      </c>
      <c r="O128" s="86">
        <f t="shared" si="84"/>
        <v>70.162679425837368</v>
      </c>
      <c r="P128" s="54">
        <f t="shared" si="79"/>
        <v>0</v>
      </c>
      <c r="Q128" s="88">
        <f t="shared" si="80"/>
        <v>-5.6267942583731525</v>
      </c>
      <c r="R128" s="430">
        <f t="shared" si="81"/>
        <v>0.92575757575757645</v>
      </c>
      <c r="S128" s="695"/>
      <c r="T128" s="50">
        <v>0.83819444444444435</v>
      </c>
      <c r="U128" s="50">
        <v>0.87638888888888877</v>
      </c>
      <c r="V128" s="423">
        <v>22</v>
      </c>
      <c r="W128" s="420">
        <f t="shared" si="70"/>
        <v>54.999999999999964</v>
      </c>
      <c r="X128" s="64">
        <v>0.82777777777777783</v>
      </c>
      <c r="Y128" s="64">
        <v>0.83750000000000002</v>
      </c>
      <c r="Z128" s="54"/>
      <c r="AA128" s="54"/>
      <c r="AB128" s="673"/>
      <c r="AC128" s="673"/>
      <c r="AD128" s="437">
        <v>1</v>
      </c>
      <c r="AE128" s="437"/>
      <c r="AF128" s="48">
        <f t="shared" si="61"/>
        <v>-106.90909090909008</v>
      </c>
      <c r="AG128" s="427">
        <f t="shared" si="62"/>
        <v>0.92575757575757633</v>
      </c>
      <c r="AH128" s="689"/>
    </row>
    <row r="129" spans="1:34" ht="19.2" customHeight="1">
      <c r="A129" s="694"/>
      <c r="B129" s="130" t="s">
        <v>127</v>
      </c>
      <c r="C129" s="157"/>
      <c r="D129" s="59" t="s">
        <v>136</v>
      </c>
      <c r="E129" s="60"/>
      <c r="F129" s="343">
        <v>50.67</v>
      </c>
      <c r="G129" s="57">
        <v>1258</v>
      </c>
      <c r="H129" s="45">
        <f t="shared" si="82"/>
        <v>63742.86</v>
      </c>
      <c r="I129" s="437"/>
      <c r="J129" s="46">
        <v>18</v>
      </c>
      <c r="K129" s="44">
        <v>1500</v>
      </c>
      <c r="L129" s="47">
        <v>83.333333333333329</v>
      </c>
      <c r="M129" s="87">
        <v>18</v>
      </c>
      <c r="N129" s="57">
        <f t="shared" si="83"/>
        <v>1397.7777777777785</v>
      </c>
      <c r="O129" s="86">
        <f t="shared" si="84"/>
        <v>77.654320987654359</v>
      </c>
      <c r="P129" s="54">
        <f t="shared" si="79"/>
        <v>0</v>
      </c>
      <c r="Q129" s="88">
        <f t="shared" si="80"/>
        <v>-5.6790123456789701</v>
      </c>
      <c r="R129" s="430">
        <f t="shared" si="81"/>
        <v>0.93185185185185238</v>
      </c>
      <c r="S129" s="695"/>
      <c r="T129" s="50">
        <v>0.88124999999999987</v>
      </c>
      <c r="U129" s="50">
        <v>0.91874999999999984</v>
      </c>
      <c r="V129" s="423">
        <v>7</v>
      </c>
      <c r="W129" s="420">
        <f t="shared" si="70"/>
        <v>53.999999999999972</v>
      </c>
      <c r="X129" s="64"/>
      <c r="Y129" s="64"/>
      <c r="Z129" s="54"/>
      <c r="AA129" s="54"/>
      <c r="AB129" s="673"/>
      <c r="AC129" s="673"/>
      <c r="AD129" s="437"/>
      <c r="AE129" s="437"/>
      <c r="AF129" s="108">
        <f t="shared" si="61"/>
        <v>-102.22222222222149</v>
      </c>
      <c r="AG129" s="109">
        <f t="shared" si="62"/>
        <v>0.93185185185185238</v>
      </c>
      <c r="AH129" s="689"/>
    </row>
    <row r="130" spans="1:34" ht="19.2" customHeight="1">
      <c r="A130" s="694"/>
      <c r="B130" s="200" t="s">
        <v>127</v>
      </c>
      <c r="C130" s="157"/>
      <c r="D130" s="59" t="s">
        <v>197</v>
      </c>
      <c r="E130" s="60"/>
      <c r="F130" s="343">
        <v>56.43</v>
      </c>
      <c r="G130" s="57">
        <v>1076</v>
      </c>
      <c r="H130" s="45">
        <f t="shared" si="82"/>
        <v>60718.68</v>
      </c>
      <c r="I130" s="437"/>
      <c r="J130" s="46">
        <v>16</v>
      </c>
      <c r="K130" s="44">
        <v>1500</v>
      </c>
      <c r="L130" s="47">
        <v>93.75</v>
      </c>
      <c r="M130" s="426">
        <v>17</v>
      </c>
      <c r="N130" s="57">
        <f t="shared" si="83"/>
        <v>1373.617021276596</v>
      </c>
      <c r="O130" s="86">
        <f t="shared" si="84"/>
        <v>80.801001251564472</v>
      </c>
      <c r="P130" s="54">
        <f t="shared" si="79"/>
        <v>1</v>
      </c>
      <c r="Q130" s="88">
        <f t="shared" si="80"/>
        <v>-12.948998748435528</v>
      </c>
      <c r="R130" s="430">
        <f t="shared" si="81"/>
        <v>0.86187734668335436</v>
      </c>
      <c r="S130" s="695"/>
      <c r="T130" s="50">
        <v>0.92430555555555538</v>
      </c>
      <c r="U130" s="50">
        <v>0.95694444444444426</v>
      </c>
      <c r="V130" s="423">
        <v>8</v>
      </c>
      <c r="W130" s="420">
        <f t="shared" si="70"/>
        <v>46.999999999999993</v>
      </c>
      <c r="X130" s="64"/>
      <c r="Y130" s="64"/>
      <c r="Z130" s="54"/>
      <c r="AA130" s="54"/>
      <c r="AB130" s="673"/>
      <c r="AC130" s="673"/>
      <c r="AD130" s="437"/>
      <c r="AE130" s="437"/>
      <c r="AF130" s="108">
        <f t="shared" si="61"/>
        <v>-126.38297872340399</v>
      </c>
      <c r="AG130" s="109">
        <f t="shared" si="62"/>
        <v>0.91574468085106397</v>
      </c>
      <c r="AH130" s="689"/>
    </row>
    <row r="131" spans="1:34" ht="19.2" customHeight="1">
      <c r="A131" s="694"/>
      <c r="B131" s="200">
        <v>0</v>
      </c>
      <c r="C131" s="157"/>
      <c r="D131" s="59"/>
      <c r="E131" s="83"/>
      <c r="F131" s="343" t="s">
        <v>128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30"/>
      <c r="S131" s="695"/>
      <c r="T131" s="50"/>
      <c r="U131" s="50"/>
      <c r="V131" s="423"/>
      <c r="W131" s="420">
        <f t="shared" si="70"/>
        <v>0</v>
      </c>
      <c r="X131" s="64"/>
      <c r="Y131" s="64"/>
      <c r="Z131" s="54"/>
      <c r="AA131" s="54"/>
      <c r="AB131" s="673"/>
      <c r="AC131" s="673"/>
      <c r="AD131" s="437"/>
      <c r="AE131" s="437"/>
      <c r="AF131" s="48">
        <f t="shared" si="61"/>
        <v>0</v>
      </c>
      <c r="AG131" s="427" t="e">
        <f t="shared" si="62"/>
        <v>#DIV/0!</v>
      </c>
      <c r="AH131" s="689"/>
    </row>
    <row r="132" spans="1:34" ht="19.2" customHeight="1">
      <c r="A132" s="694"/>
      <c r="B132" s="200">
        <v>0</v>
      </c>
      <c r="C132" s="157"/>
      <c r="D132" s="59"/>
      <c r="E132" s="60"/>
      <c r="F132" s="343" t="s">
        <v>128</v>
      </c>
      <c r="G132" s="57"/>
      <c r="H132" s="45">
        <f t="shared" si="82"/>
        <v>0</v>
      </c>
      <c r="I132" s="437"/>
      <c r="J132" s="87"/>
      <c r="K132" s="57"/>
      <c r="L132" s="86"/>
      <c r="M132" s="426"/>
      <c r="N132" s="57"/>
      <c r="O132" s="86"/>
      <c r="P132" s="54"/>
      <c r="Q132" s="88"/>
      <c r="R132" s="430"/>
      <c r="S132" s="695"/>
      <c r="T132" s="50"/>
      <c r="U132" s="50"/>
      <c r="V132" s="423"/>
      <c r="W132" s="420">
        <f t="shared" si="70"/>
        <v>0</v>
      </c>
      <c r="X132" s="64"/>
      <c r="Y132" s="64"/>
      <c r="Z132" s="54"/>
      <c r="AA132" s="54"/>
      <c r="AB132" s="673"/>
      <c r="AC132" s="673"/>
      <c r="AD132" s="437"/>
      <c r="AE132" s="437"/>
      <c r="AF132" s="65"/>
      <c r="AG132" s="428"/>
      <c r="AH132" s="689"/>
    </row>
    <row r="133" spans="1:34" ht="19.2" customHeight="1">
      <c r="A133" s="694"/>
      <c r="B133" s="200">
        <v>0</v>
      </c>
      <c r="C133" s="157"/>
      <c r="D133" s="59"/>
      <c r="E133" s="60"/>
      <c r="F133" s="356" t="s">
        <v>128</v>
      </c>
      <c r="G133" s="57"/>
      <c r="H133" s="240">
        <f>F133*G133</f>
        <v>0</v>
      </c>
      <c r="I133" s="437"/>
      <c r="J133" s="87"/>
      <c r="K133" s="57"/>
      <c r="L133" s="86"/>
      <c r="M133" s="426"/>
      <c r="N133" s="57"/>
      <c r="O133" s="86"/>
      <c r="P133" s="54"/>
      <c r="Q133" s="88"/>
      <c r="R133" s="430"/>
      <c r="S133" s="695"/>
      <c r="T133" s="50"/>
      <c r="U133" s="50"/>
      <c r="V133" s="423"/>
      <c r="W133" s="239">
        <f t="shared" si="70"/>
        <v>0</v>
      </c>
      <c r="X133" s="64"/>
      <c r="Y133" s="64"/>
      <c r="Z133" s="54"/>
      <c r="AA133" s="54"/>
      <c r="AB133" s="673"/>
      <c r="AC133" s="673"/>
      <c r="AD133" s="437"/>
      <c r="AE133" s="437"/>
      <c r="AF133" s="65"/>
      <c r="AG133" s="428"/>
      <c r="AH133" s="689"/>
    </row>
    <row r="134" spans="1:34" ht="19.2" customHeight="1">
      <c r="A134" s="694"/>
      <c r="B134" s="168">
        <v>0</v>
      </c>
      <c r="C134" s="100" t="s">
        <v>320</v>
      </c>
      <c r="D134" s="669" t="s">
        <v>301</v>
      </c>
      <c r="E134" s="669"/>
      <c r="F134" s="353"/>
      <c r="G134" s="101"/>
      <c r="H134" s="102"/>
      <c r="I134" s="241"/>
      <c r="J134" s="242">
        <v>18.555555555555557</v>
      </c>
      <c r="K134" s="242">
        <v>1490.7777777777778</v>
      </c>
      <c r="L134" s="243">
        <v>80.88570964448158</v>
      </c>
      <c r="M134" s="242">
        <f t="shared" ref="M134:O134" si="85">AVERAGE(M122:M133)</f>
        <v>18.666666666666668</v>
      </c>
      <c r="N134" s="242">
        <f t="shared" si="85"/>
        <v>1347.5868638669033</v>
      </c>
      <c r="O134" s="243">
        <f t="shared" si="85"/>
        <v>72.521560916405235</v>
      </c>
      <c r="P134" s="51">
        <f t="shared" ref="P134:P143" si="86">M134-J134</f>
        <v>0.11111111111111072</v>
      </c>
      <c r="Q134" s="139">
        <f t="shared" ref="Q134:Q143" si="87">O134-L134</f>
        <v>-8.3641487280763442</v>
      </c>
      <c r="R134" s="244">
        <f t="shared" ref="R134:R143" si="88">O134/L134</f>
        <v>0.89659299813478255</v>
      </c>
      <c r="S134" s="688"/>
      <c r="T134" s="50"/>
      <c r="U134" s="50"/>
      <c r="V134" s="423"/>
      <c r="W134" s="423"/>
      <c r="X134" s="53"/>
      <c r="Y134" s="53"/>
      <c r="Z134" s="106">
        <f>SUM(Z122:Z133)</f>
        <v>0</v>
      </c>
      <c r="AA134" s="106">
        <f>SUM(AA122:AA133)</f>
        <v>0</v>
      </c>
      <c r="AB134" s="673"/>
      <c r="AC134" s="673"/>
      <c r="AD134" s="107">
        <f>SUM(AD122:AD133)</f>
        <v>1</v>
      </c>
      <c r="AE134" s="107">
        <f>SUM(AE122:AE133)</f>
        <v>1</v>
      </c>
      <c r="AF134" s="48">
        <f t="shared" si="61"/>
        <v>-143.19091391087454</v>
      </c>
      <c r="AG134" s="427">
        <f t="shared" si="62"/>
        <v>0.90394885405098968</v>
      </c>
      <c r="AH134" s="689"/>
    </row>
    <row r="135" spans="1:34" ht="19.2" customHeight="1">
      <c r="A135" s="675" t="s">
        <v>321</v>
      </c>
      <c r="B135" s="423" t="s">
        <v>127</v>
      </c>
      <c r="C135" s="437"/>
      <c r="D135" s="82" t="s">
        <v>138</v>
      </c>
      <c r="E135" s="83"/>
      <c r="F135" s="343">
        <v>54.09</v>
      </c>
      <c r="G135" s="57">
        <v>2076</v>
      </c>
      <c r="H135" s="245">
        <f t="shared" ref="H135:H146" si="89">F135*G135</f>
        <v>112290.84000000001</v>
      </c>
      <c r="I135" s="437"/>
      <c r="J135" s="46">
        <v>16</v>
      </c>
      <c r="K135" s="57">
        <v>1500</v>
      </c>
      <c r="L135" s="86">
        <v>93.75</v>
      </c>
      <c r="M135" s="228">
        <v>17</v>
      </c>
      <c r="N135" s="57">
        <f t="shared" ref="N135:N143" si="90">G135/W135*60</f>
        <v>1399.5505617977528</v>
      </c>
      <c r="O135" s="115">
        <f t="shared" ref="O135:O143" si="91">N135/M135</f>
        <v>82.326503635161927</v>
      </c>
      <c r="P135" s="54">
        <f t="shared" si="86"/>
        <v>1</v>
      </c>
      <c r="Q135" s="88">
        <f t="shared" si="87"/>
        <v>-11.423496364838073</v>
      </c>
      <c r="R135" s="430">
        <f t="shared" si="88"/>
        <v>0.87814937210839394</v>
      </c>
      <c r="S135" s="679">
        <f>R147</f>
        <v>0.91229846856130081</v>
      </c>
      <c r="T135" s="246">
        <v>0.5</v>
      </c>
      <c r="U135" s="50">
        <v>0.56180555555555556</v>
      </c>
      <c r="V135" s="142">
        <v>5</v>
      </c>
      <c r="W135" s="247">
        <f t="shared" ref="W135:W147" si="92">(U135-T135)*24*60</f>
        <v>89</v>
      </c>
      <c r="X135" s="53"/>
      <c r="Y135" s="53"/>
      <c r="Z135" s="54"/>
      <c r="AA135" s="54"/>
      <c r="AB135" s="673"/>
      <c r="AC135" s="673"/>
      <c r="AD135" s="437"/>
      <c r="AE135" s="437"/>
      <c r="AF135" s="116">
        <f t="shared" si="61"/>
        <v>-100.44943820224717</v>
      </c>
      <c r="AG135" s="120">
        <f t="shared" si="62"/>
        <v>0.93303370786516859</v>
      </c>
      <c r="AH135" s="672">
        <f>AG147</f>
        <v>0.92716344405379414</v>
      </c>
    </row>
    <row r="136" spans="1:34" ht="19.2" customHeight="1">
      <c r="A136" s="676"/>
      <c r="B136" s="423" t="s">
        <v>127</v>
      </c>
      <c r="C136" s="437"/>
      <c r="D136" s="82" t="s">
        <v>75</v>
      </c>
      <c r="E136" s="83"/>
      <c r="F136" s="343">
        <v>57.734999999999999</v>
      </c>
      <c r="G136" s="57">
        <v>1254.4000000000001</v>
      </c>
      <c r="H136" s="84">
        <f t="shared" si="89"/>
        <v>72422.784</v>
      </c>
      <c r="I136" s="437"/>
      <c r="J136" s="46">
        <v>16</v>
      </c>
      <c r="K136" s="57">
        <v>1565</v>
      </c>
      <c r="L136" s="86">
        <v>97.8125</v>
      </c>
      <c r="M136" s="426">
        <v>16</v>
      </c>
      <c r="N136" s="57">
        <f t="shared" si="90"/>
        <v>1393.7777777777785</v>
      </c>
      <c r="O136" s="86">
        <f t="shared" si="91"/>
        <v>87.111111111111157</v>
      </c>
      <c r="P136" s="54">
        <f t="shared" si="86"/>
        <v>0</v>
      </c>
      <c r="Q136" s="88">
        <f t="shared" si="87"/>
        <v>-10.701388888888843</v>
      </c>
      <c r="R136" s="430">
        <f t="shared" si="88"/>
        <v>0.89059282925097671</v>
      </c>
      <c r="S136" s="679"/>
      <c r="T136" s="246">
        <v>0.56666666666666665</v>
      </c>
      <c r="U136" s="50">
        <v>0.60416666666666663</v>
      </c>
      <c r="V136" s="142">
        <v>7</v>
      </c>
      <c r="W136" s="247">
        <f t="shared" si="92"/>
        <v>53.999999999999972</v>
      </c>
      <c r="X136" s="53"/>
      <c r="Y136" s="53"/>
      <c r="Z136" s="54"/>
      <c r="AA136" s="54"/>
      <c r="AB136" s="673"/>
      <c r="AC136" s="673"/>
      <c r="AD136" s="437"/>
      <c r="AE136" s="437"/>
      <c r="AF136" s="48">
        <f t="shared" si="61"/>
        <v>-171.22222222222149</v>
      </c>
      <c r="AG136" s="125">
        <f t="shared" si="62"/>
        <v>0.89059282925097671</v>
      </c>
      <c r="AH136" s="672"/>
    </row>
    <row r="137" spans="1:34" ht="19.2" customHeight="1">
      <c r="A137" s="676"/>
      <c r="B137" s="423" t="s">
        <v>127</v>
      </c>
      <c r="C137" s="437"/>
      <c r="D137" s="82" t="s">
        <v>191</v>
      </c>
      <c r="E137" s="83"/>
      <c r="F137" s="343">
        <v>53.27</v>
      </c>
      <c r="G137" s="209">
        <v>1326</v>
      </c>
      <c r="H137" s="84">
        <f t="shared" si="89"/>
        <v>70636.02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1395.7894736842115</v>
      </c>
      <c r="O137" s="86">
        <f t="shared" si="91"/>
        <v>87.236842105263221</v>
      </c>
      <c r="P137" s="54">
        <f t="shared" si="86"/>
        <v>0</v>
      </c>
      <c r="Q137" s="88">
        <f t="shared" si="87"/>
        <v>-6.5131578947367785</v>
      </c>
      <c r="R137" s="430">
        <f t="shared" si="88"/>
        <v>0.93052631578947431</v>
      </c>
      <c r="S137" s="679"/>
      <c r="T137" s="50">
        <v>0.61944444444444435</v>
      </c>
      <c r="U137" s="50">
        <v>0.65902777777777766</v>
      </c>
      <c r="V137" s="249">
        <v>22</v>
      </c>
      <c r="W137" s="247">
        <f t="shared" si="92"/>
        <v>56.999999999999957</v>
      </c>
      <c r="X137" s="53">
        <v>0.60833333333333328</v>
      </c>
      <c r="Y137" s="53">
        <v>0.61805555555555558</v>
      </c>
      <c r="Z137" s="54"/>
      <c r="AA137" s="54"/>
      <c r="AB137" s="673"/>
      <c r="AC137" s="673"/>
      <c r="AD137" s="437"/>
      <c r="AE137" s="437"/>
      <c r="AF137" s="48">
        <f t="shared" si="61"/>
        <v>-104.21052631578846</v>
      </c>
      <c r="AG137" s="125">
        <f t="shared" si="62"/>
        <v>0.93052631578947431</v>
      </c>
      <c r="AH137" s="672"/>
    </row>
    <row r="138" spans="1:34" ht="19.2" customHeight="1">
      <c r="A138" s="676"/>
      <c r="B138" s="423" t="s">
        <v>127</v>
      </c>
      <c r="C138" s="223"/>
      <c r="D138" s="82" t="s">
        <v>169</v>
      </c>
      <c r="E138" s="83"/>
      <c r="F138" s="343">
        <v>50.67</v>
      </c>
      <c r="G138" s="57">
        <v>1370</v>
      </c>
      <c r="H138" s="84">
        <f t="shared" si="89"/>
        <v>69417.900000000009</v>
      </c>
      <c r="I138" s="437"/>
      <c r="J138" s="87">
        <v>18</v>
      </c>
      <c r="K138" s="57">
        <v>1500</v>
      </c>
      <c r="L138" s="86">
        <v>83.333333333333329</v>
      </c>
      <c r="M138" s="228">
        <v>18</v>
      </c>
      <c r="N138" s="57">
        <f t="shared" si="90"/>
        <v>1393.220338983052</v>
      </c>
      <c r="O138" s="86">
        <f t="shared" si="91"/>
        <v>77.401129943502895</v>
      </c>
      <c r="P138" s="54">
        <f t="shared" si="86"/>
        <v>0</v>
      </c>
      <c r="Q138" s="88">
        <f t="shared" si="87"/>
        <v>-5.932203389830434</v>
      </c>
      <c r="R138" s="436">
        <f t="shared" si="88"/>
        <v>0.9288135593220348</v>
      </c>
      <c r="S138" s="679"/>
      <c r="T138" s="50">
        <v>0.66388888888888875</v>
      </c>
      <c r="U138" s="50">
        <v>0.70486111111111094</v>
      </c>
      <c r="V138" s="249">
        <v>7</v>
      </c>
      <c r="W138" s="247">
        <f t="shared" si="92"/>
        <v>58.99999999999995</v>
      </c>
      <c r="X138" s="53"/>
      <c r="Y138" s="53"/>
      <c r="Z138" s="54"/>
      <c r="AA138" s="54"/>
      <c r="AB138" s="673"/>
      <c r="AC138" s="673"/>
      <c r="AD138" s="437"/>
      <c r="AE138" s="437"/>
      <c r="AF138" s="48">
        <f t="shared" si="61"/>
        <v>-106.77966101694801</v>
      </c>
      <c r="AG138" s="125">
        <f t="shared" si="62"/>
        <v>0.92881355932203469</v>
      </c>
      <c r="AH138" s="672"/>
    </row>
    <row r="139" spans="1:34" ht="19.2" customHeight="1">
      <c r="A139" s="676"/>
      <c r="B139" s="423" t="s">
        <v>127</v>
      </c>
      <c r="C139" s="433"/>
      <c r="D139" s="42" t="s">
        <v>84</v>
      </c>
      <c r="E139" s="43"/>
      <c r="F139" s="343">
        <v>50.98</v>
      </c>
      <c r="G139" s="57">
        <v>1390</v>
      </c>
      <c r="H139" s="84">
        <f t="shared" si="89"/>
        <v>70862.2</v>
      </c>
      <c r="I139" s="437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1345.1612903225819</v>
      </c>
      <c r="O139" s="86">
        <f t="shared" si="91"/>
        <v>67.258064516129096</v>
      </c>
      <c r="P139" s="54">
        <f t="shared" si="86"/>
        <v>0</v>
      </c>
      <c r="Q139" s="88">
        <f t="shared" si="87"/>
        <v>-4.741935483870904</v>
      </c>
      <c r="R139" s="430">
        <f t="shared" si="88"/>
        <v>0.93413978494623739</v>
      </c>
      <c r="S139" s="679"/>
      <c r="T139" s="50">
        <v>0.74513888888888868</v>
      </c>
      <c r="U139" s="50">
        <v>0.7881944444444442</v>
      </c>
      <c r="V139" s="250">
        <v>5</v>
      </c>
      <c r="W139" s="247">
        <f t="shared" si="92"/>
        <v>61.999999999999943</v>
      </c>
      <c r="X139" s="53"/>
      <c r="Y139" s="53"/>
      <c r="Z139" s="54"/>
      <c r="AA139" s="54"/>
      <c r="AB139" s="673"/>
      <c r="AC139" s="673"/>
      <c r="AD139" s="437">
        <v>1</v>
      </c>
      <c r="AE139" s="437"/>
      <c r="AF139" s="48">
        <f t="shared" si="61"/>
        <v>-94.838709677418137</v>
      </c>
      <c r="AG139" s="125">
        <f t="shared" si="62"/>
        <v>0.93413978494623739</v>
      </c>
      <c r="AH139" s="672"/>
    </row>
    <row r="140" spans="1:34" ht="19.2" customHeight="1">
      <c r="A140" s="677"/>
      <c r="B140" s="423" t="s">
        <v>127</v>
      </c>
      <c r="C140" s="433"/>
      <c r="D140" s="251" t="s">
        <v>83</v>
      </c>
      <c r="E140" s="83"/>
      <c r="F140" s="343">
        <v>50.67</v>
      </c>
      <c r="G140" s="57">
        <v>889</v>
      </c>
      <c r="H140" s="84">
        <f t="shared" si="89"/>
        <v>45045.630000000005</v>
      </c>
      <c r="I140" s="437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1367.6923076923069</v>
      </c>
      <c r="O140" s="86">
        <f t="shared" si="91"/>
        <v>80.452488687782761</v>
      </c>
      <c r="P140" s="54">
        <f t="shared" si="86"/>
        <v>0</v>
      </c>
      <c r="Q140" s="88">
        <f t="shared" si="87"/>
        <v>-7.7828054298642968</v>
      </c>
      <c r="R140" s="430">
        <f t="shared" si="88"/>
        <v>0.91179487179487129</v>
      </c>
      <c r="S140" s="680"/>
      <c r="T140" s="63">
        <v>0.79305555555555529</v>
      </c>
      <c r="U140" s="252">
        <v>0.82013888888888864</v>
      </c>
      <c r="V140" s="253">
        <v>7</v>
      </c>
      <c r="W140" s="247">
        <f t="shared" si="92"/>
        <v>39.000000000000021</v>
      </c>
      <c r="X140" s="53"/>
      <c r="Y140" s="53"/>
      <c r="Z140" s="54"/>
      <c r="AA140" s="54"/>
      <c r="AB140" s="673"/>
      <c r="AC140" s="673"/>
      <c r="AD140" s="437"/>
      <c r="AE140" s="437"/>
      <c r="AF140" s="48">
        <f t="shared" si="61"/>
        <v>-132.30769230769306</v>
      </c>
      <c r="AG140" s="125">
        <f t="shared" si="62"/>
        <v>0.91179487179487129</v>
      </c>
      <c r="AH140" s="672"/>
    </row>
    <row r="141" spans="1:34" ht="19.2" customHeight="1">
      <c r="A141" s="677"/>
      <c r="B141" s="423" t="s">
        <v>127</v>
      </c>
      <c r="C141" s="433"/>
      <c r="D141" s="42" t="s">
        <v>85</v>
      </c>
      <c r="E141" s="254"/>
      <c r="F141" s="343">
        <v>50.92</v>
      </c>
      <c r="G141" s="57">
        <v>1677</v>
      </c>
      <c r="H141" s="84">
        <f t="shared" si="89"/>
        <v>85392.84</v>
      </c>
      <c r="I141" s="437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1378.3561643835606</v>
      </c>
      <c r="O141" s="86">
        <f t="shared" si="91"/>
        <v>72.545061283345291</v>
      </c>
      <c r="P141" s="54">
        <f t="shared" si="86"/>
        <v>0</v>
      </c>
      <c r="Q141" s="88">
        <f t="shared" si="87"/>
        <v>-3.2444124008652295</v>
      </c>
      <c r="R141" s="430">
        <f t="shared" si="88"/>
        <v>0.95719178082191714</v>
      </c>
      <c r="S141" s="680"/>
      <c r="T141" s="63">
        <v>0.82430555555555529</v>
      </c>
      <c r="U141" s="252">
        <v>0.87499999999999978</v>
      </c>
      <c r="V141" s="55">
        <v>6</v>
      </c>
      <c r="W141" s="247">
        <f t="shared" si="92"/>
        <v>73.000000000000057</v>
      </c>
      <c r="X141" s="53"/>
      <c r="Y141" s="53"/>
      <c r="Z141" s="54"/>
      <c r="AA141" s="54"/>
      <c r="AB141" s="673"/>
      <c r="AC141" s="673"/>
      <c r="AD141" s="437"/>
      <c r="AE141" s="437"/>
      <c r="AF141" s="48">
        <f t="shared" si="61"/>
        <v>-61.643835616439446</v>
      </c>
      <c r="AG141" s="125">
        <f t="shared" si="62"/>
        <v>0.95719178082191703</v>
      </c>
      <c r="AH141" s="672"/>
    </row>
    <row r="142" spans="1:34" ht="19.2" customHeight="1">
      <c r="A142" s="677"/>
      <c r="B142" s="423" t="s">
        <v>127</v>
      </c>
      <c r="C142" s="433"/>
      <c r="D142" s="42" t="s">
        <v>86</v>
      </c>
      <c r="E142" s="254"/>
      <c r="F142" s="343">
        <v>50.67</v>
      </c>
      <c r="G142" s="57">
        <v>854</v>
      </c>
      <c r="H142" s="84">
        <f t="shared" si="89"/>
        <v>43272.18</v>
      </c>
      <c r="I142" s="437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1313.8461538461531</v>
      </c>
      <c r="O142" s="86">
        <f t="shared" si="91"/>
        <v>77.28506787330312</v>
      </c>
      <c r="P142" s="54">
        <f t="shared" si="86"/>
        <v>0</v>
      </c>
      <c r="Q142" s="88">
        <f t="shared" si="87"/>
        <v>-7.4208144796380537</v>
      </c>
      <c r="R142" s="430">
        <f t="shared" si="88"/>
        <v>0.91239316239316182</v>
      </c>
      <c r="S142" s="680"/>
      <c r="T142" s="63">
        <v>0.8951388888888886</v>
      </c>
      <c r="U142" s="252">
        <v>0.92222222222222194</v>
      </c>
      <c r="V142" s="55">
        <v>7</v>
      </c>
      <c r="W142" s="247">
        <f t="shared" si="92"/>
        <v>39.000000000000021</v>
      </c>
      <c r="X142" s="53"/>
      <c r="Y142" s="53"/>
      <c r="Z142" s="54"/>
      <c r="AA142" s="54"/>
      <c r="AB142" s="673"/>
      <c r="AC142" s="673"/>
      <c r="AD142" s="437"/>
      <c r="AE142" s="437"/>
      <c r="AF142" s="48">
        <f t="shared" si="61"/>
        <v>-126.15384615384687</v>
      </c>
      <c r="AG142" s="125">
        <f t="shared" si="62"/>
        <v>0.91239316239316193</v>
      </c>
      <c r="AH142" s="672"/>
    </row>
    <row r="143" spans="1:34" ht="19.2" customHeight="1">
      <c r="A143" s="677"/>
      <c r="B143" s="423" t="s">
        <v>127</v>
      </c>
      <c r="C143" s="255"/>
      <c r="D143" s="82" t="s">
        <v>87</v>
      </c>
      <c r="E143" s="83"/>
      <c r="F143" s="343">
        <v>50.49</v>
      </c>
      <c r="G143" s="57">
        <v>1162</v>
      </c>
      <c r="H143" s="84">
        <f t="shared" si="89"/>
        <v>58669.380000000005</v>
      </c>
      <c r="I143" s="437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1367.0588235294122</v>
      </c>
      <c r="O143" s="86">
        <f t="shared" si="91"/>
        <v>91.137254901960816</v>
      </c>
      <c r="P143" s="54">
        <f t="shared" si="86"/>
        <v>1</v>
      </c>
      <c r="Q143" s="88">
        <f t="shared" si="87"/>
        <v>-11.719887955182045</v>
      </c>
      <c r="R143" s="430">
        <f t="shared" si="88"/>
        <v>0.88605664488017455</v>
      </c>
      <c r="S143" s="680"/>
      <c r="T143" s="63">
        <v>0.92708333333333304</v>
      </c>
      <c r="U143" s="252">
        <v>0.96249999999999969</v>
      </c>
      <c r="V143" s="55">
        <v>7</v>
      </c>
      <c r="W143" s="247">
        <f t="shared" si="92"/>
        <v>50.999999999999979</v>
      </c>
      <c r="X143" s="53"/>
      <c r="Y143" s="53"/>
      <c r="Z143" s="54"/>
      <c r="AA143" s="54"/>
      <c r="AB143" s="673"/>
      <c r="AC143" s="673"/>
      <c r="AD143" s="437"/>
      <c r="AE143" s="437"/>
      <c r="AF143" s="48">
        <f t="shared" si="61"/>
        <v>-72.941176470587834</v>
      </c>
      <c r="AG143" s="125">
        <f t="shared" si="62"/>
        <v>0.94934640522875846</v>
      </c>
      <c r="AH143" s="672"/>
    </row>
    <row r="144" spans="1:34" ht="19.2" customHeight="1">
      <c r="A144" s="677"/>
      <c r="B144" s="423">
        <v>0</v>
      </c>
      <c r="C144" s="433"/>
      <c r="D144" s="42"/>
      <c r="E144" s="254"/>
      <c r="F144" s="343" t="s">
        <v>128</v>
      </c>
      <c r="G144" s="57"/>
      <c r="H144" s="84"/>
      <c r="I144" s="437"/>
      <c r="J144" s="46"/>
      <c r="K144" s="44"/>
      <c r="L144" s="47"/>
      <c r="M144" s="426"/>
      <c r="N144" s="57"/>
      <c r="O144" s="86"/>
      <c r="P144" s="54"/>
      <c r="Q144" s="88"/>
      <c r="R144" s="430"/>
      <c r="S144" s="680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673"/>
      <c r="AC144" s="673"/>
      <c r="AD144" s="437"/>
      <c r="AE144" s="437"/>
      <c r="AF144" s="48">
        <f t="shared" si="61"/>
        <v>0</v>
      </c>
      <c r="AG144" s="125" t="e">
        <f t="shared" si="62"/>
        <v>#DIV/0!</v>
      </c>
      <c r="AH144" s="672"/>
    </row>
    <row r="145" spans="1:34" ht="19.2" customHeight="1">
      <c r="A145" s="677"/>
      <c r="B145" s="423">
        <v>0</v>
      </c>
      <c r="C145" s="433"/>
      <c r="D145" s="42"/>
      <c r="E145" s="254"/>
      <c r="F145" s="343" t="s">
        <v>128</v>
      </c>
      <c r="G145" s="57" t="s">
        <v>15</v>
      </c>
      <c r="H145" s="84"/>
      <c r="I145" s="437"/>
      <c r="J145" s="87"/>
      <c r="K145" s="57"/>
      <c r="L145" s="86"/>
      <c r="M145" s="426"/>
      <c r="N145" s="57"/>
      <c r="O145" s="86"/>
      <c r="P145" s="54"/>
      <c r="Q145" s="88"/>
      <c r="R145" s="430"/>
      <c r="S145" s="680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673"/>
      <c r="AC145" s="673"/>
      <c r="AD145" s="437"/>
      <c r="AE145" s="437"/>
      <c r="AF145" s="48">
        <f t="shared" si="61"/>
        <v>0</v>
      </c>
      <c r="AG145" s="125" t="e">
        <f t="shared" si="62"/>
        <v>#DIV/0!</v>
      </c>
      <c r="AH145" s="672"/>
    </row>
    <row r="146" spans="1:34" ht="19.2" customHeight="1">
      <c r="A146" s="677"/>
      <c r="B146" s="425">
        <v>0</v>
      </c>
      <c r="C146" s="255"/>
      <c r="D146" s="256"/>
      <c r="E146" s="254"/>
      <c r="F146" s="343" t="s">
        <v>128</v>
      </c>
      <c r="G146" s="57"/>
      <c r="H146" s="84">
        <f t="shared" si="89"/>
        <v>0</v>
      </c>
      <c r="I146" s="437"/>
      <c r="J146" s="87"/>
      <c r="K146" s="57"/>
      <c r="L146" s="86"/>
      <c r="M146" s="426"/>
      <c r="N146" s="57"/>
      <c r="O146" s="86"/>
      <c r="P146" s="54"/>
      <c r="Q146" s="88"/>
      <c r="R146" s="430"/>
      <c r="S146" s="680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673"/>
      <c r="AC146" s="673"/>
      <c r="AD146" s="437"/>
      <c r="AE146" s="437"/>
      <c r="AF146" s="54"/>
      <c r="AG146" s="430"/>
      <c r="AH146" s="672"/>
    </row>
    <row r="147" spans="1:34" ht="19.2" customHeight="1">
      <c r="A147" s="678"/>
      <c r="B147" s="257">
        <v>0</v>
      </c>
      <c r="C147" s="100" t="s">
        <v>322</v>
      </c>
      <c r="D147" s="669" t="s">
        <v>301</v>
      </c>
      <c r="E147" s="669"/>
      <c r="F147" s="35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42">
        <f t="shared" ref="M147:O147" si="93">AVERAGE(M135:M146)</f>
        <v>17.222222222222221</v>
      </c>
      <c r="N147" s="242">
        <f t="shared" si="93"/>
        <v>1372.7169880018675</v>
      </c>
      <c r="O147" s="243">
        <f t="shared" si="93"/>
        <v>80.30594711750669</v>
      </c>
      <c r="P147" s="51">
        <f t="shared" ref="P147:P154" si="94">M147-J147</f>
        <v>0.22222222222222143</v>
      </c>
      <c r="Q147" s="139">
        <f t="shared" ref="Q147:Q154" si="95">O147-L147</f>
        <v>-7.7200113653016444</v>
      </c>
      <c r="R147" s="258">
        <f t="shared" ref="R147:R154" si="96">O147/L147</f>
        <v>0.91229846856130081</v>
      </c>
      <c r="S147" s="681"/>
      <c r="T147" s="63"/>
      <c r="U147" s="63"/>
      <c r="V147" s="55"/>
      <c r="W147" s="420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673"/>
      <c r="AC147" s="673"/>
      <c r="AD147" s="107">
        <f>SUM(AD135:AD146)</f>
        <v>1</v>
      </c>
      <c r="AE147" s="107">
        <f>SUM(AE135:AE146)</f>
        <v>0</v>
      </c>
      <c r="AF147" s="204">
        <f t="shared" si="61"/>
        <v>-107.83856755368811</v>
      </c>
      <c r="AG147" s="259">
        <f t="shared" si="62"/>
        <v>0.92716344405379414</v>
      </c>
      <c r="AH147" s="672"/>
    </row>
    <row r="148" spans="1:34" ht="19.2" customHeight="1">
      <c r="A148" s="684" t="s">
        <v>323</v>
      </c>
      <c r="B148" s="437" t="s">
        <v>125</v>
      </c>
      <c r="C148" s="121"/>
      <c r="D148" s="173" t="s">
        <v>137</v>
      </c>
      <c r="E148" s="43"/>
      <c r="F148" s="350">
        <v>36.92</v>
      </c>
      <c r="G148" s="57">
        <v>2831</v>
      </c>
      <c r="H148" s="84">
        <f t="shared" ref="H148:H172" si="97">F148*G148</f>
        <v>104520.52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4" si="98">G148/W148*60</f>
        <v>1439.4915254237289</v>
      </c>
      <c r="O148" s="47">
        <f t="shared" ref="O148:O154" si="99">N148/M148</f>
        <v>119.95762711864408</v>
      </c>
      <c r="P148" s="48">
        <f t="shared" si="94"/>
        <v>0</v>
      </c>
      <c r="Q148" s="49">
        <f t="shared" si="95"/>
        <v>-46.709039548022574</v>
      </c>
      <c r="R148" s="427">
        <f t="shared" si="96"/>
        <v>0.71974576271186452</v>
      </c>
      <c r="S148" s="685">
        <f>R160</f>
        <v>0.85851518426835816</v>
      </c>
      <c r="T148" s="246">
        <v>0.45833333333333331</v>
      </c>
      <c r="U148" s="50">
        <v>0.54027777777777775</v>
      </c>
      <c r="V148" s="423">
        <v>5</v>
      </c>
      <c r="W148" s="420">
        <f>(U148-T148)*24*60</f>
        <v>117.99999999999999</v>
      </c>
      <c r="X148" s="53"/>
      <c r="Y148" s="53"/>
      <c r="Z148" s="54"/>
      <c r="AA148" s="54"/>
      <c r="AB148" s="673"/>
      <c r="AC148" s="673"/>
      <c r="AD148" s="437"/>
      <c r="AE148" s="437"/>
      <c r="AF148" s="48">
        <f t="shared" si="61"/>
        <v>-560.50847457627106</v>
      </c>
      <c r="AG148" s="125">
        <f t="shared" si="62"/>
        <v>0.71974576271186452</v>
      </c>
      <c r="AH148" s="672">
        <f>AG160</f>
        <v>0.81257036525194182</v>
      </c>
    </row>
    <row r="149" spans="1:34" ht="19.2" customHeight="1">
      <c r="A149" s="684"/>
      <c r="B149" s="437" t="s">
        <v>125</v>
      </c>
      <c r="C149" s="221"/>
      <c r="D149" s="251" t="s">
        <v>190</v>
      </c>
      <c r="E149" s="60"/>
      <c r="F149" s="350">
        <v>26.5</v>
      </c>
      <c r="G149" s="57">
        <v>914.55</v>
      </c>
      <c r="H149" s="84">
        <f t="shared" si="97"/>
        <v>24235.574999999997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1406.9999999999991</v>
      </c>
      <c r="O149" s="47">
        <f t="shared" si="99"/>
        <v>117.24999999999993</v>
      </c>
      <c r="P149" s="48">
        <f t="shared" si="94"/>
        <v>0</v>
      </c>
      <c r="Q149" s="49">
        <f t="shared" si="95"/>
        <v>-49.416666666666728</v>
      </c>
      <c r="R149" s="427">
        <f t="shared" si="96"/>
        <v>0.70349999999999957</v>
      </c>
      <c r="S149" s="686"/>
      <c r="T149" s="246">
        <v>0.54374999999999996</v>
      </c>
      <c r="U149" s="50">
        <v>0.5708333333333333</v>
      </c>
      <c r="V149" s="423">
        <v>5</v>
      </c>
      <c r="W149" s="420">
        <f t="shared" ref="W149:W159" si="100">(U149-T149)*24*60</f>
        <v>39.000000000000021</v>
      </c>
      <c r="X149" s="53"/>
      <c r="Y149" s="53"/>
      <c r="Z149" s="54"/>
      <c r="AA149" s="54"/>
      <c r="AB149" s="673"/>
      <c r="AC149" s="673"/>
      <c r="AD149" s="437"/>
      <c r="AE149" s="437"/>
      <c r="AF149" s="48">
        <f t="shared" si="61"/>
        <v>-593.00000000000091</v>
      </c>
      <c r="AG149" s="125">
        <f t="shared" si="62"/>
        <v>0.70349999999999957</v>
      </c>
      <c r="AH149" s="674"/>
    </row>
    <row r="150" spans="1:34" ht="19.2" customHeight="1">
      <c r="A150" s="684"/>
      <c r="B150" s="437" t="s">
        <v>125</v>
      </c>
      <c r="C150" s="221"/>
      <c r="D150" s="176" t="s">
        <v>196</v>
      </c>
      <c r="E150" s="60"/>
      <c r="F150" s="350">
        <v>55.51</v>
      </c>
      <c r="G150" s="57">
        <v>187</v>
      </c>
      <c r="H150" s="84">
        <f t="shared" si="97"/>
        <v>10380.369999999999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1246.6666666666713</v>
      </c>
      <c r="O150" s="47">
        <f t="shared" si="99"/>
        <v>103.88888888888927</v>
      </c>
      <c r="P150" s="48">
        <f t="shared" si="94"/>
        <v>0</v>
      </c>
      <c r="Q150" s="49">
        <f t="shared" si="95"/>
        <v>-21.111111111110731</v>
      </c>
      <c r="R150" s="427">
        <f t="shared" si="96"/>
        <v>0.83111111111111413</v>
      </c>
      <c r="S150" s="686"/>
      <c r="T150" s="246">
        <v>0.70833333333333337</v>
      </c>
      <c r="U150" s="50">
        <v>0.71458333333333335</v>
      </c>
      <c r="V150" s="423">
        <v>5</v>
      </c>
      <c r="W150" s="420">
        <f t="shared" si="100"/>
        <v>8.999999999999968</v>
      </c>
      <c r="X150" s="216"/>
      <c r="Y150" s="216"/>
      <c r="Z150" s="217"/>
      <c r="AA150" s="217"/>
      <c r="AB150" s="673"/>
      <c r="AC150" s="673"/>
      <c r="AD150" s="437"/>
      <c r="AE150" s="437"/>
      <c r="AF150" s="48">
        <f t="shared" si="61"/>
        <v>-253.33333333332871</v>
      </c>
      <c r="AG150" s="125">
        <f t="shared" si="62"/>
        <v>0.83111111111111424</v>
      </c>
      <c r="AH150" s="674"/>
    </row>
    <row r="151" spans="1:34" s="218" customFormat="1" ht="19.2" customHeight="1">
      <c r="A151" s="684"/>
      <c r="B151" s="437" t="s">
        <v>126</v>
      </c>
      <c r="C151" s="221"/>
      <c r="D151" s="59" t="s">
        <v>182</v>
      </c>
      <c r="E151" s="60"/>
      <c r="F151" s="350">
        <v>28.57</v>
      </c>
      <c r="G151" s="57">
        <v>1410</v>
      </c>
      <c r="H151" s="84">
        <f t="shared" si="97"/>
        <v>40283.699999999997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1433.8983050847469</v>
      </c>
      <c r="O151" s="47">
        <f t="shared" si="99"/>
        <v>119.4915254237289</v>
      </c>
      <c r="P151" s="48">
        <f t="shared" si="94"/>
        <v>0</v>
      </c>
      <c r="Q151" s="49">
        <f t="shared" si="95"/>
        <v>-5.508474576271098</v>
      </c>
      <c r="R151" s="427">
        <f t="shared" si="96"/>
        <v>0.9559322033898312</v>
      </c>
      <c r="S151" s="686"/>
      <c r="T151" s="246">
        <v>0.71805555555555556</v>
      </c>
      <c r="U151" s="50">
        <v>0.75902777777777775</v>
      </c>
      <c r="V151" s="423">
        <v>5</v>
      </c>
      <c r="W151" s="420">
        <f t="shared" si="100"/>
        <v>58.99999999999995</v>
      </c>
      <c r="X151" s="216"/>
      <c r="Y151" s="216"/>
      <c r="Z151" s="217"/>
      <c r="AA151" s="217"/>
      <c r="AB151" s="673"/>
      <c r="AC151" s="673"/>
      <c r="AD151" s="221"/>
      <c r="AE151" s="221"/>
      <c r="AF151" s="48">
        <f t="shared" si="61"/>
        <v>-66.10169491525312</v>
      </c>
      <c r="AG151" s="125">
        <f t="shared" si="62"/>
        <v>0.9559322033898312</v>
      </c>
      <c r="AH151" s="674"/>
    </row>
    <row r="152" spans="1:34" s="218" customFormat="1" ht="19.2" customHeight="1">
      <c r="A152" s="684"/>
      <c r="B152" s="437" t="s">
        <v>126</v>
      </c>
      <c r="C152" s="221"/>
      <c r="D152" s="59" t="s">
        <v>170</v>
      </c>
      <c r="E152" s="60"/>
      <c r="F152" s="350">
        <v>20.420000000000002</v>
      </c>
      <c r="G152" s="57">
        <v>297</v>
      </c>
      <c r="H152" s="84">
        <f t="shared" si="97"/>
        <v>6064.7400000000007</v>
      </c>
      <c r="I152" s="260"/>
      <c r="J152" s="87">
        <v>12</v>
      </c>
      <c r="K152" s="57">
        <v>1500</v>
      </c>
      <c r="L152" s="86">
        <v>125</v>
      </c>
      <c r="M152" s="228">
        <v>9</v>
      </c>
      <c r="N152" s="44">
        <f t="shared" si="98"/>
        <v>990.00000000000341</v>
      </c>
      <c r="O152" s="47">
        <f t="shared" si="99"/>
        <v>110.00000000000038</v>
      </c>
      <c r="P152" s="48">
        <f t="shared" si="94"/>
        <v>-3</v>
      </c>
      <c r="Q152" s="49">
        <f t="shared" si="95"/>
        <v>-14.999999999999616</v>
      </c>
      <c r="R152" s="427">
        <f t="shared" si="96"/>
        <v>0.88000000000000311</v>
      </c>
      <c r="S152" s="686"/>
      <c r="T152" s="261">
        <v>0.76249999999999996</v>
      </c>
      <c r="U152" s="63">
        <v>0.77499999999999991</v>
      </c>
      <c r="V152" s="424">
        <v>5</v>
      </c>
      <c r="W152" s="420">
        <f t="shared" si="100"/>
        <v>17.999999999999936</v>
      </c>
      <c r="X152" s="219"/>
      <c r="Y152" s="219"/>
      <c r="Z152" s="217"/>
      <c r="AA152" s="217"/>
      <c r="AB152" s="673"/>
      <c r="AC152" s="673"/>
      <c r="AD152" s="221"/>
      <c r="AE152" s="221"/>
      <c r="AF152" s="48">
        <f t="shared" si="61"/>
        <v>-509.99999999999659</v>
      </c>
      <c r="AG152" s="125">
        <f t="shared" si="62"/>
        <v>0.66000000000000225</v>
      </c>
      <c r="AH152" s="674"/>
    </row>
    <row r="153" spans="1:34" s="218" customFormat="1" ht="19.2" customHeight="1">
      <c r="A153" s="684"/>
      <c r="B153" s="437" t="s">
        <v>126</v>
      </c>
      <c r="C153" s="221"/>
      <c r="D153" s="251" t="s">
        <v>211</v>
      </c>
      <c r="E153" s="60"/>
      <c r="F153" s="350">
        <v>18.920000000000002</v>
      </c>
      <c r="G153" s="57">
        <v>1278</v>
      </c>
      <c r="H153" s="84">
        <f t="shared" si="97"/>
        <v>24179.760000000002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1966.1538461538451</v>
      </c>
      <c r="O153" s="47">
        <f t="shared" si="99"/>
        <v>393.230769230769</v>
      </c>
      <c r="P153" s="48">
        <f t="shared" si="94"/>
        <v>0</v>
      </c>
      <c r="Q153" s="49">
        <f t="shared" si="95"/>
        <v>-46.769230769231001</v>
      </c>
      <c r="R153" s="427">
        <f t="shared" si="96"/>
        <v>0.89370629370629318</v>
      </c>
      <c r="S153" s="686"/>
      <c r="T153" s="261">
        <v>0.77847222222222212</v>
      </c>
      <c r="U153" s="63">
        <v>0.80555555555555547</v>
      </c>
      <c r="V153" s="424">
        <v>5</v>
      </c>
      <c r="W153" s="420">
        <f t="shared" si="100"/>
        <v>39.000000000000021</v>
      </c>
      <c r="X153" s="219"/>
      <c r="Y153" s="219"/>
      <c r="Z153" s="217"/>
      <c r="AA153" s="217"/>
      <c r="AB153" s="673"/>
      <c r="AC153" s="673"/>
      <c r="AD153" s="221"/>
      <c r="AE153" s="221"/>
      <c r="AF153" s="48">
        <f t="shared" si="61"/>
        <v>-233.84615384615495</v>
      </c>
      <c r="AG153" s="125">
        <f t="shared" si="62"/>
        <v>0.89370629370629318</v>
      </c>
      <c r="AH153" s="674"/>
    </row>
    <row r="154" spans="1:34" s="218" customFormat="1" ht="19.2" customHeight="1">
      <c r="A154" s="684"/>
      <c r="B154" s="437" t="s">
        <v>126</v>
      </c>
      <c r="C154" s="221"/>
      <c r="D154" s="251" t="s">
        <v>212</v>
      </c>
      <c r="E154" s="60"/>
      <c r="F154" s="350">
        <v>17.71</v>
      </c>
      <c r="G154" s="57">
        <v>3165</v>
      </c>
      <c r="H154" s="84">
        <f t="shared" si="97"/>
        <v>56052.15</v>
      </c>
      <c r="I154" s="260"/>
      <c r="J154" s="87">
        <v>5</v>
      </c>
      <c r="K154" s="57">
        <v>2200</v>
      </c>
      <c r="L154" s="86">
        <v>440</v>
      </c>
      <c r="M154" s="199">
        <v>5</v>
      </c>
      <c r="N154" s="44">
        <f t="shared" si="98"/>
        <v>1998.9473684210527</v>
      </c>
      <c r="O154" s="47">
        <f t="shared" si="99"/>
        <v>399.78947368421052</v>
      </c>
      <c r="P154" s="48">
        <f t="shared" si="94"/>
        <v>0</v>
      </c>
      <c r="Q154" s="49">
        <f t="shared" si="95"/>
        <v>-40.21052631578948</v>
      </c>
      <c r="R154" s="427">
        <f t="shared" si="96"/>
        <v>0.90861244019138754</v>
      </c>
      <c r="S154" s="686"/>
      <c r="T154" s="261">
        <v>0.80902777777777768</v>
      </c>
      <c r="U154" s="63">
        <v>0.87499999999999989</v>
      </c>
      <c r="V154" s="424">
        <v>5</v>
      </c>
      <c r="W154" s="420">
        <f t="shared" si="100"/>
        <v>94.999999999999986</v>
      </c>
      <c r="X154" s="219"/>
      <c r="Y154" s="219"/>
      <c r="Z154" s="217"/>
      <c r="AA154" s="217"/>
      <c r="AB154" s="673"/>
      <c r="AC154" s="673"/>
      <c r="AD154" s="221"/>
      <c r="AE154" s="221"/>
      <c r="AF154" s="48">
        <f t="shared" si="61"/>
        <v>-201.05263157894728</v>
      </c>
      <c r="AG154" s="125">
        <f t="shared" si="62"/>
        <v>0.90861244019138765</v>
      </c>
      <c r="AH154" s="674"/>
    </row>
    <row r="155" spans="1:34" s="218" customFormat="1" ht="19.2" customHeight="1">
      <c r="A155" s="684"/>
      <c r="B155" s="437">
        <v>0</v>
      </c>
      <c r="C155" s="221"/>
      <c r="D155" s="251"/>
      <c r="E155" s="60"/>
      <c r="F155" s="350" t="s">
        <v>128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7"/>
      <c r="S155" s="686"/>
      <c r="T155" s="261"/>
      <c r="U155" s="63"/>
      <c r="V155" s="424"/>
      <c r="W155" s="420">
        <f t="shared" si="100"/>
        <v>0</v>
      </c>
      <c r="X155" s="219"/>
      <c r="Y155" s="219"/>
      <c r="Z155" s="217"/>
      <c r="AA155" s="217"/>
      <c r="AB155" s="673"/>
      <c r="AC155" s="673"/>
      <c r="AD155" s="221"/>
      <c r="AE155" s="221"/>
      <c r="AF155" s="264"/>
      <c r="AG155" s="129"/>
      <c r="AH155" s="674"/>
    </row>
    <row r="156" spans="1:34" s="218" customFormat="1" ht="19.2" customHeight="1">
      <c r="A156" s="684"/>
      <c r="B156" s="221">
        <v>0</v>
      </c>
      <c r="C156" s="221"/>
      <c r="D156" s="251"/>
      <c r="E156" s="60"/>
      <c r="F156" s="350" t="s">
        <v>128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7"/>
      <c r="S156" s="686"/>
      <c r="T156" s="261"/>
      <c r="U156" s="63"/>
      <c r="V156" s="424"/>
      <c r="W156" s="265">
        <f t="shared" si="100"/>
        <v>0</v>
      </c>
      <c r="X156" s="219"/>
      <c r="Y156" s="219"/>
      <c r="Z156" s="217"/>
      <c r="AA156" s="217"/>
      <c r="AB156" s="673"/>
      <c r="AC156" s="673"/>
      <c r="AD156" s="221"/>
      <c r="AE156" s="221"/>
      <c r="AF156" s="264"/>
      <c r="AG156" s="129"/>
      <c r="AH156" s="674"/>
    </row>
    <row r="157" spans="1:34" s="218" customFormat="1" ht="19.2" customHeight="1">
      <c r="A157" s="684"/>
      <c r="B157" s="221">
        <v>0</v>
      </c>
      <c r="C157" s="221"/>
      <c r="D157" s="251"/>
      <c r="E157" s="60"/>
      <c r="F157" s="356" t="s">
        <v>128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686"/>
      <c r="T157" s="261"/>
      <c r="U157" s="63"/>
      <c r="V157" s="424"/>
      <c r="W157" s="265">
        <f t="shared" si="100"/>
        <v>0</v>
      </c>
      <c r="X157" s="219"/>
      <c r="Y157" s="219"/>
      <c r="Z157" s="217"/>
      <c r="AA157" s="217"/>
      <c r="AB157" s="673"/>
      <c r="AC157" s="673"/>
      <c r="AD157" s="221"/>
      <c r="AE157" s="221"/>
      <c r="AF157" s="264"/>
      <c r="AG157" s="129"/>
      <c r="AH157" s="674"/>
    </row>
    <row r="158" spans="1:34" s="218" customFormat="1" ht="19.2" customHeight="1">
      <c r="A158" s="684"/>
      <c r="B158" s="221">
        <v>0</v>
      </c>
      <c r="C158" s="221"/>
      <c r="D158" s="251"/>
      <c r="E158" s="60"/>
      <c r="F158" s="356" t="s">
        <v>128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686"/>
      <c r="T158" s="261"/>
      <c r="U158" s="63"/>
      <c r="V158" s="424"/>
      <c r="W158" s="265">
        <f t="shared" si="100"/>
        <v>0</v>
      </c>
      <c r="X158" s="219"/>
      <c r="Y158" s="219"/>
      <c r="Z158" s="217"/>
      <c r="AA158" s="217"/>
      <c r="AB158" s="673"/>
      <c r="AC158" s="673"/>
      <c r="AD158" s="221"/>
      <c r="AE158" s="221"/>
      <c r="AF158" s="264"/>
      <c r="AG158" s="129"/>
      <c r="AH158" s="674"/>
    </row>
    <row r="159" spans="1:34" s="218" customFormat="1" ht="19.2" customHeight="1">
      <c r="A159" s="684"/>
      <c r="B159" s="221">
        <v>0</v>
      </c>
      <c r="C159" s="221"/>
      <c r="D159" s="251"/>
      <c r="E159" s="60"/>
      <c r="F159" s="356" t="s">
        <v>128</v>
      </c>
      <c r="G159" s="57"/>
      <c r="H159" s="230">
        <f t="shared" si="97"/>
        <v>0</v>
      </c>
      <c r="I159" s="260"/>
      <c r="J159" s="262"/>
      <c r="K159" s="179"/>
      <c r="L159" s="131"/>
      <c r="M159" s="426"/>
      <c r="N159" s="179"/>
      <c r="O159" s="224"/>
      <c r="P159" s="263"/>
      <c r="Q159" s="74"/>
      <c r="R159" s="129"/>
      <c r="S159" s="686"/>
      <c r="T159" s="261"/>
      <c r="U159" s="63"/>
      <c r="V159" s="424"/>
      <c r="W159" s="266">
        <f t="shared" si="100"/>
        <v>0</v>
      </c>
      <c r="X159" s="219"/>
      <c r="Y159" s="219"/>
      <c r="Z159" s="217"/>
      <c r="AA159" s="217"/>
      <c r="AB159" s="673"/>
      <c r="AC159" s="673"/>
      <c r="AD159" s="221"/>
      <c r="AE159" s="221"/>
      <c r="AF159" s="264"/>
      <c r="AG159" s="129"/>
      <c r="AH159" s="674"/>
    </row>
    <row r="160" spans="1:34" ht="19.2" customHeight="1">
      <c r="A160" s="684"/>
      <c r="B160" s="267">
        <v>0</v>
      </c>
      <c r="C160" s="268" t="s">
        <v>324</v>
      </c>
      <c r="D160" s="682" t="s">
        <v>301</v>
      </c>
      <c r="E160" s="683"/>
      <c r="F160" s="344"/>
      <c r="G160" s="202"/>
      <c r="H160" s="201"/>
      <c r="I160" s="72"/>
      <c r="J160" s="269">
        <v>10</v>
      </c>
      <c r="K160" s="269">
        <v>1842.8571428571429</v>
      </c>
      <c r="L160" s="270">
        <v>226.9047619047619</v>
      </c>
      <c r="M160" s="269">
        <f t="shared" ref="M160:O160" si="101">AVERAGE(M148:M159)</f>
        <v>9.5714285714285712</v>
      </c>
      <c r="N160" s="269">
        <f t="shared" si="101"/>
        <v>1497.4511016785784</v>
      </c>
      <c r="O160" s="270">
        <f t="shared" si="101"/>
        <v>194.8011834780346</v>
      </c>
      <c r="P160" s="65">
        <f t="shared" ref="P160:P163" si="102">M160-J160</f>
        <v>-0.42857142857142883</v>
      </c>
      <c r="Q160" s="74">
        <f t="shared" ref="Q160:Q163" si="103">O160-L160</f>
        <v>-32.103578426727296</v>
      </c>
      <c r="R160" s="271">
        <f>O160/L160</f>
        <v>0.85851518426835816</v>
      </c>
      <c r="S160" s="686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673"/>
      <c r="AC160" s="673"/>
      <c r="AD160" s="79">
        <f>SUM(AD148:AD159)</f>
        <v>0</v>
      </c>
      <c r="AE160" s="79">
        <f>SUM(AE148:AE159)</f>
        <v>0</v>
      </c>
      <c r="AF160" s="65">
        <f t="shared" si="61"/>
        <v>-345.40604117856446</v>
      </c>
      <c r="AG160" s="129">
        <f t="shared" si="62"/>
        <v>0.81257036525194182</v>
      </c>
      <c r="AH160" s="674"/>
    </row>
    <row r="161" spans="1:36" ht="19.2" customHeight="1">
      <c r="A161" s="671" t="s">
        <v>325</v>
      </c>
      <c r="B161" s="121" t="s">
        <v>126</v>
      </c>
      <c r="C161" s="121"/>
      <c r="D161" s="82" t="s">
        <v>206</v>
      </c>
      <c r="E161" s="83"/>
      <c r="F161" s="349">
        <v>30.13</v>
      </c>
      <c r="G161" s="57">
        <v>3266.2</v>
      </c>
      <c r="H161" s="84">
        <f t="shared" ref="H161:H170" si="104">F161*G161</f>
        <v>98410.605999999985</v>
      </c>
      <c r="I161" s="437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6" si="105">G161/W161*60</f>
        <v>1180.5542168674699</v>
      </c>
      <c r="O161" s="86">
        <f t="shared" ref="O161:O166" si="106">N161/M161</f>
        <v>65.586345381526101</v>
      </c>
      <c r="P161" s="54">
        <f t="shared" si="102"/>
        <v>0</v>
      </c>
      <c r="Q161" s="88">
        <f t="shared" si="103"/>
        <v>-1.0803212851405704</v>
      </c>
      <c r="R161" s="430">
        <f t="shared" ref="R161:R163" si="107">O161/L161</f>
        <v>0.9837951807228914</v>
      </c>
      <c r="S161" s="672">
        <f>R173</f>
        <v>0.93888078187867074</v>
      </c>
      <c r="T161" s="89">
        <v>0.16666666666666666</v>
      </c>
      <c r="U161" s="89">
        <v>0.28194444444444444</v>
      </c>
      <c r="V161" s="437">
        <v>5</v>
      </c>
      <c r="W161" s="90">
        <f t="shared" ref="W161:W172" si="108">(U161-T161)*24*60</f>
        <v>166</v>
      </c>
      <c r="X161" s="96"/>
      <c r="Y161" s="96"/>
      <c r="Z161" s="54"/>
      <c r="AA161" s="54"/>
      <c r="AB161" s="673"/>
      <c r="AC161" s="673"/>
      <c r="AD161" s="437">
        <v>1</v>
      </c>
      <c r="AE161" s="437"/>
      <c r="AF161" s="54">
        <f t="shared" si="61"/>
        <v>-19.445783132530096</v>
      </c>
      <c r="AG161" s="430">
        <f t="shared" si="62"/>
        <v>0.98379518072289163</v>
      </c>
      <c r="AH161" s="672">
        <f>AG173</f>
        <v>0.94591587286534407</v>
      </c>
    </row>
    <row r="162" spans="1:36" ht="19.2" customHeight="1">
      <c r="A162" s="671"/>
      <c r="B162" s="121" t="s">
        <v>126</v>
      </c>
      <c r="C162" s="121"/>
      <c r="D162" s="82" t="s">
        <v>89</v>
      </c>
      <c r="E162" s="83"/>
      <c r="F162" s="349">
        <v>34.229999999999997</v>
      </c>
      <c r="G162" s="57">
        <v>3237</v>
      </c>
      <c r="H162" s="84">
        <f t="shared" si="104"/>
        <v>110802.51</v>
      </c>
      <c r="I162" s="437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2158</v>
      </c>
      <c r="O162" s="86">
        <f t="shared" si="106"/>
        <v>166</v>
      </c>
      <c r="P162" s="54">
        <f t="shared" si="102"/>
        <v>0</v>
      </c>
      <c r="Q162" s="88">
        <f t="shared" si="103"/>
        <v>-7.076923076923066</v>
      </c>
      <c r="R162" s="430">
        <f t="shared" si="107"/>
        <v>0.95911111111111114</v>
      </c>
      <c r="S162" s="672"/>
      <c r="T162" s="89">
        <v>0.29722222222222222</v>
      </c>
      <c r="U162" s="89">
        <v>0.35972222222222222</v>
      </c>
      <c r="V162" s="437">
        <v>22</v>
      </c>
      <c r="W162" s="90">
        <f t="shared" si="108"/>
        <v>90</v>
      </c>
      <c r="X162" s="96">
        <v>0.28611111111111115</v>
      </c>
      <c r="Y162" s="96">
        <v>0.29583333333333334</v>
      </c>
      <c r="Z162" s="54"/>
      <c r="AA162" s="54"/>
      <c r="AB162" s="673"/>
      <c r="AC162" s="673"/>
      <c r="AD162" s="437"/>
      <c r="AE162" s="437"/>
      <c r="AF162" s="54">
        <f t="shared" si="61"/>
        <v>-92</v>
      </c>
      <c r="AG162" s="430">
        <f t="shared" si="62"/>
        <v>0.95911111111111114</v>
      </c>
      <c r="AH162" s="672"/>
    </row>
    <row r="163" spans="1:36" ht="19.2" customHeight="1">
      <c r="A163" s="671"/>
      <c r="B163" s="121" t="s">
        <v>126</v>
      </c>
      <c r="C163" s="121"/>
      <c r="D163" s="248" t="s">
        <v>62</v>
      </c>
      <c r="E163" s="248"/>
      <c r="F163" s="349">
        <v>36.409999999999997</v>
      </c>
      <c r="G163" s="57">
        <v>5346.75</v>
      </c>
      <c r="H163" s="84">
        <f t="shared" si="104"/>
        <v>194675.16749999998</v>
      </c>
      <c r="I163" s="437"/>
      <c r="J163" s="87">
        <v>10</v>
      </c>
      <c r="K163" s="57">
        <v>2769</v>
      </c>
      <c r="L163" s="86">
        <v>276.89999999999998</v>
      </c>
      <c r="M163" s="87">
        <v>10</v>
      </c>
      <c r="N163" s="57">
        <f t="shared" si="105"/>
        <v>2394.0671641791046</v>
      </c>
      <c r="O163" s="86">
        <f t="shared" si="106"/>
        <v>239.40671641791045</v>
      </c>
      <c r="P163" s="54">
        <f t="shared" si="102"/>
        <v>0</v>
      </c>
      <c r="Q163" s="88">
        <f t="shared" si="103"/>
        <v>-37.493283582089532</v>
      </c>
      <c r="R163" s="430">
        <f t="shared" si="107"/>
        <v>0.8645963034232953</v>
      </c>
      <c r="S163" s="672"/>
      <c r="T163" s="89">
        <v>0.36458333333333331</v>
      </c>
      <c r="U163" s="89">
        <v>0.45763888888888887</v>
      </c>
      <c r="V163" s="437">
        <v>7</v>
      </c>
      <c r="W163" s="90">
        <f t="shared" si="108"/>
        <v>134</v>
      </c>
      <c r="X163" s="96"/>
      <c r="Y163" s="96"/>
      <c r="Z163" s="54"/>
      <c r="AA163" s="54"/>
      <c r="AB163" s="673"/>
      <c r="AC163" s="673"/>
      <c r="AD163" s="437"/>
      <c r="AE163" s="437"/>
      <c r="AF163" s="54">
        <f t="shared" si="61"/>
        <v>-374.93283582089543</v>
      </c>
      <c r="AG163" s="430">
        <f t="shared" si="62"/>
        <v>0.8645963034232953</v>
      </c>
      <c r="AH163" s="672"/>
    </row>
    <row r="164" spans="1:36" ht="19.2" customHeight="1">
      <c r="A164" s="671"/>
      <c r="B164" s="121" t="s">
        <v>126</v>
      </c>
      <c r="C164" s="121"/>
      <c r="D164" s="273" t="s">
        <v>90</v>
      </c>
      <c r="E164" s="273"/>
      <c r="F164" s="349">
        <v>35.83</v>
      </c>
      <c r="G164" s="57">
        <v>2112</v>
      </c>
      <c r="H164" s="84">
        <f t="shared" si="104"/>
        <v>75672.959999999992</v>
      </c>
      <c r="I164" s="437"/>
      <c r="J164" s="87">
        <v>11</v>
      </c>
      <c r="K164" s="57">
        <v>2250</v>
      </c>
      <c r="L164" s="86">
        <v>204.54545454545453</v>
      </c>
      <c r="M164" s="87">
        <v>11</v>
      </c>
      <c r="N164" s="57">
        <f t="shared" si="105"/>
        <v>2184.8275862068954</v>
      </c>
      <c r="O164" s="86">
        <f t="shared" si="106"/>
        <v>198.6206896551723</v>
      </c>
      <c r="P164" s="54">
        <f>M164-J164</f>
        <v>0</v>
      </c>
      <c r="Q164" s="88">
        <f>O164-L164</f>
        <v>-5.9247648902822334</v>
      </c>
      <c r="R164" s="430">
        <f>O164/L164</f>
        <v>0.97103448275862014</v>
      </c>
      <c r="S164" s="672"/>
      <c r="T164" s="89">
        <v>0.49791666666666662</v>
      </c>
      <c r="U164" s="89">
        <v>0.53819444444444442</v>
      </c>
      <c r="V164" s="437">
        <v>5</v>
      </c>
      <c r="W164" s="90">
        <f t="shared" si="108"/>
        <v>58.000000000000036</v>
      </c>
      <c r="X164" s="96"/>
      <c r="Y164" s="96"/>
      <c r="Z164" s="54"/>
      <c r="AA164" s="54"/>
      <c r="AB164" s="673"/>
      <c r="AC164" s="673"/>
      <c r="AD164" s="437"/>
      <c r="AE164" s="437"/>
      <c r="AF164" s="54">
        <f>N164-K164</f>
        <v>-65.172413793104624</v>
      </c>
      <c r="AG164" s="430">
        <f>N164/K164</f>
        <v>0.97103448275862014</v>
      </c>
      <c r="AH164" s="672"/>
    </row>
    <row r="165" spans="1:36" ht="19.2" customHeight="1">
      <c r="A165" s="671"/>
      <c r="B165" s="121" t="s">
        <v>126</v>
      </c>
      <c r="C165" s="81"/>
      <c r="D165" s="82" t="s">
        <v>88</v>
      </c>
      <c r="E165" s="83"/>
      <c r="F165" s="346">
        <v>34.229999999999997</v>
      </c>
      <c r="G165" s="57">
        <v>1150.4499999999998</v>
      </c>
      <c r="H165" s="84">
        <f t="shared" si="104"/>
        <v>39379.903499999993</v>
      </c>
      <c r="I165" s="437"/>
      <c r="J165" s="87">
        <v>13</v>
      </c>
      <c r="K165" s="57">
        <v>2250</v>
      </c>
      <c r="L165" s="86">
        <v>173.07692307692307</v>
      </c>
      <c r="M165" s="87">
        <v>13</v>
      </c>
      <c r="N165" s="57">
        <f t="shared" si="105"/>
        <v>2157.0937499999968</v>
      </c>
      <c r="O165" s="86">
        <f t="shared" si="106"/>
        <v>165.93028846153823</v>
      </c>
      <c r="P165" s="54">
        <f t="shared" ref="P165" si="109">M165-J165</f>
        <v>0</v>
      </c>
      <c r="Q165" s="88">
        <f t="shared" ref="Q165" si="110">O165-L165</f>
        <v>-7.1466346153848406</v>
      </c>
      <c r="R165" s="430">
        <f t="shared" ref="R165" si="111">O165/L165</f>
        <v>0.95870833333333205</v>
      </c>
      <c r="S165" s="672"/>
      <c r="T165" s="89">
        <v>0.54305555555555551</v>
      </c>
      <c r="U165" s="89">
        <v>0.56527777777777777</v>
      </c>
      <c r="V165" s="437">
        <v>7</v>
      </c>
      <c r="W165" s="90">
        <f t="shared" si="108"/>
        <v>32.000000000000043</v>
      </c>
      <c r="X165" s="96"/>
      <c r="Y165" s="96"/>
      <c r="Z165" s="54"/>
      <c r="AA165" s="54"/>
      <c r="AB165" s="673"/>
      <c r="AC165" s="673"/>
      <c r="AD165" s="437"/>
      <c r="AE165" s="437">
        <v>1</v>
      </c>
      <c r="AF165" s="54">
        <f>N165-K165</f>
        <v>-92.906250000003183</v>
      </c>
      <c r="AG165" s="430">
        <f>N165/K165</f>
        <v>0.95870833333333194</v>
      </c>
      <c r="AH165" s="672"/>
    </row>
    <row r="166" spans="1:36" ht="19.2" customHeight="1">
      <c r="A166" s="671"/>
      <c r="B166" s="121" t="s">
        <v>126</v>
      </c>
      <c r="C166" s="121"/>
      <c r="D166" s="82" t="s">
        <v>206</v>
      </c>
      <c r="E166" s="83"/>
      <c r="F166" s="349">
        <v>30.13</v>
      </c>
      <c r="G166" s="57">
        <v>1399.8</v>
      </c>
      <c r="H166" s="84">
        <f t="shared" si="104"/>
        <v>42175.973999999995</v>
      </c>
      <c r="I166" s="437">
        <v>1</v>
      </c>
      <c r="J166" s="87">
        <v>18</v>
      </c>
      <c r="K166" s="57">
        <v>1200</v>
      </c>
      <c r="L166" s="86">
        <v>66.666666666666671</v>
      </c>
      <c r="M166" s="87">
        <v>18</v>
      </c>
      <c r="N166" s="57">
        <f t="shared" si="105"/>
        <v>1199.8285714285703</v>
      </c>
      <c r="O166" s="86">
        <f t="shared" si="106"/>
        <v>66.657142857142787</v>
      </c>
      <c r="P166" s="54">
        <f>M166-J166</f>
        <v>0</v>
      </c>
      <c r="Q166" s="88">
        <f>O166-L166</f>
        <v>-9.523809523884097E-3</v>
      </c>
      <c r="R166" s="430">
        <f>O166/L166</f>
        <v>0.99985714285714178</v>
      </c>
      <c r="S166" s="672"/>
      <c r="T166" s="89">
        <v>0.58055555555555549</v>
      </c>
      <c r="U166" s="89">
        <v>0.62916666666666665</v>
      </c>
      <c r="V166" s="437">
        <v>22</v>
      </c>
      <c r="W166" s="90">
        <f t="shared" si="108"/>
        <v>70.000000000000071</v>
      </c>
      <c r="X166" s="96">
        <v>0.56944444444444442</v>
      </c>
      <c r="Y166" s="96">
        <v>0.57986111111111105</v>
      </c>
      <c r="Z166" s="54"/>
      <c r="AA166" s="54"/>
      <c r="AB166" s="673"/>
      <c r="AC166" s="673"/>
      <c r="AD166" s="437"/>
      <c r="AE166" s="437"/>
      <c r="AF166" s="54">
        <f>N166-K166</f>
        <v>-0.17142857142971479</v>
      </c>
      <c r="AG166" s="430">
        <f>N166/K166</f>
        <v>0.99985714285714189</v>
      </c>
      <c r="AH166" s="672"/>
    </row>
    <row r="167" spans="1:36" ht="19.2" customHeight="1">
      <c r="A167" s="671"/>
      <c r="B167" s="121">
        <v>0</v>
      </c>
      <c r="C167" s="121"/>
      <c r="D167" s="251"/>
      <c r="E167" s="60"/>
      <c r="F167" s="349" t="s">
        <v>128</v>
      </c>
      <c r="G167" s="57"/>
      <c r="H167" s="84">
        <f t="shared" si="104"/>
        <v>0</v>
      </c>
      <c r="I167" s="437"/>
      <c r="J167" s="87"/>
      <c r="K167" s="57"/>
      <c r="L167" s="86"/>
      <c r="M167" s="87"/>
      <c r="N167" s="57"/>
      <c r="O167" s="86"/>
      <c r="P167" s="54"/>
      <c r="Q167" s="88"/>
      <c r="R167" s="430"/>
      <c r="S167" s="672"/>
      <c r="T167" s="89"/>
      <c r="U167" s="89"/>
      <c r="V167" s="437"/>
      <c r="W167" s="90">
        <f t="shared" si="108"/>
        <v>0</v>
      </c>
      <c r="X167" s="96"/>
      <c r="Y167" s="96"/>
      <c r="Z167" s="54"/>
      <c r="AA167" s="54"/>
      <c r="AB167" s="673"/>
      <c r="AC167" s="673"/>
      <c r="AD167" s="437"/>
      <c r="AE167" s="437"/>
      <c r="AF167" s="54">
        <f t="shared" si="61"/>
        <v>0</v>
      </c>
      <c r="AG167" s="430" t="e">
        <f t="shared" si="62"/>
        <v>#DIV/0!</v>
      </c>
      <c r="AH167" s="672"/>
    </row>
    <row r="168" spans="1:36" ht="19.2" customHeight="1">
      <c r="A168" s="671"/>
      <c r="B168" s="121">
        <v>0</v>
      </c>
      <c r="C168" s="121"/>
      <c r="D168" s="251"/>
      <c r="E168" s="60"/>
      <c r="F168" s="349" t="s">
        <v>128</v>
      </c>
      <c r="G168" s="57"/>
      <c r="H168" s="84">
        <f t="shared" si="104"/>
        <v>0</v>
      </c>
      <c r="I168" s="437"/>
      <c r="J168" s="87"/>
      <c r="K168" s="57"/>
      <c r="L168" s="86"/>
      <c r="M168" s="87"/>
      <c r="N168" s="57"/>
      <c r="O168" s="86"/>
      <c r="P168" s="54"/>
      <c r="Q168" s="88"/>
      <c r="R168" s="430"/>
      <c r="S168" s="672"/>
      <c r="T168" s="89"/>
      <c r="U168" s="89"/>
      <c r="V168" s="437"/>
      <c r="W168" s="90">
        <f t="shared" si="108"/>
        <v>0</v>
      </c>
      <c r="X168" s="96"/>
      <c r="Y168" s="96"/>
      <c r="Z168" s="54"/>
      <c r="AA168" s="54"/>
      <c r="AB168" s="673"/>
      <c r="AC168" s="673"/>
      <c r="AD168" s="437"/>
      <c r="AE168" s="437"/>
      <c r="AF168" s="54">
        <f t="shared" si="61"/>
        <v>0</v>
      </c>
      <c r="AG168" s="430" t="e">
        <f t="shared" si="62"/>
        <v>#DIV/0!</v>
      </c>
      <c r="AH168" s="672"/>
    </row>
    <row r="169" spans="1:36" ht="19.2" customHeight="1">
      <c r="A169" s="671"/>
      <c r="B169" s="121">
        <v>0</v>
      </c>
      <c r="C169" s="121"/>
      <c r="D169" s="251"/>
      <c r="E169" s="60"/>
      <c r="F169" s="349" t="s">
        <v>128</v>
      </c>
      <c r="G169" s="57"/>
      <c r="H169" s="84">
        <f t="shared" si="104"/>
        <v>0</v>
      </c>
      <c r="I169" s="437"/>
      <c r="J169" s="87"/>
      <c r="K169" s="57"/>
      <c r="L169" s="86"/>
      <c r="M169" s="87"/>
      <c r="N169" s="57"/>
      <c r="O169" s="86"/>
      <c r="P169" s="54"/>
      <c r="Q169" s="88"/>
      <c r="R169" s="430"/>
      <c r="S169" s="672"/>
      <c r="T169" s="89"/>
      <c r="U169" s="89"/>
      <c r="V169" s="437" t="s">
        <v>15</v>
      </c>
      <c r="W169" s="90">
        <f t="shared" si="108"/>
        <v>0</v>
      </c>
      <c r="X169" s="96"/>
      <c r="Y169" s="96"/>
      <c r="Z169" s="54"/>
      <c r="AA169" s="54"/>
      <c r="AB169" s="673"/>
      <c r="AC169" s="673"/>
      <c r="AD169" s="437"/>
      <c r="AE169" s="437"/>
      <c r="AF169" s="54">
        <f t="shared" si="61"/>
        <v>0</v>
      </c>
      <c r="AG169" s="430" t="e">
        <f t="shared" si="62"/>
        <v>#DIV/0!</v>
      </c>
      <c r="AH169" s="672"/>
    </row>
    <row r="170" spans="1:36" ht="19.2" customHeight="1">
      <c r="A170" s="671"/>
      <c r="B170" s="121">
        <v>0</v>
      </c>
      <c r="C170" s="121"/>
      <c r="D170" s="251"/>
      <c r="E170" s="60"/>
      <c r="F170" s="349" t="s">
        <v>128</v>
      </c>
      <c r="G170" s="57"/>
      <c r="H170" s="84">
        <f t="shared" si="104"/>
        <v>0</v>
      </c>
      <c r="I170" s="437"/>
      <c r="J170" s="87"/>
      <c r="K170" s="57"/>
      <c r="L170" s="86"/>
      <c r="M170" s="87"/>
      <c r="N170" s="57"/>
      <c r="O170" s="86"/>
      <c r="P170" s="54"/>
      <c r="Q170" s="88"/>
      <c r="R170" s="430"/>
      <c r="S170" s="672"/>
      <c r="T170" s="89"/>
      <c r="U170" s="89"/>
      <c r="V170" s="437"/>
      <c r="W170" s="90">
        <f t="shared" si="108"/>
        <v>0</v>
      </c>
      <c r="X170" s="96"/>
      <c r="Y170" s="96"/>
      <c r="Z170" s="54"/>
      <c r="AA170" s="54"/>
      <c r="AB170" s="673"/>
      <c r="AC170" s="673"/>
      <c r="AD170" s="437"/>
      <c r="AE170" s="437"/>
      <c r="AF170" s="54">
        <f t="shared" si="61"/>
        <v>0</v>
      </c>
      <c r="AG170" s="430" t="e">
        <f t="shared" si="62"/>
        <v>#DIV/0!</v>
      </c>
      <c r="AH170" s="672"/>
    </row>
    <row r="171" spans="1:36" ht="19.2" customHeight="1">
      <c r="A171" s="671"/>
      <c r="B171" s="121">
        <v>0</v>
      </c>
      <c r="C171" s="121"/>
      <c r="D171" s="251"/>
      <c r="E171" s="60"/>
      <c r="F171" s="349" t="s">
        <v>128</v>
      </c>
      <c r="G171" s="57"/>
      <c r="H171" s="84">
        <f t="shared" si="97"/>
        <v>0</v>
      </c>
      <c r="I171" s="437"/>
      <c r="J171" s="87"/>
      <c r="K171" s="57"/>
      <c r="L171" s="86"/>
      <c r="M171" s="87"/>
      <c r="N171" s="57"/>
      <c r="O171" s="86"/>
      <c r="P171" s="54"/>
      <c r="Q171" s="88"/>
      <c r="R171" s="430"/>
      <c r="S171" s="672"/>
      <c r="T171" s="89"/>
      <c r="U171" s="89"/>
      <c r="V171" s="437"/>
      <c r="W171" s="90">
        <f t="shared" si="108"/>
        <v>0</v>
      </c>
      <c r="X171" s="96"/>
      <c r="Y171" s="96"/>
      <c r="Z171" s="54"/>
      <c r="AA171" s="54"/>
      <c r="AB171" s="673"/>
      <c r="AC171" s="673"/>
      <c r="AD171" s="437"/>
      <c r="AE171" s="437"/>
      <c r="AF171" s="54"/>
      <c r="AG171" s="430"/>
      <c r="AH171" s="672"/>
    </row>
    <row r="172" spans="1:36" ht="19.2" customHeight="1">
      <c r="A172" s="671"/>
      <c r="B172" s="121">
        <v>0</v>
      </c>
      <c r="C172" s="121"/>
      <c r="D172" s="251"/>
      <c r="E172" s="60"/>
      <c r="F172" s="349" t="s">
        <v>128</v>
      </c>
      <c r="G172" s="57"/>
      <c r="H172" s="84">
        <f t="shared" si="97"/>
        <v>0</v>
      </c>
      <c r="I172" s="437"/>
      <c r="J172" s="87"/>
      <c r="K172" s="57"/>
      <c r="L172" s="86"/>
      <c r="M172" s="87"/>
      <c r="N172" s="57"/>
      <c r="O172" s="86"/>
      <c r="P172" s="54"/>
      <c r="Q172" s="88"/>
      <c r="R172" s="430"/>
      <c r="S172" s="672"/>
      <c r="T172" s="89"/>
      <c r="U172" s="89"/>
      <c r="V172" s="437"/>
      <c r="W172" s="90">
        <f t="shared" si="108"/>
        <v>0</v>
      </c>
      <c r="X172" s="96"/>
      <c r="Y172" s="96"/>
      <c r="Z172" s="54"/>
      <c r="AA172" s="54"/>
      <c r="AB172" s="673"/>
      <c r="AC172" s="673"/>
      <c r="AD172" s="437"/>
      <c r="AE172" s="437"/>
      <c r="AF172" s="54"/>
      <c r="AG172" s="430"/>
      <c r="AH172" s="672"/>
    </row>
    <row r="173" spans="1:36" ht="19.2" customHeight="1">
      <c r="A173" s="671"/>
      <c r="B173" s="121">
        <v>0</v>
      </c>
      <c r="C173" s="100" t="s">
        <v>326</v>
      </c>
      <c r="D173" s="669" t="s">
        <v>301</v>
      </c>
      <c r="E173" s="669"/>
      <c r="F173" s="347"/>
      <c r="G173" s="101"/>
      <c r="H173" s="102"/>
      <c r="I173" s="103"/>
      <c r="J173" s="101">
        <v>13.833333333333334</v>
      </c>
      <c r="K173" s="101">
        <v>1986.5</v>
      </c>
      <c r="L173" s="104">
        <v>160.15543900543898</v>
      </c>
      <c r="M173" s="101">
        <f t="shared" ref="M173:O173" si="112">AVERAGE(M161:M172)</f>
        <v>13.833333333333334</v>
      </c>
      <c r="N173" s="101">
        <f t="shared" si="112"/>
        <v>1879.061881447006</v>
      </c>
      <c r="O173" s="104">
        <f t="shared" si="112"/>
        <v>150.36686379554831</v>
      </c>
      <c r="P173" s="54">
        <f>M173-J173</f>
        <v>0</v>
      </c>
      <c r="Q173" s="88">
        <f>O173-L173</f>
        <v>-9.7885752098906664</v>
      </c>
      <c r="R173" s="105">
        <f>O173/L173</f>
        <v>0.93888078187867074</v>
      </c>
      <c r="S173" s="672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670"/>
      <c r="AC173" s="670"/>
      <c r="AD173" s="107">
        <f>SUM(AD161:AD172)</f>
        <v>1</v>
      </c>
      <c r="AE173" s="107">
        <f>SUM(AE161:AE172)</f>
        <v>1</v>
      </c>
      <c r="AF173" s="54">
        <f t="shared" si="61"/>
        <v>-107.43811855299396</v>
      </c>
      <c r="AG173" s="430">
        <f t="shared" si="62"/>
        <v>0.94591587286534407</v>
      </c>
      <c r="AH173" s="672"/>
    </row>
    <row r="174" spans="1:36" ht="19.2" customHeight="1">
      <c r="AJ174" s="275" t="s">
        <v>91</v>
      </c>
    </row>
    <row r="175" spans="1:36" ht="19.2" customHeight="1">
      <c r="AJ175" s="275" t="s">
        <v>92</v>
      </c>
    </row>
    <row r="176" spans="1:36" ht="19.2" customHeight="1">
      <c r="AJ176" s="275" t="s">
        <v>327</v>
      </c>
    </row>
    <row r="177" spans="23:36" ht="19.2" customHeight="1">
      <c r="W177" s="33"/>
      <c r="AJ177" s="275" t="s">
        <v>93</v>
      </c>
    </row>
    <row r="178" spans="23:36" ht="19.2" customHeight="1">
      <c r="W178" s="33"/>
      <c r="AJ178" s="275" t="s">
        <v>94</v>
      </c>
    </row>
    <row r="179" spans="23:36">
      <c r="W179" s="33"/>
      <c r="AJ179" s="275" t="s">
        <v>95</v>
      </c>
    </row>
    <row r="180" spans="23:36">
      <c r="W180" s="33"/>
      <c r="AJ180" s="275" t="s">
        <v>96</v>
      </c>
    </row>
    <row r="181" spans="23:36">
      <c r="W181" s="33"/>
      <c r="AJ181" s="275" t="s">
        <v>97</v>
      </c>
    </row>
    <row r="182" spans="23:36">
      <c r="W182" s="33"/>
      <c r="AJ182" s="275" t="s">
        <v>98</v>
      </c>
    </row>
    <row r="183" spans="23:36">
      <c r="W183" s="33"/>
      <c r="AJ183" s="275" t="s">
        <v>99</v>
      </c>
    </row>
    <row r="184" spans="23:36">
      <c r="W184" s="33"/>
      <c r="AJ184" s="275" t="s">
        <v>100</v>
      </c>
    </row>
    <row r="185" spans="23:36">
      <c r="W185" s="33"/>
      <c r="AJ185" s="275" t="s">
        <v>328</v>
      </c>
    </row>
    <row r="186" spans="23:36">
      <c r="W186" s="33"/>
      <c r="AJ186" s="275" t="s">
        <v>329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175" priority="4" operator="greaterThan">
      <formula>0</formula>
    </cfRule>
  </conditionalFormatting>
  <conditionalFormatting sqref="Q5:Q173">
    <cfRule type="cellIs" dxfId="174" priority="7" operator="lessThan">
      <formula>0</formula>
    </cfRule>
  </conditionalFormatting>
  <conditionalFormatting sqref="R5:R173">
    <cfRule type="cellIs" dxfId="173" priority="5" operator="greaterThan">
      <formula>1</formula>
    </cfRule>
    <cfRule type="cellIs" dxfId="172" priority="6" operator="lessThan">
      <formula>0.8</formula>
    </cfRule>
  </conditionalFormatting>
  <conditionalFormatting sqref="S5:S11">
    <cfRule type="cellIs" dxfId="171" priority="20" operator="lessThan">
      <formula>0.8</formula>
    </cfRule>
  </conditionalFormatting>
  <conditionalFormatting sqref="S21:S29 AH21:AH29">
    <cfRule type="cellIs" dxfId="170" priority="13" operator="lessThan">
      <formula>0.8</formula>
    </cfRule>
  </conditionalFormatting>
  <conditionalFormatting sqref="S43:S72">
    <cfRule type="cellIs" dxfId="169" priority="10" operator="lessThan">
      <formula>0.8</formula>
    </cfRule>
  </conditionalFormatting>
  <conditionalFormatting sqref="S82:S91 AH82:AH91">
    <cfRule type="cellIs" dxfId="168" priority="12" operator="lessThan">
      <formula>0.8</formula>
    </cfRule>
  </conditionalFormatting>
  <conditionalFormatting sqref="S95:S104">
    <cfRule type="cellIs" dxfId="167" priority="8" operator="lessThan">
      <formula>0.8</formula>
    </cfRule>
  </conditionalFormatting>
  <conditionalFormatting sqref="S108:S109">
    <cfRule type="cellIs" dxfId="166" priority="9" operator="lessThan">
      <formula>0.8</formula>
    </cfRule>
  </conditionalFormatting>
  <conditionalFormatting sqref="S122:S135 AH135">
    <cfRule type="cellIs" dxfId="165" priority="21" operator="lessThan">
      <formula>0.8</formula>
    </cfRule>
  </conditionalFormatting>
  <conditionalFormatting sqref="S137 AH137">
    <cfRule type="cellIs" dxfId="164" priority="17" operator="lessThan">
      <formula>0.8</formula>
    </cfRule>
  </conditionalFormatting>
  <conditionalFormatting sqref="S139:S146 AH139:AH146">
    <cfRule type="cellIs" dxfId="163" priority="11" operator="lessThan">
      <formula>0.8</formula>
    </cfRule>
  </conditionalFormatting>
  <conditionalFormatting sqref="S148:S150">
    <cfRule type="cellIs" dxfId="162" priority="14" operator="lessThan">
      <formula>0.8</formula>
    </cfRule>
  </conditionalFormatting>
  <conditionalFormatting sqref="S161">
    <cfRule type="cellIs" dxfId="161" priority="25" operator="lessThan">
      <formula>0.8</formula>
    </cfRule>
  </conditionalFormatting>
  <conditionalFormatting sqref="AF5:AF173">
    <cfRule type="cellIs" dxfId="160" priority="3" operator="lessThan">
      <formula>0</formula>
    </cfRule>
  </conditionalFormatting>
  <conditionalFormatting sqref="AG5:AG173">
    <cfRule type="cellIs" dxfId="159" priority="1" operator="greaterThan">
      <formula>1</formula>
    </cfRule>
    <cfRule type="cellIs" dxfId="158" priority="2" operator="lessThan">
      <formula>0.8</formula>
    </cfRule>
  </conditionalFormatting>
  <conditionalFormatting sqref="AH5:AH9 S17:S18 AH17:AH18 AH57 AH95">
    <cfRule type="cellIs" dxfId="157" priority="26" operator="lessThan">
      <formula>0.8</formula>
    </cfRule>
  </conditionalFormatting>
  <conditionalFormatting sqref="AH31 S31:S32">
    <cfRule type="cellIs" dxfId="156" priority="22" operator="lessThan">
      <formula>0.8</formula>
    </cfRule>
  </conditionalFormatting>
  <conditionalFormatting sqref="AH70:AH72">
    <cfRule type="cellIs" dxfId="155" priority="19" operator="lessThan">
      <formula>0.8</formula>
    </cfRule>
  </conditionalFormatting>
  <conditionalFormatting sqref="AH97:AH98">
    <cfRule type="cellIs" dxfId="154" priority="18" operator="lessThan">
      <formula>0.8</formula>
    </cfRule>
  </conditionalFormatting>
  <conditionalFormatting sqref="AH100:AH107">
    <cfRule type="cellIs" dxfId="153" priority="16" operator="lessThan">
      <formula>0.8</formula>
    </cfRule>
  </conditionalFormatting>
  <conditionalFormatting sqref="AH109">
    <cfRule type="cellIs" dxfId="152" priority="24" operator="lessThan">
      <formula>0.8</formula>
    </cfRule>
  </conditionalFormatting>
  <conditionalFormatting sqref="AH148">
    <cfRule type="cellIs" dxfId="151" priority="23" operator="lessThan">
      <formula>0.8</formula>
    </cfRule>
  </conditionalFormatting>
  <conditionalFormatting sqref="AH150">
    <cfRule type="cellIs" dxfId="15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O25" sqref="O25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601" t="s">
        <v>0</v>
      </c>
      <c r="C1" s="602"/>
      <c r="D1" s="602"/>
      <c r="E1" s="602"/>
      <c r="F1" s="602"/>
      <c r="G1" s="602"/>
      <c r="H1" s="602"/>
      <c r="I1" s="602"/>
      <c r="J1" s="602"/>
      <c r="K1" s="602"/>
      <c r="L1" s="602"/>
      <c r="M1" s="603"/>
      <c r="N1" s="1"/>
      <c r="O1" s="1"/>
    </row>
    <row r="2" spans="2:17" ht="27.75" customHeight="1">
      <c r="B2" s="601"/>
      <c r="C2" s="602"/>
      <c r="D2" s="602"/>
      <c r="E2" s="602"/>
      <c r="F2" s="602"/>
      <c r="G2" s="602"/>
      <c r="H2" s="602"/>
      <c r="I2" s="602"/>
      <c r="J2" s="602"/>
      <c r="K2" s="602"/>
      <c r="L2" s="602"/>
      <c r="M2" s="603"/>
      <c r="N2" s="1"/>
      <c r="O2" s="1"/>
    </row>
    <row r="3" spans="2:17" ht="46.5" customHeight="1">
      <c r="B3" s="594" t="s">
        <v>1</v>
      </c>
      <c r="C3" s="555"/>
      <c r="D3" s="604" t="s">
        <v>330</v>
      </c>
      <c r="E3" s="605"/>
      <c r="F3" s="594" t="s">
        <v>2</v>
      </c>
      <c r="G3" s="555"/>
      <c r="H3" s="606">
        <v>253690.80000000002</v>
      </c>
      <c r="I3" s="607"/>
      <c r="J3" s="594" t="s">
        <v>3</v>
      </c>
      <c r="K3" s="555"/>
      <c r="L3" s="599">
        <v>8163481.6914384868</v>
      </c>
      <c r="M3" s="600"/>
      <c r="N3" s="359"/>
      <c r="O3" s="359"/>
      <c r="P3" s="359"/>
      <c r="Q3" s="359"/>
    </row>
    <row r="4" spans="2:17" ht="24" customHeight="1">
      <c r="B4" s="594" t="s">
        <v>130</v>
      </c>
      <c r="C4" s="555"/>
      <c r="D4" s="586" t="s">
        <v>130</v>
      </c>
      <c r="E4" s="587"/>
      <c r="F4" s="597" t="s">
        <v>131</v>
      </c>
      <c r="G4" s="598"/>
      <c r="H4" s="597" t="s">
        <v>132</v>
      </c>
      <c r="I4" s="598"/>
      <c r="J4" s="597" t="s">
        <v>133</v>
      </c>
      <c r="K4" s="598"/>
      <c r="L4" s="599" t="s">
        <v>134</v>
      </c>
      <c r="M4" s="600"/>
      <c r="N4" s="580" t="s">
        <v>4</v>
      </c>
      <c r="O4" s="581"/>
      <c r="P4" s="581" t="s">
        <v>5</v>
      </c>
      <c r="Q4" s="581"/>
    </row>
    <row r="5" spans="2:17" ht="24" customHeight="1">
      <c r="B5" s="582" t="s">
        <v>35</v>
      </c>
      <c r="C5" s="561"/>
      <c r="D5" s="586" t="s">
        <v>135</v>
      </c>
      <c r="E5" s="587"/>
      <c r="F5" s="586" t="s">
        <v>6</v>
      </c>
      <c r="G5" s="587"/>
      <c r="H5" s="588" t="s">
        <v>7</v>
      </c>
      <c r="I5" s="589"/>
      <c r="J5" s="590" t="s">
        <v>8</v>
      </c>
      <c r="K5" s="591"/>
      <c r="L5" s="592" t="s">
        <v>9</v>
      </c>
      <c r="M5" s="593"/>
      <c r="N5" s="3" t="s">
        <v>175</v>
      </c>
      <c r="O5" s="4" t="s">
        <v>176</v>
      </c>
      <c r="P5" s="3" t="s">
        <v>175</v>
      </c>
      <c r="Q5" s="4" t="s">
        <v>177</v>
      </c>
    </row>
    <row r="6" spans="2:17" ht="39.6" customHeight="1">
      <c r="B6" s="583"/>
      <c r="C6" s="584"/>
      <c r="D6" s="594" t="s">
        <v>10</v>
      </c>
      <c r="E6" s="555"/>
      <c r="F6" s="595">
        <f>AVERAGE(D13:O13,P13:Q13,D30:E30,G30:H30,J30:M30)</f>
        <v>381.22044209380294</v>
      </c>
      <c r="G6" s="596"/>
      <c r="H6" s="574">
        <f>AVERAGE(D13:P13,Q13)</f>
        <v>144.06069471883316</v>
      </c>
      <c r="I6" s="575"/>
      <c r="J6" s="574">
        <f>AVERAGE(D30:E30,G30:H30)</f>
        <v>711.25</v>
      </c>
      <c r="K6" s="575"/>
      <c r="L6" s="576">
        <f>AVERAGE(J30:M30)</f>
        <v>881.25</v>
      </c>
      <c r="M6" s="577"/>
      <c r="N6" s="578">
        <v>0</v>
      </c>
      <c r="O6" s="563">
        <v>0</v>
      </c>
      <c r="P6" s="579">
        <v>7</v>
      </c>
      <c r="Q6" s="563">
        <v>5</v>
      </c>
    </row>
    <row r="7" spans="2:17" s="5" customFormat="1" ht="39.6" customHeight="1">
      <c r="B7" s="583"/>
      <c r="C7" s="584"/>
      <c r="D7" s="564" t="s">
        <v>11</v>
      </c>
      <c r="E7" s="565"/>
      <c r="F7" s="566">
        <f>AVERAGE(D14:O14,P14:Q14,D31:E31,J31:M31,G31:H31)</f>
        <v>362.70821218487964</v>
      </c>
      <c r="G7" s="567"/>
      <c r="H7" s="568">
        <f>AVERAGE(D14:P14,Q14)</f>
        <v>129.89054204006536</v>
      </c>
      <c r="I7" s="569"/>
      <c r="J7" s="568">
        <f>AVERAGE(D31:E31,G31:H31)</f>
        <v>717.09677250477728</v>
      </c>
      <c r="K7" s="569"/>
      <c r="L7" s="570">
        <f>AVERAGE(J31:M31)</f>
        <v>823.18149737183228</v>
      </c>
      <c r="M7" s="571"/>
      <c r="N7" s="578"/>
      <c r="O7" s="563"/>
      <c r="P7" s="579"/>
      <c r="Q7" s="563"/>
    </row>
    <row r="8" spans="2:17" s="5" customFormat="1" ht="39.6" customHeight="1">
      <c r="B8" s="585"/>
      <c r="C8" s="562"/>
      <c r="D8" s="564" t="s">
        <v>12</v>
      </c>
      <c r="E8" s="565"/>
      <c r="F8" s="572">
        <f>AVERAGE(D15:O15,P15:Q15,D32:E32,G32:H32,J32:M32)</f>
        <v>0.91674709184275993</v>
      </c>
      <c r="G8" s="573"/>
      <c r="H8" s="572">
        <f>AVERAGE(D15:O15,P15:Q15)</f>
        <v>0.89708128454033764</v>
      </c>
      <c r="I8" s="573"/>
      <c r="J8" s="572">
        <f>AVERAGE(D32:E32,G32:H32)</f>
        <v>0.96592755930223162</v>
      </c>
      <c r="K8" s="573"/>
      <c r="L8" s="572">
        <f>AVERAGE(J32:M32)</f>
        <v>0.93639694994176659</v>
      </c>
      <c r="M8" s="573"/>
      <c r="N8" s="578"/>
      <c r="O8" s="563"/>
      <c r="P8" s="579"/>
      <c r="Q8" s="563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551" t="s">
        <v>139</v>
      </c>
      <c r="C10" s="557"/>
      <c r="D10" s="558" t="s">
        <v>140</v>
      </c>
      <c r="E10" s="559"/>
      <c r="F10" s="559"/>
      <c r="G10" s="559"/>
      <c r="H10" s="559"/>
      <c r="I10" s="559"/>
      <c r="J10" s="559"/>
      <c r="K10" s="559"/>
      <c r="L10" s="559"/>
      <c r="M10" s="559"/>
      <c r="N10" s="559"/>
      <c r="O10" s="559"/>
      <c r="P10" s="559"/>
      <c r="Q10" s="560"/>
    </row>
    <row r="11" spans="2:17" ht="17.25" customHeight="1">
      <c r="B11" s="542" t="s">
        <v>141</v>
      </c>
      <c r="C11" s="561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" customHeight="1">
      <c r="B12" s="544"/>
      <c r="C12" s="562"/>
      <c r="D12" s="14" t="s">
        <v>142</v>
      </c>
      <c r="E12" s="360" t="s">
        <v>143</v>
      </c>
      <c r="F12" s="360" t="s">
        <v>144</v>
      </c>
      <c r="G12" s="360" t="s">
        <v>145</v>
      </c>
      <c r="H12" s="14" t="s">
        <v>146</v>
      </c>
      <c r="I12" s="360" t="s">
        <v>147</v>
      </c>
      <c r="J12" s="360" t="s">
        <v>148</v>
      </c>
      <c r="K12" s="360" t="s">
        <v>149</v>
      </c>
      <c r="L12" s="360" t="s">
        <v>150</v>
      </c>
      <c r="M12" s="360" t="s">
        <v>151</v>
      </c>
      <c r="N12" s="360" t="s">
        <v>152</v>
      </c>
      <c r="O12" s="360" t="s">
        <v>153</v>
      </c>
      <c r="P12" s="360" t="s">
        <v>154</v>
      </c>
      <c r="Q12" s="361" t="s">
        <v>13</v>
      </c>
    </row>
    <row r="13" spans="2:17" ht="39.9" customHeight="1">
      <c r="B13" s="546" t="s">
        <v>35</v>
      </c>
      <c r="C13" s="14" t="s">
        <v>155</v>
      </c>
      <c r="D13" s="19">
        <v>138.67969292980351</v>
      </c>
      <c r="E13" s="19">
        <v>117.6147603485839</v>
      </c>
      <c r="F13" s="19">
        <v>149.8515975123947</v>
      </c>
      <c r="G13" s="19">
        <v>314.46258503401361</v>
      </c>
      <c r="H13" s="19">
        <v>228.57142857142858</v>
      </c>
      <c r="I13" s="19">
        <v>87.333290333677326</v>
      </c>
      <c r="J13" s="19">
        <v>97.653405572755418</v>
      </c>
      <c r="K13" s="19">
        <v>74.808251096491219</v>
      </c>
      <c r="L13" s="19">
        <v>83.205091159270722</v>
      </c>
      <c r="M13" s="19">
        <v>80.88570964448158</v>
      </c>
      <c r="N13" s="19">
        <v>88.025958482808335</v>
      </c>
      <c r="O13" s="19">
        <v>226.9047619047619</v>
      </c>
      <c r="P13" s="19">
        <v>178.85319347319347</v>
      </c>
      <c r="Q13" s="21">
        <v>150</v>
      </c>
    </row>
    <row r="14" spans="2:17" ht="39.9" customHeight="1">
      <c r="B14" s="547"/>
      <c r="C14" s="14" t="s">
        <v>156</v>
      </c>
      <c r="D14" s="19">
        <v>128.5267253623891</v>
      </c>
      <c r="E14" s="19">
        <v>101.23560843310214</v>
      </c>
      <c r="F14" s="19">
        <v>127.90105105770482</v>
      </c>
      <c r="G14" s="19">
        <v>285.32381144388626</v>
      </c>
      <c r="H14" s="19">
        <v>224.43079223594495</v>
      </c>
      <c r="I14" s="19">
        <v>78.064951493855389</v>
      </c>
      <c r="J14" s="19">
        <v>86.572055038684326</v>
      </c>
      <c r="K14" s="19">
        <v>64.779123845867886</v>
      </c>
      <c r="L14" s="19">
        <v>73.857780209884623</v>
      </c>
      <c r="M14" s="19">
        <v>72.809615286610494</v>
      </c>
      <c r="N14" s="19">
        <v>80.152071232157567</v>
      </c>
      <c r="O14" s="19">
        <v>192.55089215805057</v>
      </c>
      <c r="P14" s="19">
        <v>166.91243049066807</v>
      </c>
      <c r="Q14" s="9">
        <v>135.35068027210863</v>
      </c>
    </row>
    <row r="15" spans="2:17" ht="39.9" customHeight="1">
      <c r="B15" s="548"/>
      <c r="C15" s="360" t="s">
        <v>157</v>
      </c>
      <c r="D15" s="10">
        <f t="shared" ref="D15:Q15" si="0">D14/D13</f>
        <v>0.92678836134607245</v>
      </c>
      <c r="E15" s="10">
        <f t="shared" si="0"/>
        <v>0.86073897640961383</v>
      </c>
      <c r="F15" s="10">
        <f t="shared" si="0"/>
        <v>0.85351810178150234</v>
      </c>
      <c r="G15" s="10">
        <f t="shared" si="0"/>
        <v>0.90733786791527016</v>
      </c>
      <c r="H15" s="10">
        <f t="shared" si="0"/>
        <v>0.98188471603225913</v>
      </c>
      <c r="I15" s="10">
        <f t="shared" si="0"/>
        <v>0.89387393049763642</v>
      </c>
      <c r="J15" s="10">
        <f t="shared" si="0"/>
        <v>0.8865236653132893</v>
      </c>
      <c r="K15" s="10">
        <f t="shared" si="0"/>
        <v>0.86593554716728649</v>
      </c>
      <c r="L15" s="10">
        <f t="shared" si="0"/>
        <v>0.8876593869539362</v>
      </c>
      <c r="M15" s="10">
        <f t="shared" si="0"/>
        <v>0.90015424982523995</v>
      </c>
      <c r="N15" s="10">
        <f t="shared" si="0"/>
        <v>0.91055039460673914</v>
      </c>
      <c r="O15" s="10">
        <f t="shared" si="0"/>
        <v>0.84859784581722186</v>
      </c>
      <c r="P15" s="362">
        <f t="shared" si="0"/>
        <v>0.93323707141793311</v>
      </c>
      <c r="Q15" s="11">
        <f t="shared" si="0"/>
        <v>0.90233786848072417</v>
      </c>
    </row>
    <row r="16" spans="2:17" ht="22.8" customHeight="1">
      <c r="B16" s="549" t="s">
        <v>158</v>
      </c>
      <c r="C16" s="360" t="s">
        <v>159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363">
        <v>0.43402777777777773</v>
      </c>
    </row>
    <row r="17" spans="2:23" ht="22.8" customHeight="1">
      <c r="B17" s="550"/>
      <c r="C17" s="360" t="s">
        <v>36</v>
      </c>
      <c r="D17" s="12">
        <v>0.71319444444444446</v>
      </c>
      <c r="E17" s="12">
        <v>0.56458333333333333</v>
      </c>
      <c r="F17" s="12">
        <v>0.60277777777777775</v>
      </c>
      <c r="G17" s="12">
        <v>0.6166666666666667</v>
      </c>
      <c r="H17" s="12">
        <v>0.60833333333333317</v>
      </c>
      <c r="I17" s="12">
        <v>0.65624999999999989</v>
      </c>
      <c r="J17" s="12">
        <v>0.75138888888888877</v>
      </c>
      <c r="K17" s="12">
        <v>0.74444444444444424</v>
      </c>
      <c r="L17" s="12">
        <v>0.95069444444444429</v>
      </c>
      <c r="M17" s="12">
        <v>0.9312499999999998</v>
      </c>
      <c r="N17" s="12">
        <v>0.92083333333333306</v>
      </c>
      <c r="O17" s="22">
        <v>0.86180555555555549</v>
      </c>
      <c r="P17" s="12">
        <v>0.56111111111111112</v>
      </c>
      <c r="Q17" s="363">
        <v>0.56597222222222221</v>
      </c>
    </row>
    <row r="18" spans="2:23" ht="22.8" customHeight="1">
      <c r="B18" s="553" t="s">
        <v>14</v>
      </c>
      <c r="C18" s="364" t="s">
        <v>160</v>
      </c>
      <c r="D18" s="365" t="s">
        <v>15</v>
      </c>
      <c r="E18" s="365" t="s">
        <v>15</v>
      </c>
      <c r="F18" s="365" t="s">
        <v>15</v>
      </c>
      <c r="G18" s="365" t="s">
        <v>15</v>
      </c>
      <c r="H18" s="365" t="s">
        <v>15</v>
      </c>
      <c r="I18" s="365" t="s">
        <v>15</v>
      </c>
      <c r="J18" s="365" t="s">
        <v>15</v>
      </c>
      <c r="K18" s="365" t="s">
        <v>15</v>
      </c>
      <c r="L18" s="365" t="s">
        <v>15</v>
      </c>
      <c r="M18" s="365" t="s">
        <v>15</v>
      </c>
      <c r="N18" s="365" t="s">
        <v>15</v>
      </c>
      <c r="O18" s="365" t="s">
        <v>15</v>
      </c>
      <c r="P18" s="365" t="s">
        <v>15</v>
      </c>
      <c r="Q18" s="366"/>
    </row>
    <row r="19" spans="2:23" ht="22.8" customHeight="1">
      <c r="B19" s="554"/>
      <c r="C19" s="364" t="s">
        <v>161</v>
      </c>
      <c r="D19" s="365" t="s">
        <v>15</v>
      </c>
      <c r="E19" s="365" t="s">
        <v>15</v>
      </c>
      <c r="F19" s="365" t="s">
        <v>15</v>
      </c>
      <c r="G19" s="365" t="s">
        <v>15</v>
      </c>
      <c r="H19" s="365" t="s">
        <v>15</v>
      </c>
      <c r="I19" s="365" t="s">
        <v>15</v>
      </c>
      <c r="J19" s="365" t="s">
        <v>15</v>
      </c>
      <c r="K19" s="365" t="s">
        <v>15</v>
      </c>
      <c r="L19" s="365" t="s">
        <v>15</v>
      </c>
      <c r="M19" s="365" t="s">
        <v>15</v>
      </c>
      <c r="N19" s="365" t="s">
        <v>15</v>
      </c>
      <c r="O19" s="365" t="s">
        <v>15</v>
      </c>
      <c r="P19" s="365" t="s">
        <v>15</v>
      </c>
      <c r="Q19" s="366"/>
    </row>
    <row r="20" spans="2:23" ht="22.8" customHeight="1">
      <c r="B20" s="553" t="s">
        <v>16</v>
      </c>
      <c r="C20" s="364" t="s">
        <v>160</v>
      </c>
      <c r="D20" s="365" t="s">
        <v>15</v>
      </c>
      <c r="E20" s="365" t="s">
        <v>15</v>
      </c>
      <c r="F20" s="365" t="s">
        <v>15</v>
      </c>
      <c r="G20" s="365">
        <v>1</v>
      </c>
      <c r="H20" s="365" t="s">
        <v>15</v>
      </c>
      <c r="I20" s="365">
        <v>1</v>
      </c>
      <c r="J20" s="365" t="s">
        <v>15</v>
      </c>
      <c r="K20" s="365">
        <v>1</v>
      </c>
      <c r="L20" s="365">
        <v>1</v>
      </c>
      <c r="M20" s="365">
        <v>1</v>
      </c>
      <c r="N20" s="365" t="s">
        <v>15</v>
      </c>
      <c r="O20" s="365" t="s">
        <v>15</v>
      </c>
      <c r="P20" s="365">
        <v>2</v>
      </c>
      <c r="Q20" s="366"/>
    </row>
    <row r="21" spans="2:23" ht="22.8" customHeight="1">
      <c r="B21" s="554"/>
      <c r="C21" s="364" t="s">
        <v>162</v>
      </c>
      <c r="D21" s="365" t="s">
        <v>15</v>
      </c>
      <c r="E21" s="365">
        <v>1</v>
      </c>
      <c r="F21" s="365" t="s">
        <v>15</v>
      </c>
      <c r="G21" s="365" t="s">
        <v>15</v>
      </c>
      <c r="H21" s="365" t="s">
        <v>15</v>
      </c>
      <c r="I21" s="365" t="s">
        <v>15</v>
      </c>
      <c r="J21" s="365" t="s">
        <v>15</v>
      </c>
      <c r="K21" s="365">
        <v>3</v>
      </c>
      <c r="L21" s="365" t="s">
        <v>15</v>
      </c>
      <c r="M21" s="365" t="s">
        <v>15</v>
      </c>
      <c r="N21" s="365">
        <v>1</v>
      </c>
      <c r="O21" s="365" t="s">
        <v>15</v>
      </c>
      <c r="P21" s="365" t="s">
        <v>15</v>
      </c>
      <c r="Q21" s="366"/>
    </row>
    <row r="22" spans="2:23" ht="22.8" customHeight="1">
      <c r="B22" s="532" t="s">
        <v>163</v>
      </c>
      <c r="C22" s="555"/>
      <c r="D22" s="367">
        <v>18.714285714285715</v>
      </c>
      <c r="E22" s="367">
        <v>17</v>
      </c>
      <c r="F22" s="367">
        <v>15.125</v>
      </c>
      <c r="G22" s="367">
        <v>6</v>
      </c>
      <c r="H22" s="367">
        <v>6.6</v>
      </c>
      <c r="I22" s="367">
        <v>17.666666666666668</v>
      </c>
      <c r="J22" s="367">
        <v>18.142857142857142</v>
      </c>
      <c r="K22" s="367">
        <v>18.625</v>
      </c>
      <c r="L22" s="367">
        <v>17.399999999999999</v>
      </c>
      <c r="M22" s="367">
        <v>18.666666666666668</v>
      </c>
      <c r="N22" s="367">
        <v>17.222222222222221</v>
      </c>
      <c r="O22" s="367">
        <v>9.7142857142857135</v>
      </c>
      <c r="P22" s="367">
        <v>13</v>
      </c>
      <c r="Q22" s="368">
        <v>12.666666666666666</v>
      </c>
    </row>
    <row r="23" spans="2:23" ht="22.8" customHeight="1">
      <c r="B23" s="532" t="s">
        <v>164</v>
      </c>
      <c r="C23" s="555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532" t="s">
        <v>165</v>
      </c>
      <c r="C24" s="555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534" t="s">
        <v>166</v>
      </c>
      <c r="C25" s="556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187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551"/>
      <c r="C27" s="552"/>
      <c r="D27" s="536" t="s">
        <v>167</v>
      </c>
      <c r="E27" s="537"/>
      <c r="F27" s="537"/>
      <c r="G27" s="537"/>
      <c r="H27" s="538"/>
      <c r="I27" s="539" t="s">
        <v>168</v>
      </c>
      <c r="J27" s="540"/>
      <c r="K27" s="540"/>
      <c r="L27" s="540"/>
      <c r="M27" s="541"/>
      <c r="N27" s="359"/>
      <c r="O27" s="359"/>
      <c r="P27" s="359"/>
      <c r="Q27" s="359"/>
    </row>
    <row r="28" spans="2:23" ht="17.25" customHeight="1">
      <c r="B28" s="542" t="s">
        <v>141</v>
      </c>
      <c r="C28" s="543"/>
      <c r="D28" s="369">
        <v>1</v>
      </c>
      <c r="E28" s="440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544"/>
      <c r="C29" s="545"/>
      <c r="D29" s="370" t="s">
        <v>26</v>
      </c>
      <c r="E29" s="371" t="s">
        <v>27</v>
      </c>
      <c r="F29" s="14" t="s">
        <v>28</v>
      </c>
      <c r="G29" s="14" t="s">
        <v>29</v>
      </c>
      <c r="H29" s="372" t="s">
        <v>30</v>
      </c>
      <c r="I29" s="370" t="s">
        <v>31</v>
      </c>
      <c r="J29" s="14" t="s">
        <v>27</v>
      </c>
      <c r="K29" s="14" t="s">
        <v>28</v>
      </c>
      <c r="L29" s="14" t="s">
        <v>29</v>
      </c>
      <c r="M29" s="372" t="s">
        <v>30</v>
      </c>
      <c r="N29" s="359"/>
      <c r="O29" s="359"/>
      <c r="P29" s="359"/>
      <c r="Q29" s="359"/>
    </row>
    <row r="30" spans="2:23" ht="39.9" customHeight="1">
      <c r="B30" s="546" t="s">
        <v>35</v>
      </c>
      <c r="C30" s="373" t="s">
        <v>155</v>
      </c>
      <c r="D30" s="20">
        <v>220</v>
      </c>
      <c r="E30" s="441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" customHeight="1">
      <c r="B31" s="547"/>
      <c r="C31" s="373" t="s">
        <v>156</v>
      </c>
      <c r="D31" s="375">
        <v>172.8051697530864</v>
      </c>
      <c r="E31" s="8">
        <v>823.09758655323321</v>
      </c>
      <c r="F31" s="8">
        <v>0</v>
      </c>
      <c r="G31" s="8">
        <v>910.22976831131029</v>
      </c>
      <c r="H31" s="376">
        <v>962.25456540147923</v>
      </c>
      <c r="I31" s="375">
        <v>0</v>
      </c>
      <c r="J31" s="8">
        <v>861.33333333333633</v>
      </c>
      <c r="K31" s="8">
        <v>627.27976190476261</v>
      </c>
      <c r="L31" s="8">
        <v>904.32683982265951</v>
      </c>
      <c r="M31" s="376">
        <v>899.78605442657056</v>
      </c>
      <c r="N31" s="359"/>
      <c r="O31" s="359"/>
      <c r="P31" s="359"/>
      <c r="Q31" s="359"/>
    </row>
    <row r="32" spans="2:23" ht="39.9" customHeight="1">
      <c r="B32" s="548"/>
      <c r="C32" s="439" t="s">
        <v>157</v>
      </c>
      <c r="D32" s="377">
        <f t="shared" ref="D32:M32" si="1">D31/D30</f>
        <v>0.78547804433221091</v>
      </c>
      <c r="E32" s="10">
        <f t="shared" si="1"/>
        <v>0.9976940443069493</v>
      </c>
      <c r="F32" s="10">
        <f t="shared" si="1"/>
        <v>0</v>
      </c>
      <c r="G32" s="10">
        <f t="shared" si="1"/>
        <v>1.0113664092347892</v>
      </c>
      <c r="H32" s="10">
        <f t="shared" si="1"/>
        <v>1.0691717393349769</v>
      </c>
      <c r="I32" s="375">
        <f t="shared" si="1"/>
        <v>0</v>
      </c>
      <c r="J32" s="10">
        <f t="shared" si="1"/>
        <v>1.0440404040404077</v>
      </c>
      <c r="K32" s="10">
        <f t="shared" si="1"/>
        <v>0.696977513227514</v>
      </c>
      <c r="L32" s="10">
        <f t="shared" si="1"/>
        <v>1.0048075998029551</v>
      </c>
      <c r="M32" s="11">
        <f t="shared" si="1"/>
        <v>0.9997622826961895</v>
      </c>
      <c r="N32" s="359"/>
      <c r="O32" s="359"/>
      <c r="P32" s="359"/>
      <c r="Q32" s="359"/>
    </row>
    <row r="33" spans="2:17" ht="25.8" customHeight="1">
      <c r="B33" s="549" t="s">
        <v>158</v>
      </c>
      <c r="C33" s="439" t="s">
        <v>159</v>
      </c>
      <c r="D33" s="378">
        <v>0.17361111111111113</v>
      </c>
      <c r="E33" s="12">
        <v>0.18055555555555555</v>
      </c>
      <c r="F33" s="12">
        <v>0</v>
      </c>
      <c r="G33" s="12">
        <v>2994.9999999999905</v>
      </c>
      <c r="H33" s="363">
        <v>0.18055555555555555</v>
      </c>
      <c r="I33" s="378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2.7777777777777776E-2</v>
      </c>
      <c r="N33" s="359"/>
      <c r="O33" s="359"/>
      <c r="P33" s="359"/>
      <c r="Q33" s="359"/>
    </row>
    <row r="34" spans="2:17" ht="25.8" customHeight="1">
      <c r="B34" s="550"/>
      <c r="C34" s="439" t="s">
        <v>36</v>
      </c>
      <c r="D34" s="378">
        <v>0.3923611111111111</v>
      </c>
      <c r="E34" s="12">
        <v>0.3743055555555555</v>
      </c>
      <c r="F34" s="12">
        <v>0</v>
      </c>
      <c r="G34" s="12">
        <v>1054.9999999999977</v>
      </c>
      <c r="H34" s="363">
        <v>0.47569444444444442</v>
      </c>
      <c r="I34" s="23">
        <v>0</v>
      </c>
      <c r="J34" s="12">
        <v>0.73263888888888884</v>
      </c>
      <c r="K34" s="12">
        <v>0.84375</v>
      </c>
      <c r="L34" s="12">
        <v>46206.027777777781</v>
      </c>
      <c r="M34" s="13">
        <v>46206.013888888891</v>
      </c>
      <c r="N34" s="359"/>
      <c r="O34" s="359"/>
      <c r="P34" s="359"/>
      <c r="Q34" s="359"/>
    </row>
    <row r="35" spans="2:17" ht="25.8" customHeight="1">
      <c r="B35" s="532" t="s">
        <v>163</v>
      </c>
      <c r="C35" s="533"/>
      <c r="D35" s="379">
        <v>10.333333333333334</v>
      </c>
      <c r="E35" s="380">
        <v>3.5</v>
      </c>
      <c r="F35" s="380">
        <v>0</v>
      </c>
      <c r="G35" s="380">
        <v>3.5</v>
      </c>
      <c r="H35" s="381">
        <v>3.3333333333333335</v>
      </c>
      <c r="I35" s="382">
        <v>0</v>
      </c>
      <c r="J35" s="380">
        <v>3</v>
      </c>
      <c r="K35" s="380">
        <v>3.6666666666666665</v>
      </c>
      <c r="L35" s="380">
        <v>3.4</v>
      </c>
      <c r="M35" s="368">
        <v>3.4285714285714284</v>
      </c>
      <c r="N35" s="359"/>
      <c r="O35" s="359"/>
      <c r="P35" s="359"/>
      <c r="Q35" s="359"/>
    </row>
    <row r="36" spans="2:17" ht="25.8" customHeight="1">
      <c r="B36" s="532" t="s">
        <v>164</v>
      </c>
      <c r="C36" s="533"/>
      <c r="D36" s="38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8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59"/>
      <c r="O36" s="359"/>
      <c r="P36" s="359"/>
      <c r="Q36" s="359"/>
    </row>
    <row r="37" spans="2:17" ht="25.8" customHeight="1">
      <c r="B37" s="532" t="s">
        <v>165</v>
      </c>
      <c r="C37" s="533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8" customHeight="1" thickBot="1">
      <c r="B38" s="534" t="s">
        <v>166</v>
      </c>
      <c r="C38" s="535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149" priority="4" operator="lessThan">
      <formula>0.8</formula>
    </cfRule>
  </conditionalFormatting>
  <conditionalFormatting sqref="J32:L32">
    <cfRule type="cellIs" dxfId="148" priority="3" operator="lessThan">
      <formula>0.8</formula>
    </cfRule>
  </conditionalFormatting>
  <conditionalFormatting sqref="M32">
    <cfRule type="cellIs" dxfId="147" priority="2" operator="lessThan">
      <formula>0.8</formula>
    </cfRule>
  </conditionalFormatting>
  <conditionalFormatting sqref="H32">
    <cfRule type="cellIs" dxfId="14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D7" sqref="D7"/>
    </sheetView>
  </sheetViews>
  <sheetFormatPr defaultColWidth="7.88671875" defaultRowHeight="15.6"/>
  <cols>
    <col min="1" max="1" width="13.6640625" style="282" customWidth="1"/>
    <col min="2" max="2" width="12.77734375" style="282" customWidth="1"/>
    <col min="3" max="3" width="12.77734375" style="342" hidden="1" customWidth="1"/>
    <col min="4" max="5" width="18.33203125" style="282" customWidth="1"/>
    <col min="6" max="6" width="9.77734375" style="340" customWidth="1"/>
    <col min="7" max="7" width="21.109375" style="282" bestFit="1" customWidth="1"/>
    <col min="8" max="8" width="15.6640625" style="282" customWidth="1"/>
    <col min="9" max="9" width="12.21875" style="282" bestFit="1" customWidth="1"/>
    <col min="10" max="15" width="9.77734375" style="282" customWidth="1"/>
    <col min="16" max="16" width="9.77734375" style="341" customWidth="1"/>
    <col min="17" max="18" width="9.77734375" style="282" customWidth="1"/>
    <col min="19" max="16384" width="7.88671875" style="282"/>
  </cols>
  <sheetData>
    <row r="1" spans="1:18" ht="26.25" customHeight="1">
      <c r="A1" s="394" t="s">
        <v>331</v>
      </c>
      <c r="B1" s="395"/>
      <c r="C1" s="396"/>
      <c r="D1" s="276" t="s">
        <v>332</v>
      </c>
      <c r="E1" s="277">
        <f>SUM(G5:G124)</f>
        <v>82564</v>
      </c>
      <c r="F1" s="278" t="s">
        <v>3</v>
      </c>
      <c r="G1" s="279">
        <f>SUM(H5:H124)</f>
        <v>1527794.421428571</v>
      </c>
      <c r="H1" s="280" t="s">
        <v>333</v>
      </c>
      <c r="I1" s="281">
        <f>+J16+J64+J24+J38+J51+J81+J100+J91+J57+J124+J111</f>
        <v>46.495238095238093</v>
      </c>
      <c r="J1" s="649" t="s">
        <v>334</v>
      </c>
      <c r="K1" s="650"/>
      <c r="L1" s="651"/>
      <c r="M1" s="649" t="s">
        <v>335</v>
      </c>
      <c r="N1" s="650"/>
      <c r="O1" s="650"/>
      <c r="P1" s="650"/>
      <c r="Q1" s="650"/>
      <c r="R1" s="651"/>
    </row>
    <row r="2" spans="1:18" ht="26.25" customHeight="1" thickBot="1">
      <c r="A2" s="655" t="s">
        <v>336</v>
      </c>
      <c r="B2" s="656"/>
      <c r="C2" s="283"/>
      <c r="D2" s="442" t="s">
        <v>337</v>
      </c>
      <c r="E2" s="284">
        <f>AVERAGE(L16,L24,L38,L51,L100,L111,L91)</f>
        <v>587.36556193986439</v>
      </c>
      <c r="F2" s="285" t="s">
        <v>40</v>
      </c>
      <c r="G2" s="286">
        <f>G1/E1</f>
        <v>18.5043653581291</v>
      </c>
      <c r="H2" s="287" t="s">
        <v>338</v>
      </c>
      <c r="I2" s="288">
        <f>COUNT(I5:I124)</f>
        <v>0</v>
      </c>
      <c r="J2" s="652"/>
      <c r="K2" s="653"/>
      <c r="L2" s="654"/>
      <c r="M2" s="652"/>
      <c r="N2" s="653"/>
      <c r="O2" s="653"/>
      <c r="P2" s="653"/>
      <c r="Q2" s="653"/>
      <c r="R2" s="654"/>
    </row>
    <row r="3" spans="1:18" ht="23.25" customHeight="1">
      <c r="A3" s="657" t="s">
        <v>339</v>
      </c>
      <c r="B3" s="659" t="s">
        <v>340</v>
      </c>
      <c r="C3" s="444"/>
      <c r="D3" s="660" t="s">
        <v>341</v>
      </c>
      <c r="E3" s="660"/>
      <c r="F3" s="661" t="s">
        <v>43</v>
      </c>
      <c r="G3" s="662" t="s">
        <v>342</v>
      </c>
      <c r="H3" s="663" t="s">
        <v>343</v>
      </c>
      <c r="I3" s="664" t="s">
        <v>344</v>
      </c>
      <c r="J3" s="637" t="s">
        <v>345</v>
      </c>
      <c r="K3" s="639" t="s">
        <v>346</v>
      </c>
      <c r="L3" s="641" t="s">
        <v>337</v>
      </c>
      <c r="M3" s="666" t="s">
        <v>48</v>
      </c>
      <c r="N3" s="666"/>
      <c r="O3" s="637" t="s">
        <v>101</v>
      </c>
      <c r="P3" s="667" t="s">
        <v>347</v>
      </c>
      <c r="Q3" s="637" t="s">
        <v>348</v>
      </c>
      <c r="R3" s="637"/>
    </row>
    <row r="4" spans="1:18" ht="15.75" customHeight="1">
      <c r="A4" s="658"/>
      <c r="B4" s="659"/>
      <c r="C4" s="444"/>
      <c r="D4" s="660"/>
      <c r="E4" s="660"/>
      <c r="F4" s="661"/>
      <c r="G4" s="662"/>
      <c r="H4" s="663"/>
      <c r="I4" s="665"/>
      <c r="J4" s="638"/>
      <c r="K4" s="640"/>
      <c r="L4" s="642"/>
      <c r="M4" s="448" t="s">
        <v>50</v>
      </c>
      <c r="N4" s="448" t="s">
        <v>51</v>
      </c>
      <c r="O4" s="638"/>
      <c r="P4" s="668"/>
      <c r="Q4" s="289" t="s">
        <v>349</v>
      </c>
      <c r="R4" s="289" t="s">
        <v>350</v>
      </c>
    </row>
    <row r="5" spans="1:18">
      <c r="A5" s="643" t="s">
        <v>351</v>
      </c>
      <c r="B5" s="397" t="s">
        <v>129</v>
      </c>
      <c r="C5" s="397"/>
      <c r="D5" s="306" t="s">
        <v>174</v>
      </c>
      <c r="E5" s="410"/>
      <c r="F5" s="398">
        <v>25.64</v>
      </c>
      <c r="G5" s="444">
        <v>776</v>
      </c>
      <c r="H5" s="291">
        <f>F5*G5</f>
        <v>19896.64</v>
      </c>
      <c r="I5" s="446"/>
      <c r="J5" s="292">
        <v>10</v>
      </c>
      <c r="K5" s="293">
        <f t="shared" ref="K5:K7" si="0">G5/P5*60</f>
        <v>1551.9999999999973</v>
      </c>
      <c r="L5" s="294">
        <f t="shared" ref="L5:L7" si="1">K5/J5</f>
        <v>155.19999999999973</v>
      </c>
      <c r="M5" s="295">
        <v>0.43402777777777773</v>
      </c>
      <c r="N5" s="295">
        <v>0.4548611111111111</v>
      </c>
      <c r="O5" s="289">
        <v>5</v>
      </c>
      <c r="P5" s="449">
        <f t="shared" ref="P5:P7" si="2">(N5-M5)*24*60</f>
        <v>30.000000000000053</v>
      </c>
      <c r="Q5" s="296"/>
      <c r="R5" s="296"/>
    </row>
    <row r="6" spans="1:18">
      <c r="A6" s="643"/>
      <c r="B6" s="397" t="s">
        <v>129</v>
      </c>
      <c r="C6" s="397"/>
      <c r="D6" s="306" t="s">
        <v>185</v>
      </c>
      <c r="E6" s="410"/>
      <c r="F6" s="398">
        <v>29.85</v>
      </c>
      <c r="G6" s="444">
        <v>2334</v>
      </c>
      <c r="H6" s="291">
        <f t="shared" ref="H6:H15" si="3">F6*G6</f>
        <v>69669.900000000009</v>
      </c>
      <c r="I6" s="446"/>
      <c r="J6" s="292">
        <v>14</v>
      </c>
      <c r="K6" s="293">
        <f t="shared" si="0"/>
        <v>1750.4999999999975</v>
      </c>
      <c r="L6" s="294">
        <f t="shared" si="1"/>
        <v>125.03571428571411</v>
      </c>
      <c r="M6" s="295">
        <v>0.45833333333333331</v>
      </c>
      <c r="N6" s="295">
        <v>0.51388888888888895</v>
      </c>
      <c r="O6" s="289">
        <v>5</v>
      </c>
      <c r="P6" s="449">
        <f t="shared" si="2"/>
        <v>80.000000000000114</v>
      </c>
      <c r="Q6" s="289"/>
      <c r="R6" s="289"/>
    </row>
    <row r="7" spans="1:18">
      <c r="A7" s="643"/>
      <c r="B7" s="397" t="s">
        <v>129</v>
      </c>
      <c r="C7" s="397"/>
      <c r="D7" s="306" t="s">
        <v>186</v>
      </c>
      <c r="E7" s="410"/>
      <c r="F7" s="398">
        <v>29.52</v>
      </c>
      <c r="G7" s="444">
        <v>2055</v>
      </c>
      <c r="H7" s="291">
        <f t="shared" si="3"/>
        <v>60663.6</v>
      </c>
      <c r="I7" s="446"/>
      <c r="J7" s="292">
        <v>14</v>
      </c>
      <c r="K7" s="293">
        <f t="shared" si="0"/>
        <v>1761.4285714285695</v>
      </c>
      <c r="L7" s="294">
        <f t="shared" si="1"/>
        <v>125.8163265306121</v>
      </c>
      <c r="M7" s="295">
        <v>0.51736111111111105</v>
      </c>
      <c r="N7" s="295">
        <v>0.56597222222222221</v>
      </c>
      <c r="O7" s="289">
        <v>5</v>
      </c>
      <c r="P7" s="449">
        <f t="shared" si="2"/>
        <v>70.000000000000071</v>
      </c>
      <c r="Q7" s="296"/>
      <c r="R7" s="296"/>
    </row>
    <row r="8" spans="1:18">
      <c r="A8" s="643"/>
      <c r="B8" s="397">
        <v>0</v>
      </c>
      <c r="C8" s="397"/>
      <c r="D8" s="306"/>
      <c r="E8" s="410"/>
      <c r="F8" s="398" t="s">
        <v>128</v>
      </c>
      <c r="G8" s="444"/>
      <c r="H8" s="291">
        <f t="shared" si="3"/>
        <v>0</v>
      </c>
      <c r="I8" s="446"/>
      <c r="J8" s="292"/>
      <c r="K8" s="293"/>
      <c r="L8" s="294"/>
      <c r="M8" s="295"/>
      <c r="N8" s="295"/>
      <c r="O8" s="289"/>
      <c r="P8" s="449"/>
      <c r="Q8" s="296"/>
      <c r="R8" s="296"/>
    </row>
    <row r="9" spans="1:18">
      <c r="A9" s="643"/>
      <c r="B9" s="397">
        <v>0</v>
      </c>
      <c r="C9" s="397"/>
      <c r="D9" s="306"/>
      <c r="E9" s="410"/>
      <c r="F9" s="398" t="s">
        <v>128</v>
      </c>
      <c r="G9" s="297"/>
      <c r="H9" s="291">
        <f t="shared" si="3"/>
        <v>0</v>
      </c>
      <c r="I9" s="446"/>
      <c r="J9" s="292"/>
      <c r="K9" s="293"/>
      <c r="L9" s="294"/>
      <c r="M9" s="295"/>
      <c r="N9" s="295"/>
      <c r="O9" s="289"/>
      <c r="P9" s="449"/>
      <c r="Q9" s="296"/>
      <c r="R9" s="296"/>
    </row>
    <row r="10" spans="1:18">
      <c r="A10" s="643"/>
      <c r="B10" s="397">
        <v>0</v>
      </c>
      <c r="C10" s="397"/>
      <c r="D10" s="306"/>
      <c r="E10" s="410"/>
      <c r="F10" s="398" t="s">
        <v>128</v>
      </c>
      <c r="G10" s="297"/>
      <c r="H10" s="291">
        <f t="shared" si="3"/>
        <v>0</v>
      </c>
      <c r="I10" s="446"/>
      <c r="J10" s="292"/>
      <c r="K10" s="293"/>
      <c r="L10" s="294"/>
      <c r="M10" s="295"/>
      <c r="N10" s="295"/>
      <c r="O10" s="289"/>
      <c r="P10" s="449"/>
      <c r="Q10" s="296"/>
      <c r="R10" s="296"/>
    </row>
    <row r="11" spans="1:18">
      <c r="A11" s="643"/>
      <c r="B11" s="397">
        <v>0</v>
      </c>
      <c r="C11" s="397"/>
      <c r="D11" s="306"/>
      <c r="E11" s="410"/>
      <c r="F11" s="398" t="s">
        <v>128</v>
      </c>
      <c r="G11" s="297"/>
      <c r="H11" s="291">
        <f t="shared" si="3"/>
        <v>0</v>
      </c>
      <c r="I11" s="446"/>
      <c r="J11" s="292"/>
      <c r="K11" s="293"/>
      <c r="L11" s="294"/>
      <c r="M11" s="295"/>
      <c r="N11" s="295"/>
      <c r="O11" s="289"/>
      <c r="P11" s="449"/>
      <c r="Q11" s="296"/>
      <c r="R11" s="296"/>
    </row>
    <row r="12" spans="1:18">
      <c r="A12" s="644"/>
      <c r="B12" s="397">
        <v>0</v>
      </c>
      <c r="C12" s="445"/>
      <c r="D12" s="306"/>
      <c r="E12" s="410"/>
      <c r="F12" s="398" t="s">
        <v>128</v>
      </c>
      <c r="G12" s="443"/>
      <c r="H12" s="291">
        <f t="shared" si="3"/>
        <v>0</v>
      </c>
      <c r="I12" s="446"/>
      <c r="J12" s="292"/>
      <c r="K12" s="293"/>
      <c r="L12" s="294"/>
      <c r="M12" s="295"/>
      <c r="N12" s="295"/>
      <c r="O12" s="289"/>
      <c r="P12" s="449"/>
      <c r="Q12" s="296"/>
      <c r="R12" s="289"/>
    </row>
    <row r="13" spans="1:18">
      <c r="A13" s="644"/>
      <c r="B13" s="397">
        <v>0</v>
      </c>
      <c r="C13" s="397"/>
      <c r="D13" s="306"/>
      <c r="E13" s="410"/>
      <c r="F13" s="398" t="s">
        <v>128</v>
      </c>
      <c r="G13" s="297"/>
      <c r="H13" s="291">
        <f t="shared" si="3"/>
        <v>0</v>
      </c>
      <c r="I13" s="446"/>
      <c r="J13" s="292"/>
      <c r="K13" s="293"/>
      <c r="L13" s="294"/>
      <c r="M13" s="295"/>
      <c r="N13" s="295"/>
      <c r="O13" s="289"/>
      <c r="P13" s="449"/>
      <c r="Q13" s="289"/>
      <c r="R13" s="289"/>
    </row>
    <row r="14" spans="1:18">
      <c r="A14" s="644"/>
      <c r="B14" s="397">
        <v>0</v>
      </c>
      <c r="C14" s="397"/>
      <c r="D14" s="409"/>
      <c r="E14" s="410"/>
      <c r="F14" s="398" t="s">
        <v>128</v>
      </c>
      <c r="G14" s="297"/>
      <c r="H14" s="291">
        <f t="shared" si="3"/>
        <v>0</v>
      </c>
      <c r="I14" s="446"/>
      <c r="J14" s="292"/>
      <c r="K14" s="293"/>
      <c r="L14" s="294"/>
      <c r="M14" s="295"/>
      <c r="N14" s="295"/>
      <c r="O14" s="289"/>
      <c r="P14" s="449"/>
      <c r="Q14" s="289"/>
      <c r="R14" s="289"/>
    </row>
    <row r="15" spans="1:18">
      <c r="A15" s="644"/>
      <c r="B15" s="397">
        <v>0</v>
      </c>
      <c r="C15" s="397"/>
      <c r="D15" s="399"/>
      <c r="E15" s="399"/>
      <c r="F15" s="398" t="s">
        <v>128</v>
      </c>
      <c r="G15" s="297"/>
      <c r="H15" s="291">
        <f t="shared" si="3"/>
        <v>0</v>
      </c>
      <c r="I15" s="446"/>
      <c r="J15" s="292"/>
      <c r="K15" s="293"/>
      <c r="L15" s="294"/>
      <c r="M15" s="295"/>
      <c r="N15" s="295"/>
      <c r="O15" s="289"/>
      <c r="P15" s="449"/>
      <c r="Q15" s="289"/>
      <c r="R15" s="289"/>
    </row>
    <row r="16" spans="1:18" ht="15.75" customHeight="1">
      <c r="A16" s="645"/>
      <c r="B16" s="397">
        <v>0</v>
      </c>
      <c r="C16" s="290" t="s">
        <v>352</v>
      </c>
      <c r="D16" s="628" t="s">
        <v>353</v>
      </c>
      <c r="E16" s="628"/>
      <c r="F16" s="298"/>
      <c r="G16" s="299"/>
      <c r="H16" s="300"/>
      <c r="I16" s="301"/>
      <c r="J16" s="302">
        <f>AVERAGE(J5:J15)</f>
        <v>12.666666666666666</v>
      </c>
      <c r="K16" s="302">
        <f>AVERAGE(K5:K15)</f>
        <v>1687.9761904761881</v>
      </c>
      <c r="L16" s="303">
        <f>AVERAGE(L5:L15)</f>
        <v>135.35068027210863</v>
      </c>
      <c r="M16" s="295"/>
      <c r="N16" s="295"/>
      <c r="O16" s="293"/>
      <c r="P16" s="293"/>
      <c r="Q16" s="294"/>
      <c r="R16" s="294"/>
    </row>
    <row r="17" spans="1:18" ht="15.75" customHeight="1">
      <c r="A17" s="646" t="s">
        <v>354</v>
      </c>
      <c r="B17" s="397">
        <v>0</v>
      </c>
      <c r="C17" s="445"/>
      <c r="D17" s="306" t="s">
        <v>183</v>
      </c>
      <c r="E17" s="306"/>
      <c r="F17" s="398" t="s">
        <v>128</v>
      </c>
      <c r="G17" s="444">
        <v>2334</v>
      </c>
      <c r="H17" s="304">
        <f t="shared" ref="H17:H23" si="4">F17*G17</f>
        <v>0</v>
      </c>
      <c r="I17" s="305"/>
      <c r="J17" s="292">
        <v>8</v>
      </c>
      <c r="K17" s="293">
        <f t="shared" ref="K17:K19" si="5">G17/P17*60</f>
        <v>1556</v>
      </c>
      <c r="L17" s="294">
        <f>K17/J17</f>
        <v>194.5</v>
      </c>
      <c r="M17" s="295">
        <v>0.17361111111111113</v>
      </c>
      <c r="N17" s="295">
        <v>0.23611111111111113</v>
      </c>
      <c r="O17" s="289">
        <v>10</v>
      </c>
      <c r="P17" s="449">
        <f>(N17-M17)*24*60</f>
        <v>90</v>
      </c>
      <c r="Q17" s="289"/>
      <c r="R17" s="289"/>
    </row>
    <row r="18" spans="1:18" ht="15.75" customHeight="1">
      <c r="A18" s="646"/>
      <c r="B18" s="397">
        <v>0</v>
      </c>
      <c r="C18" s="445"/>
      <c r="D18" s="306" t="s">
        <v>184</v>
      </c>
      <c r="E18" s="306"/>
      <c r="F18" s="398" t="s">
        <v>128</v>
      </c>
      <c r="G18" s="443">
        <v>2055</v>
      </c>
      <c r="H18" s="291">
        <f t="shared" si="4"/>
        <v>0</v>
      </c>
      <c r="I18" s="446"/>
      <c r="J18" s="292">
        <v>8</v>
      </c>
      <c r="K18" s="293">
        <f t="shared" si="5"/>
        <v>1541.25</v>
      </c>
      <c r="L18" s="294">
        <f t="shared" ref="L18:L19" si="6">K18/J18</f>
        <v>192.65625</v>
      </c>
      <c r="M18" s="295">
        <v>0.23958333333333334</v>
      </c>
      <c r="N18" s="295">
        <v>0.2951388888888889</v>
      </c>
      <c r="O18" s="289">
        <v>5</v>
      </c>
      <c r="P18" s="449">
        <f t="shared" ref="P18:P19" si="7">(N18-M18)*24*60</f>
        <v>80</v>
      </c>
      <c r="Q18" s="296"/>
      <c r="R18" s="296"/>
    </row>
    <row r="19" spans="1:18" ht="15.75" customHeight="1">
      <c r="A19" s="646"/>
      <c r="B19" s="397" t="s">
        <v>129</v>
      </c>
      <c r="C19" s="445"/>
      <c r="D19" s="306" t="s">
        <v>355</v>
      </c>
      <c r="E19" s="306"/>
      <c r="F19" s="398">
        <v>19.63</v>
      </c>
      <c r="G19" s="443">
        <v>4430</v>
      </c>
      <c r="H19" s="291">
        <f t="shared" si="4"/>
        <v>86960.9</v>
      </c>
      <c r="I19" s="446"/>
      <c r="J19" s="292">
        <v>15</v>
      </c>
      <c r="K19" s="293">
        <f t="shared" si="5"/>
        <v>1968.8888888888889</v>
      </c>
      <c r="L19" s="294">
        <f t="shared" si="6"/>
        <v>131.25925925925927</v>
      </c>
      <c r="M19" s="295">
        <v>0.2986111111111111</v>
      </c>
      <c r="N19" s="295">
        <v>0.3923611111111111</v>
      </c>
      <c r="O19" s="289">
        <v>5</v>
      </c>
      <c r="P19" s="449">
        <f t="shared" si="7"/>
        <v>135</v>
      </c>
      <c r="Q19" s="296">
        <v>0.39930555555555558</v>
      </c>
      <c r="R19" s="296">
        <v>0.43055555555555558</v>
      </c>
    </row>
    <row r="20" spans="1:18" ht="15.75" customHeight="1">
      <c r="A20" s="647"/>
      <c r="B20" s="397">
        <v>0</v>
      </c>
      <c r="C20" s="445"/>
      <c r="D20" s="306"/>
      <c r="E20" s="306"/>
      <c r="F20" s="398" t="s">
        <v>128</v>
      </c>
      <c r="G20" s="443"/>
      <c r="H20" s="291">
        <f t="shared" si="4"/>
        <v>0</v>
      </c>
      <c r="I20" s="446"/>
      <c r="J20" s="292"/>
      <c r="K20" s="293"/>
      <c r="L20" s="294"/>
      <c r="M20" s="295"/>
      <c r="N20" s="295"/>
      <c r="O20" s="289"/>
      <c r="P20" s="449"/>
      <c r="Q20" s="296"/>
      <c r="R20" s="296"/>
    </row>
    <row r="21" spans="1:18" ht="15.75" customHeight="1">
      <c r="A21" s="647"/>
      <c r="B21" s="397">
        <v>0</v>
      </c>
      <c r="C21" s="445"/>
      <c r="D21" s="306"/>
      <c r="E21" s="306"/>
      <c r="F21" s="398" t="s">
        <v>128</v>
      </c>
      <c r="G21" s="443"/>
      <c r="H21" s="291">
        <f t="shared" si="4"/>
        <v>0</v>
      </c>
      <c r="I21" s="446"/>
      <c r="J21" s="292"/>
      <c r="K21" s="293"/>
      <c r="L21" s="294"/>
      <c r="M21" s="295"/>
      <c r="N21" s="295"/>
      <c r="O21" s="289"/>
      <c r="P21" s="449"/>
      <c r="Q21" s="296"/>
      <c r="R21" s="296"/>
    </row>
    <row r="22" spans="1:18" ht="15.75" customHeight="1">
      <c r="A22" s="647"/>
      <c r="B22" s="397">
        <v>0</v>
      </c>
      <c r="C22" s="445"/>
      <c r="D22" s="306"/>
      <c r="E22" s="410"/>
      <c r="F22" s="398" t="s">
        <v>128</v>
      </c>
      <c r="G22" s="443"/>
      <c r="H22" s="291">
        <f t="shared" si="4"/>
        <v>0</v>
      </c>
      <c r="I22" s="446"/>
      <c r="J22" s="292"/>
      <c r="K22" s="293"/>
      <c r="L22" s="294"/>
      <c r="M22" s="295"/>
      <c r="N22" s="295"/>
      <c r="O22" s="289"/>
      <c r="P22" s="449"/>
      <c r="Q22" s="289"/>
      <c r="R22" s="289"/>
    </row>
    <row r="23" spans="1:18" ht="15.75" customHeight="1">
      <c r="A23" s="647"/>
      <c r="B23" s="397">
        <v>0</v>
      </c>
      <c r="C23" s="445"/>
      <c r="D23" s="306"/>
      <c r="E23" s="410"/>
      <c r="F23" s="398" t="s">
        <v>128</v>
      </c>
      <c r="G23" s="443"/>
      <c r="H23" s="291">
        <f t="shared" si="4"/>
        <v>0</v>
      </c>
      <c r="I23" s="446"/>
      <c r="J23" s="292"/>
      <c r="K23" s="293"/>
      <c r="L23" s="294"/>
      <c r="M23" s="295"/>
      <c r="N23" s="295"/>
      <c r="O23" s="289"/>
      <c r="P23" s="449"/>
      <c r="Q23" s="289"/>
      <c r="R23" s="289"/>
    </row>
    <row r="24" spans="1:18" ht="17.399999999999999" customHeight="1">
      <c r="A24" s="648"/>
      <c r="B24" s="397">
        <v>0</v>
      </c>
      <c r="C24" s="6" t="s">
        <v>356</v>
      </c>
      <c r="D24" s="628" t="s">
        <v>353</v>
      </c>
      <c r="E24" s="628"/>
      <c r="F24" s="298"/>
      <c r="G24" s="307"/>
      <c r="H24" s="300"/>
      <c r="I24" s="301"/>
      <c r="J24" s="302">
        <f>AVERAGE(J17:J23)</f>
        <v>10.333333333333334</v>
      </c>
      <c r="K24" s="302">
        <f>AVERAGE(K17:K23)</f>
        <v>1688.7129629629628</v>
      </c>
      <c r="L24" s="303">
        <f>AVERAGE(L17:L23)</f>
        <v>172.8051697530864</v>
      </c>
      <c r="M24" s="295"/>
      <c r="N24" s="295"/>
      <c r="O24" s="289"/>
      <c r="P24" s="289"/>
      <c r="Q24" s="289"/>
      <c r="R24" s="289"/>
    </row>
    <row r="25" spans="1:18">
      <c r="A25" s="635" t="s">
        <v>357</v>
      </c>
      <c r="B25" s="397" t="s">
        <v>126</v>
      </c>
      <c r="C25" s="308"/>
      <c r="D25" s="310" t="s">
        <v>104</v>
      </c>
      <c r="E25" s="309"/>
      <c r="F25" s="398">
        <v>18.53</v>
      </c>
      <c r="G25" s="444">
        <v>1607</v>
      </c>
      <c r="H25" s="291">
        <f t="shared" ref="H25:H37" si="8">F25*G25</f>
        <v>29777.710000000003</v>
      </c>
      <c r="I25" s="446"/>
      <c r="J25" s="292">
        <v>3</v>
      </c>
      <c r="K25" s="293">
        <f t="shared" ref="K25:K28" si="9">G25/P25*60</f>
        <v>2754.8571428571399</v>
      </c>
      <c r="L25" s="294">
        <f t="shared" ref="L25:L28" si="10">K25/J25</f>
        <v>918.28571428571331</v>
      </c>
      <c r="M25" s="295">
        <v>0.18055555555555555</v>
      </c>
      <c r="N25" s="295">
        <v>0.20486111111111113</v>
      </c>
      <c r="O25" s="289">
        <v>20</v>
      </c>
      <c r="P25" s="449">
        <f t="shared" ref="P25:P28" si="11">(N25-M25)*24*60</f>
        <v>35.000000000000036</v>
      </c>
      <c r="Q25" s="296">
        <v>0.20486111111111113</v>
      </c>
      <c r="R25" s="296">
        <v>0.24652777777777779</v>
      </c>
    </row>
    <row r="26" spans="1:18">
      <c r="A26" s="635"/>
      <c r="B26" s="397" t="s">
        <v>126</v>
      </c>
      <c r="C26" s="308"/>
      <c r="D26" s="310" t="s">
        <v>358</v>
      </c>
      <c r="E26" s="311"/>
      <c r="F26" s="398">
        <v>15.03</v>
      </c>
      <c r="G26" s="444">
        <v>833</v>
      </c>
      <c r="H26" s="291">
        <f t="shared" si="8"/>
        <v>12519.99</v>
      </c>
      <c r="I26" s="446"/>
      <c r="J26" s="292">
        <v>4</v>
      </c>
      <c r="K26" s="293">
        <f t="shared" si="9"/>
        <v>2776.6666666666765</v>
      </c>
      <c r="L26" s="294">
        <f t="shared" si="10"/>
        <v>694.16666666666913</v>
      </c>
      <c r="M26" s="295">
        <v>0.2638888888888889</v>
      </c>
      <c r="N26" s="295">
        <v>0.27638888888888885</v>
      </c>
      <c r="O26" s="289">
        <v>25</v>
      </c>
      <c r="P26" s="449">
        <f t="shared" si="11"/>
        <v>17.999999999999936</v>
      </c>
      <c r="Q26" s="296"/>
      <c r="R26" s="296"/>
    </row>
    <row r="27" spans="1:18">
      <c r="A27" s="635"/>
      <c r="B27" s="397" t="s">
        <v>126</v>
      </c>
      <c r="C27" s="308"/>
      <c r="D27" s="306" t="s">
        <v>102</v>
      </c>
      <c r="E27" s="311"/>
      <c r="F27" s="398">
        <v>18.18</v>
      </c>
      <c r="G27" s="444">
        <v>2874</v>
      </c>
      <c r="H27" s="291">
        <f t="shared" si="8"/>
        <v>52249.32</v>
      </c>
      <c r="I27" s="446"/>
      <c r="J27" s="292">
        <v>4</v>
      </c>
      <c r="K27" s="293">
        <f t="shared" si="9"/>
        <v>2781.2903225806476</v>
      </c>
      <c r="L27" s="294">
        <f t="shared" si="10"/>
        <v>695.32258064516191</v>
      </c>
      <c r="M27" s="295">
        <v>0.2902777777777778</v>
      </c>
      <c r="N27" s="295">
        <v>0.33333333333333331</v>
      </c>
      <c r="O27" s="289">
        <v>20</v>
      </c>
      <c r="P27" s="449">
        <f t="shared" si="11"/>
        <v>61.999999999999943</v>
      </c>
      <c r="Q27" s="296"/>
      <c r="R27" s="296"/>
    </row>
    <row r="28" spans="1:18">
      <c r="A28" s="635"/>
      <c r="B28" s="397" t="s">
        <v>126</v>
      </c>
      <c r="C28" s="445"/>
      <c r="D28" s="306" t="s">
        <v>359</v>
      </c>
      <c r="E28" s="311"/>
      <c r="F28" s="398">
        <v>24.93</v>
      </c>
      <c r="G28" s="444">
        <v>1920</v>
      </c>
      <c r="H28" s="291">
        <f t="shared" si="8"/>
        <v>47865.599999999999</v>
      </c>
      <c r="I28" s="446"/>
      <c r="J28" s="292">
        <v>3</v>
      </c>
      <c r="K28" s="293">
        <f t="shared" si="9"/>
        <v>2953.8461538461647</v>
      </c>
      <c r="L28" s="294">
        <f t="shared" si="10"/>
        <v>984.61538461538828</v>
      </c>
      <c r="M28" s="295">
        <v>0.34722222222222227</v>
      </c>
      <c r="N28" s="295">
        <v>0.3743055555555555</v>
      </c>
      <c r="O28" s="289">
        <v>20</v>
      </c>
      <c r="P28" s="449">
        <f t="shared" si="11"/>
        <v>38.999999999999858</v>
      </c>
      <c r="Q28" s="296"/>
      <c r="R28" s="296"/>
    </row>
    <row r="29" spans="1:18">
      <c r="A29" s="635"/>
      <c r="B29" s="397">
        <v>0</v>
      </c>
      <c r="C29" s="444"/>
      <c r="D29" s="310"/>
      <c r="E29" s="311"/>
      <c r="F29" s="398" t="s">
        <v>128</v>
      </c>
      <c r="G29" s="444"/>
      <c r="H29" s="291">
        <f t="shared" si="8"/>
        <v>0</v>
      </c>
      <c r="I29" s="446"/>
      <c r="J29" s="292"/>
      <c r="K29" s="293"/>
      <c r="L29" s="294"/>
      <c r="M29" s="295"/>
      <c r="N29" s="295"/>
      <c r="O29" s="289"/>
      <c r="P29" s="449"/>
      <c r="Q29" s="296"/>
      <c r="R29" s="296"/>
    </row>
    <row r="30" spans="1:18">
      <c r="A30" s="635"/>
      <c r="B30" s="397">
        <v>0</v>
      </c>
      <c r="C30" s="444"/>
      <c r="D30" s="310"/>
      <c r="E30" s="311"/>
      <c r="F30" s="398" t="s">
        <v>128</v>
      </c>
      <c r="G30" s="444"/>
      <c r="H30" s="291">
        <f t="shared" si="8"/>
        <v>0</v>
      </c>
      <c r="I30" s="446"/>
      <c r="J30" s="292"/>
      <c r="K30" s="293"/>
      <c r="L30" s="294"/>
      <c r="M30" s="295"/>
      <c r="N30" s="295"/>
      <c r="O30" s="289"/>
      <c r="P30" s="449"/>
      <c r="Q30" s="296"/>
      <c r="R30" s="296"/>
    </row>
    <row r="31" spans="1:18" ht="15.75" customHeight="1">
      <c r="A31" s="635"/>
      <c r="B31" s="397">
        <v>0</v>
      </c>
      <c r="C31" s="445"/>
      <c r="D31" s="306"/>
      <c r="E31" s="311"/>
      <c r="F31" s="398" t="s">
        <v>128</v>
      </c>
      <c r="G31" s="444"/>
      <c r="H31" s="291">
        <f t="shared" si="8"/>
        <v>0</v>
      </c>
      <c r="I31" s="446"/>
      <c r="J31" s="292"/>
      <c r="K31" s="293"/>
      <c r="L31" s="294"/>
      <c r="M31" s="295"/>
      <c r="N31" s="295"/>
      <c r="O31" s="289"/>
      <c r="P31" s="449"/>
      <c r="Q31" s="296"/>
      <c r="R31" s="296"/>
    </row>
    <row r="32" spans="1:18">
      <c r="A32" s="635"/>
      <c r="B32" s="397">
        <v>0</v>
      </c>
      <c r="C32" s="445"/>
      <c r="D32" s="310"/>
      <c r="E32" s="410"/>
      <c r="F32" s="398" t="s">
        <v>128</v>
      </c>
      <c r="G32" s="444"/>
      <c r="H32" s="291">
        <f t="shared" si="8"/>
        <v>0</v>
      </c>
      <c r="I32" s="446"/>
      <c r="J32" s="292"/>
      <c r="K32" s="293"/>
      <c r="L32" s="294"/>
      <c r="M32" s="295"/>
      <c r="N32" s="295"/>
      <c r="O32" s="289"/>
      <c r="P32" s="449"/>
      <c r="Q32" s="296"/>
      <c r="R32" s="296"/>
    </row>
    <row r="33" spans="1:18">
      <c r="A33" s="635"/>
      <c r="B33" s="397">
        <v>0</v>
      </c>
      <c r="C33" s="444"/>
      <c r="D33" s="306"/>
      <c r="E33" s="311"/>
      <c r="F33" s="398" t="s">
        <v>128</v>
      </c>
      <c r="G33" s="444"/>
      <c r="H33" s="291">
        <f t="shared" si="8"/>
        <v>0</v>
      </c>
      <c r="I33" s="446"/>
      <c r="J33" s="292"/>
      <c r="K33" s="293"/>
      <c r="L33" s="294"/>
      <c r="M33" s="295"/>
      <c r="N33" s="295"/>
      <c r="O33" s="289"/>
      <c r="P33" s="449"/>
      <c r="Q33" s="296"/>
      <c r="R33" s="296"/>
    </row>
    <row r="34" spans="1:18">
      <c r="A34" s="635"/>
      <c r="B34" s="397">
        <v>0</v>
      </c>
      <c r="C34" s="308"/>
      <c r="D34" s="310"/>
      <c r="E34" s="311"/>
      <c r="F34" s="398" t="s">
        <v>128</v>
      </c>
      <c r="G34" s="312"/>
      <c r="H34" s="291">
        <f t="shared" si="8"/>
        <v>0</v>
      </c>
      <c r="I34" s="446"/>
      <c r="J34" s="292"/>
      <c r="K34" s="293"/>
      <c r="L34" s="294"/>
      <c r="M34" s="295"/>
      <c r="N34" s="295"/>
      <c r="O34" s="289"/>
      <c r="P34" s="449"/>
      <c r="Q34" s="296"/>
      <c r="R34" s="296"/>
    </row>
    <row r="35" spans="1:18">
      <c r="A35" s="635"/>
      <c r="B35" s="397">
        <v>0</v>
      </c>
      <c r="C35" s="308"/>
      <c r="D35" s="310"/>
      <c r="E35" s="311"/>
      <c r="F35" s="398" t="s">
        <v>128</v>
      </c>
      <c r="G35" s="312"/>
      <c r="H35" s="291">
        <f t="shared" si="8"/>
        <v>0</v>
      </c>
      <c r="I35" s="446"/>
      <c r="J35" s="292"/>
      <c r="K35" s="293"/>
      <c r="L35" s="294"/>
      <c r="M35" s="295"/>
      <c r="N35" s="295"/>
      <c r="O35" s="289"/>
      <c r="P35" s="449"/>
      <c r="Q35" s="296"/>
      <c r="R35" s="296"/>
    </row>
    <row r="36" spans="1:18">
      <c r="A36" s="635"/>
      <c r="B36" s="397">
        <v>0</v>
      </c>
      <c r="C36" s="308"/>
      <c r="D36" s="310"/>
      <c r="E36" s="310"/>
      <c r="F36" s="398" t="s">
        <v>128</v>
      </c>
      <c r="G36" s="312"/>
      <c r="H36" s="291">
        <f t="shared" si="8"/>
        <v>0</v>
      </c>
      <c r="I36" s="446"/>
      <c r="J36" s="292"/>
      <c r="K36" s="293"/>
      <c r="L36" s="294"/>
      <c r="M36" s="295"/>
      <c r="N36" s="295"/>
      <c r="O36" s="289"/>
      <c r="P36" s="449"/>
      <c r="Q36" s="296"/>
      <c r="R36" s="296"/>
    </row>
    <row r="37" spans="1:18">
      <c r="A37" s="635"/>
      <c r="B37" s="397">
        <v>0</v>
      </c>
      <c r="C37" s="308"/>
      <c r="D37" s="309"/>
      <c r="E37" s="309"/>
      <c r="F37" s="398" t="s">
        <v>128</v>
      </c>
      <c r="G37" s="312"/>
      <c r="H37" s="291">
        <f t="shared" si="8"/>
        <v>0</v>
      </c>
      <c r="I37" s="446"/>
      <c r="J37" s="292"/>
      <c r="K37" s="293"/>
      <c r="L37" s="294"/>
      <c r="M37" s="295"/>
      <c r="N37" s="295"/>
      <c r="O37" s="289"/>
      <c r="P37" s="449"/>
      <c r="Q37" s="296"/>
      <c r="R37" s="296"/>
    </row>
    <row r="38" spans="1:18" ht="17.399999999999999" customHeight="1">
      <c r="A38" s="636"/>
      <c r="B38" s="397">
        <v>0</v>
      </c>
      <c r="C38" s="6" t="s">
        <v>27</v>
      </c>
      <c r="D38" s="614" t="s">
        <v>103</v>
      </c>
      <c r="E38" s="614"/>
      <c r="F38" s="298"/>
      <c r="G38" s="313"/>
      <c r="H38" s="300"/>
      <c r="I38" s="301"/>
      <c r="J38" s="302">
        <f>AVERAGE(J25:J37)</f>
        <v>3.5</v>
      </c>
      <c r="K38" s="302">
        <f>AVERAGE(K25:K37)</f>
        <v>2816.6650714876573</v>
      </c>
      <c r="L38" s="303">
        <f>AVERAGE(L25:L37)</f>
        <v>823.09758655323321</v>
      </c>
      <c r="M38" s="295"/>
      <c r="N38" s="295"/>
      <c r="O38" s="293"/>
      <c r="P38" s="293"/>
      <c r="Q38" s="294"/>
      <c r="R38" s="294"/>
    </row>
    <row r="39" spans="1:18" ht="16.2" customHeight="1">
      <c r="A39" s="624" t="s">
        <v>360</v>
      </c>
      <c r="B39" s="397">
        <v>0</v>
      </c>
      <c r="C39" s="445"/>
      <c r="D39" s="310"/>
      <c r="E39" s="410"/>
      <c r="F39" s="398" t="s">
        <v>128</v>
      </c>
      <c r="G39" s="444"/>
      <c r="H39" s="291">
        <f t="shared" ref="H39:H47" si="12">F39*G39</f>
        <v>0</v>
      </c>
      <c r="I39" s="446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625"/>
      <c r="B40" s="397">
        <v>0</v>
      </c>
      <c r="C40" s="445"/>
      <c r="D40" s="310"/>
      <c r="E40" s="410"/>
      <c r="F40" s="398" t="s">
        <v>128</v>
      </c>
      <c r="G40" s="444"/>
      <c r="H40" s="291">
        <f t="shared" si="12"/>
        <v>0</v>
      </c>
      <c r="I40" s="446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625"/>
      <c r="B41" s="397">
        <v>0</v>
      </c>
      <c r="C41" s="445"/>
      <c r="D41" s="323"/>
      <c r="E41" s="410"/>
      <c r="F41" s="398" t="s">
        <v>128</v>
      </c>
      <c r="G41" s="444"/>
      <c r="H41" s="291">
        <f t="shared" si="12"/>
        <v>0</v>
      </c>
      <c r="I41" s="446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625"/>
      <c r="B42" s="397">
        <v>0</v>
      </c>
      <c r="C42" s="445"/>
      <c r="D42" s="323"/>
      <c r="E42" s="410"/>
      <c r="F42" s="398" t="s">
        <v>128</v>
      </c>
      <c r="G42" s="444"/>
      <c r="H42" s="291">
        <f t="shared" si="12"/>
        <v>0</v>
      </c>
      <c r="I42" s="446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625"/>
      <c r="B43" s="397">
        <v>0</v>
      </c>
      <c r="C43" s="445"/>
      <c r="D43" s="310"/>
      <c r="E43" s="410"/>
      <c r="F43" s="398" t="s">
        <v>128</v>
      </c>
      <c r="G43" s="444"/>
      <c r="H43" s="291">
        <f t="shared" si="12"/>
        <v>0</v>
      </c>
      <c r="I43" s="446"/>
      <c r="J43" s="292"/>
      <c r="K43" s="293"/>
      <c r="L43" s="294"/>
      <c r="M43" s="295"/>
      <c r="N43" s="295"/>
      <c r="O43" s="289"/>
      <c r="P43" s="449"/>
      <c r="Q43" s="296"/>
      <c r="R43" s="296"/>
    </row>
    <row r="44" spans="1:18">
      <c r="A44" s="625"/>
      <c r="B44" s="397">
        <v>0</v>
      </c>
      <c r="C44" s="445"/>
      <c r="D44" s="400"/>
      <c r="E44" s="315"/>
      <c r="F44" s="398" t="s">
        <v>128</v>
      </c>
      <c r="G44" s="316"/>
      <c r="H44" s="317">
        <f t="shared" si="12"/>
        <v>0</v>
      </c>
      <c r="I44" s="447"/>
      <c r="J44" s="292"/>
      <c r="K44" s="293"/>
      <c r="L44" s="294"/>
      <c r="M44" s="295"/>
      <c r="N44" s="295"/>
      <c r="O44" s="289"/>
      <c r="P44" s="449"/>
      <c r="Q44" s="296"/>
      <c r="R44" s="296"/>
    </row>
    <row r="45" spans="1:18">
      <c r="A45" s="625"/>
      <c r="B45" s="397">
        <v>0</v>
      </c>
      <c r="C45" s="445"/>
      <c r="D45" s="323"/>
      <c r="E45" s="311"/>
      <c r="F45" s="398" t="s">
        <v>128</v>
      </c>
      <c r="G45" s="444"/>
      <c r="H45" s="291">
        <f t="shared" si="12"/>
        <v>0</v>
      </c>
      <c r="I45" s="446"/>
      <c r="J45" s="292"/>
      <c r="K45" s="293"/>
      <c r="L45" s="294"/>
      <c r="M45" s="295"/>
      <c r="N45" s="295"/>
      <c r="O45" s="289"/>
      <c r="P45" s="449"/>
      <c r="Q45" s="296"/>
      <c r="R45" s="296"/>
    </row>
    <row r="46" spans="1:18">
      <c r="A46" s="625"/>
      <c r="B46" s="397">
        <v>0</v>
      </c>
      <c r="C46" s="445"/>
      <c r="D46" s="323"/>
      <c r="E46" s="315"/>
      <c r="F46" s="398" t="s">
        <v>128</v>
      </c>
      <c r="G46" s="316"/>
      <c r="H46" s="317">
        <f t="shared" si="12"/>
        <v>0</v>
      </c>
      <c r="I46" s="447"/>
      <c r="J46" s="292"/>
      <c r="K46" s="293"/>
      <c r="L46" s="294"/>
      <c r="M46" s="295"/>
      <c r="N46" s="295"/>
      <c r="O46" s="289"/>
      <c r="P46" s="449"/>
      <c r="Q46" s="296"/>
      <c r="R46" s="296"/>
    </row>
    <row r="47" spans="1:18">
      <c r="A47" s="625"/>
      <c r="B47" s="397">
        <v>0</v>
      </c>
      <c r="C47" s="445"/>
      <c r="D47" s="309"/>
      <c r="E47" s="311"/>
      <c r="F47" s="398" t="s">
        <v>128</v>
      </c>
      <c r="G47" s="444"/>
      <c r="H47" s="291">
        <f t="shared" si="12"/>
        <v>0</v>
      </c>
      <c r="I47" s="446"/>
      <c r="J47" s="292"/>
      <c r="K47" s="293"/>
      <c r="L47" s="294"/>
      <c r="M47" s="295"/>
      <c r="N47" s="295"/>
      <c r="O47" s="289"/>
      <c r="P47" s="449"/>
      <c r="Q47" s="296"/>
      <c r="R47" s="296"/>
    </row>
    <row r="48" spans="1:18">
      <c r="A48" s="626"/>
      <c r="B48" s="397">
        <v>0</v>
      </c>
      <c r="C48" s="444"/>
      <c r="D48" s="309"/>
      <c r="E48" s="401"/>
      <c r="F48" s="398" t="s">
        <v>128</v>
      </c>
      <c r="G48" s="444"/>
      <c r="H48" s="291"/>
      <c r="I48" s="446"/>
      <c r="J48" s="292"/>
      <c r="K48" s="293"/>
      <c r="L48" s="294"/>
      <c r="M48" s="295"/>
      <c r="N48" s="295"/>
      <c r="O48" s="289"/>
      <c r="P48" s="449"/>
      <c r="Q48" s="296"/>
      <c r="R48" s="296"/>
    </row>
    <row r="49" spans="1:18">
      <c r="A49" s="626"/>
      <c r="B49" s="397">
        <v>0</v>
      </c>
      <c r="C49" s="444"/>
      <c r="D49" s="310"/>
      <c r="E49" s="318"/>
      <c r="F49" s="398" t="s">
        <v>128</v>
      </c>
      <c r="G49" s="289"/>
      <c r="H49" s="317">
        <f>F49*G49</f>
        <v>0</v>
      </c>
      <c r="I49" s="449"/>
      <c r="J49" s="292"/>
      <c r="K49" s="293"/>
      <c r="L49" s="294"/>
      <c r="M49" s="295"/>
      <c r="N49" s="295"/>
      <c r="O49" s="289"/>
      <c r="P49" s="449"/>
      <c r="Q49" s="296"/>
      <c r="R49" s="296"/>
    </row>
    <row r="50" spans="1:18">
      <c r="A50" s="626"/>
      <c r="B50" s="397">
        <v>0</v>
      </c>
      <c r="C50" s="444"/>
      <c r="D50" s="309"/>
      <c r="E50" s="318"/>
      <c r="F50" s="398" t="s">
        <v>128</v>
      </c>
      <c r="G50" s="289"/>
      <c r="H50" s="317">
        <f>F50*G50</f>
        <v>0</v>
      </c>
      <c r="I50" s="449"/>
      <c r="J50" s="292"/>
      <c r="K50" s="293"/>
      <c r="L50" s="294"/>
      <c r="M50" s="295"/>
      <c r="N50" s="295"/>
      <c r="O50" s="289"/>
      <c r="P50" s="449"/>
      <c r="Q50" s="296"/>
      <c r="R50" s="296"/>
    </row>
    <row r="51" spans="1:18" ht="15.75" customHeight="1">
      <c r="A51" s="627"/>
      <c r="B51" s="397">
        <v>0</v>
      </c>
      <c r="C51" s="6" t="s">
        <v>28</v>
      </c>
      <c r="D51" s="628" t="s">
        <v>353</v>
      </c>
      <c r="E51" s="628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629" t="s">
        <v>361</v>
      </c>
      <c r="B52" s="397" t="s">
        <v>126</v>
      </c>
      <c r="C52" s="445"/>
      <c r="D52" s="309" t="s">
        <v>109</v>
      </c>
      <c r="E52" s="402"/>
      <c r="F52" s="398">
        <v>18.18</v>
      </c>
      <c r="G52" s="444">
        <v>940</v>
      </c>
      <c r="H52" s="291">
        <f>F52*G52</f>
        <v>17089.2</v>
      </c>
      <c r="I52" s="446"/>
      <c r="J52" s="292">
        <v>3</v>
      </c>
      <c r="K52" s="293">
        <f>G52/P52*60</f>
        <v>3133.3333333333308</v>
      </c>
      <c r="L52" s="294">
        <f>K52/J52</f>
        <v>1044.4444444444437</v>
      </c>
      <c r="M52" s="295">
        <v>0.30555555555555552</v>
      </c>
      <c r="N52" s="295">
        <v>0.31805555555555554</v>
      </c>
      <c r="O52" s="293">
        <v>20</v>
      </c>
      <c r="P52" s="449">
        <f>(N52-M52)*24*60</f>
        <v>18.000000000000014</v>
      </c>
      <c r="Q52" s="296"/>
      <c r="R52" s="296"/>
    </row>
    <row r="53" spans="1:18" ht="15.6" customHeight="1">
      <c r="A53" s="630"/>
      <c r="B53" s="397" t="s">
        <v>126</v>
      </c>
      <c r="C53" s="445"/>
      <c r="D53" s="309" t="s">
        <v>105</v>
      </c>
      <c r="E53" s="322"/>
      <c r="F53" s="398">
        <v>25.03</v>
      </c>
      <c r="G53" s="297">
        <v>617</v>
      </c>
      <c r="H53" s="291">
        <f t="shared" ref="H53:H116" si="13">F53*G53</f>
        <v>15443.51</v>
      </c>
      <c r="I53" s="446"/>
      <c r="J53" s="292">
        <v>4</v>
      </c>
      <c r="K53" s="293">
        <f t="shared" ref="K53:K59" si="14">G53/P53*60</f>
        <v>3085.0000000000109</v>
      </c>
      <c r="L53" s="294">
        <f t="shared" ref="L53:L59" si="15">K53/J53</f>
        <v>771.25000000000273</v>
      </c>
      <c r="M53" s="295">
        <v>0.33194444444444443</v>
      </c>
      <c r="N53" s="295">
        <v>0.34027777777777773</v>
      </c>
      <c r="O53" s="293">
        <v>20</v>
      </c>
      <c r="P53" s="449">
        <f t="shared" ref="P53:P59" si="16">(N53-M53)*24*60</f>
        <v>11.999999999999957</v>
      </c>
      <c r="Q53" s="296"/>
      <c r="R53" s="296"/>
    </row>
    <row r="54" spans="1:18" ht="15.6" customHeight="1">
      <c r="A54" s="630"/>
      <c r="B54" s="397" t="s">
        <v>126</v>
      </c>
      <c r="C54" s="445"/>
      <c r="D54" s="309" t="s">
        <v>106</v>
      </c>
      <c r="E54" s="410"/>
      <c r="F54" s="398">
        <v>24.82</v>
      </c>
      <c r="G54" s="297">
        <v>823</v>
      </c>
      <c r="H54" s="291">
        <f t="shared" si="13"/>
        <v>20426.86</v>
      </c>
      <c r="I54" s="446"/>
      <c r="J54" s="292">
        <v>4</v>
      </c>
      <c r="K54" s="293">
        <f t="shared" si="14"/>
        <v>3086.2499999999959</v>
      </c>
      <c r="L54" s="294">
        <f t="shared" si="15"/>
        <v>771.56249999999898</v>
      </c>
      <c r="M54" s="295">
        <v>0.35416666666666669</v>
      </c>
      <c r="N54" s="295">
        <v>0.36527777777777781</v>
      </c>
      <c r="O54" s="293">
        <v>20</v>
      </c>
      <c r="P54" s="449">
        <f t="shared" si="16"/>
        <v>16.000000000000021</v>
      </c>
      <c r="Q54" s="296"/>
      <c r="R54" s="296"/>
    </row>
    <row r="55" spans="1:18" ht="15.6" customHeight="1">
      <c r="A55" s="630"/>
      <c r="B55" s="397" t="s">
        <v>126</v>
      </c>
      <c r="C55" s="445"/>
      <c r="D55" s="310" t="s">
        <v>362</v>
      </c>
      <c r="E55" s="311"/>
      <c r="F55" s="398">
        <v>23.72</v>
      </c>
      <c r="G55" s="297">
        <v>599</v>
      </c>
      <c r="H55" s="291">
        <f t="shared" si="13"/>
        <v>14208.279999999999</v>
      </c>
      <c r="I55" s="446"/>
      <c r="J55" s="292">
        <v>4</v>
      </c>
      <c r="K55" s="293">
        <f t="shared" si="14"/>
        <v>2994.9999999999905</v>
      </c>
      <c r="L55" s="294">
        <f t="shared" si="15"/>
        <v>748.74999999999761</v>
      </c>
      <c r="M55" s="295">
        <v>0.37916666666666665</v>
      </c>
      <c r="N55" s="295">
        <v>0.38750000000000001</v>
      </c>
      <c r="O55" s="293">
        <v>20</v>
      </c>
      <c r="P55" s="449">
        <f t="shared" si="16"/>
        <v>12.000000000000037</v>
      </c>
      <c r="Q55" s="296">
        <v>0.38750000000000001</v>
      </c>
      <c r="R55" s="296">
        <v>0.4291666666666667</v>
      </c>
    </row>
    <row r="56" spans="1:18" ht="15.6" customHeight="1">
      <c r="A56" s="630"/>
      <c r="B56" s="397" t="s">
        <v>126</v>
      </c>
      <c r="C56" s="445"/>
      <c r="D56" s="309" t="s">
        <v>107</v>
      </c>
      <c r="E56" s="311"/>
      <c r="F56" s="398">
        <v>30</v>
      </c>
      <c r="G56" s="297">
        <v>1209</v>
      </c>
      <c r="H56" s="291">
        <f t="shared" si="13"/>
        <v>36270</v>
      </c>
      <c r="I56" s="446"/>
      <c r="J56" s="292">
        <v>4</v>
      </c>
      <c r="K56" s="293">
        <f t="shared" si="14"/>
        <v>3153.9130434782724</v>
      </c>
      <c r="L56" s="294">
        <f t="shared" si="15"/>
        <v>788.47826086956809</v>
      </c>
      <c r="M56" s="295">
        <v>0.4465277777777778</v>
      </c>
      <c r="N56" s="295">
        <v>0.46249999999999997</v>
      </c>
      <c r="O56" s="293">
        <v>25</v>
      </c>
      <c r="P56" s="449">
        <f t="shared" si="16"/>
        <v>22.999999999999918</v>
      </c>
      <c r="Q56" s="296"/>
      <c r="R56" s="296"/>
    </row>
    <row r="57" spans="1:18" ht="15.75" customHeight="1">
      <c r="A57" s="630"/>
      <c r="B57" s="397" t="s">
        <v>126</v>
      </c>
      <c r="C57" s="6" t="s">
        <v>31</v>
      </c>
      <c r="D57" s="323" t="s">
        <v>363</v>
      </c>
      <c r="E57" s="311"/>
      <c r="F57" s="398">
        <v>25.2</v>
      </c>
      <c r="G57" s="297">
        <v>630</v>
      </c>
      <c r="H57" s="291">
        <f t="shared" si="13"/>
        <v>15876</v>
      </c>
      <c r="I57" s="446"/>
      <c r="J57" s="292">
        <v>3</v>
      </c>
      <c r="K57" s="293">
        <f t="shared" si="14"/>
        <v>3150.0000000000109</v>
      </c>
      <c r="L57" s="294">
        <f t="shared" si="15"/>
        <v>1050.0000000000036</v>
      </c>
      <c r="M57" s="295">
        <v>0.47638888888888892</v>
      </c>
      <c r="N57" s="295">
        <v>0.48472222222222222</v>
      </c>
      <c r="O57" s="293">
        <v>20</v>
      </c>
      <c r="P57" s="449">
        <f t="shared" si="16"/>
        <v>11.999999999999957</v>
      </c>
      <c r="Q57" s="296"/>
      <c r="R57" s="296"/>
    </row>
    <row r="58" spans="1:18" ht="15.6" customHeight="1">
      <c r="A58" s="630"/>
      <c r="B58" s="397" t="s">
        <v>126</v>
      </c>
      <c r="C58" s="403"/>
      <c r="D58" s="323" t="s">
        <v>364</v>
      </c>
      <c r="E58" s="311"/>
      <c r="F58" s="398">
        <v>20.72</v>
      </c>
      <c r="G58" s="324">
        <v>1477</v>
      </c>
      <c r="H58" s="291">
        <f t="shared" si="13"/>
        <v>30603.439999999999</v>
      </c>
      <c r="I58" s="446"/>
      <c r="J58" s="292">
        <v>3</v>
      </c>
      <c r="K58" s="293">
        <f t="shared" si="14"/>
        <v>3164.9999999999932</v>
      </c>
      <c r="L58" s="294">
        <f t="shared" si="15"/>
        <v>1054.9999999999977</v>
      </c>
      <c r="M58" s="295">
        <v>0.49861111111111112</v>
      </c>
      <c r="N58" s="295">
        <v>0.5180555555555556</v>
      </c>
      <c r="O58" s="293">
        <v>20</v>
      </c>
      <c r="P58" s="449">
        <f t="shared" si="16"/>
        <v>28.00000000000006</v>
      </c>
      <c r="Q58" s="296"/>
      <c r="R58" s="296"/>
    </row>
    <row r="59" spans="1:18" ht="15.6" customHeight="1">
      <c r="A59" s="630"/>
      <c r="B59" s="397" t="s">
        <v>126</v>
      </c>
      <c r="C59" s="445"/>
      <c r="D59" s="309" t="s">
        <v>365</v>
      </c>
      <c r="E59" s="311"/>
      <c r="F59" s="398">
        <v>17.07</v>
      </c>
      <c r="G59" s="297">
        <v>1789</v>
      </c>
      <c r="H59" s="291">
        <f t="shared" si="13"/>
        <v>30538.23</v>
      </c>
      <c r="I59" s="446"/>
      <c r="J59" s="292">
        <v>3</v>
      </c>
      <c r="K59" s="293">
        <f t="shared" si="14"/>
        <v>3157.0588235294081</v>
      </c>
      <c r="L59" s="294">
        <f t="shared" si="15"/>
        <v>1052.3529411764694</v>
      </c>
      <c r="M59" s="295">
        <v>0.53194444444444444</v>
      </c>
      <c r="N59" s="295">
        <v>0.55555555555555558</v>
      </c>
      <c r="O59" s="293">
        <v>20</v>
      </c>
      <c r="P59" s="449">
        <f t="shared" si="16"/>
        <v>34.000000000000043</v>
      </c>
      <c r="Q59" s="296"/>
      <c r="R59" s="296"/>
    </row>
    <row r="60" spans="1:18" ht="15.6" customHeight="1">
      <c r="A60" s="630"/>
      <c r="B60" s="397">
        <v>0</v>
      </c>
      <c r="C60" s="445"/>
      <c r="D60" s="309"/>
      <c r="E60" s="325"/>
      <c r="F60" s="398" t="s">
        <v>128</v>
      </c>
      <c r="G60" s="297"/>
      <c r="H60" s="291">
        <f t="shared" si="13"/>
        <v>0</v>
      </c>
      <c r="I60" s="446"/>
      <c r="J60" s="292"/>
      <c r="K60" s="293"/>
      <c r="L60" s="294"/>
      <c r="M60" s="295"/>
      <c r="N60" s="295"/>
      <c r="O60" s="293"/>
      <c r="P60" s="449"/>
      <c r="Q60" s="296"/>
      <c r="R60" s="296"/>
    </row>
    <row r="61" spans="1:18" ht="15.6" customHeight="1">
      <c r="A61" s="630"/>
      <c r="B61" s="397">
        <v>0</v>
      </c>
      <c r="C61" s="445"/>
      <c r="D61" s="310"/>
      <c r="E61" s="311"/>
      <c r="F61" s="398" t="s">
        <v>128</v>
      </c>
      <c r="G61" s="297"/>
      <c r="H61" s="291">
        <f t="shared" si="13"/>
        <v>0</v>
      </c>
      <c r="I61" s="446"/>
      <c r="J61" s="292"/>
      <c r="K61" s="293"/>
      <c r="L61" s="294"/>
      <c r="M61" s="295"/>
      <c r="N61" s="295"/>
      <c r="O61" s="293"/>
      <c r="P61" s="449"/>
      <c r="Q61" s="296"/>
      <c r="R61" s="296"/>
    </row>
    <row r="62" spans="1:18" ht="15.6" customHeight="1">
      <c r="A62" s="630"/>
      <c r="B62" s="397">
        <v>0</v>
      </c>
      <c r="C62" s="445"/>
      <c r="D62" s="309"/>
      <c r="E62" s="404"/>
      <c r="F62" s="398" t="s">
        <v>128</v>
      </c>
      <c r="G62" s="297"/>
      <c r="H62" s="291">
        <f t="shared" si="13"/>
        <v>0</v>
      </c>
      <c r="I62" s="446"/>
      <c r="J62" s="292"/>
      <c r="K62" s="293"/>
      <c r="L62" s="294"/>
      <c r="M62" s="295"/>
      <c r="N62" s="295"/>
      <c r="O62" s="293"/>
      <c r="P62" s="449"/>
      <c r="Q62" s="296"/>
      <c r="R62" s="296"/>
    </row>
    <row r="63" spans="1:18" ht="15.6" customHeight="1">
      <c r="A63" s="630"/>
      <c r="B63" s="397">
        <v>0</v>
      </c>
      <c r="C63" s="403"/>
      <c r="D63" s="405"/>
      <c r="E63" s="325"/>
      <c r="F63" s="398" t="s">
        <v>128</v>
      </c>
      <c r="G63" s="297"/>
      <c r="H63" s="291">
        <f t="shared" si="13"/>
        <v>0</v>
      </c>
      <c r="I63" s="447"/>
      <c r="J63" s="292"/>
      <c r="K63" s="293"/>
      <c r="L63" s="294"/>
      <c r="M63" s="295"/>
      <c r="N63" s="295"/>
      <c r="O63" s="289"/>
      <c r="P63" s="449"/>
      <c r="Q63" s="296"/>
      <c r="R63" s="296"/>
    </row>
    <row r="64" spans="1:18" ht="15.75" customHeight="1">
      <c r="A64" s="631"/>
      <c r="B64" s="397">
        <v>0</v>
      </c>
      <c r="C64" s="6" t="s">
        <v>366</v>
      </c>
      <c r="D64" s="628" t="s">
        <v>353</v>
      </c>
      <c r="E64" s="628"/>
      <c r="F64" s="298"/>
      <c r="G64" s="303"/>
      <c r="H64" s="319"/>
      <c r="I64" s="320"/>
      <c r="J64" s="302">
        <f>AVERAGE(J52:J63)</f>
        <v>3.5</v>
      </c>
      <c r="K64" s="302">
        <f>AVERAGE(K52:K63)</f>
        <v>3115.694400042627</v>
      </c>
      <c r="L64" s="303">
        <f>AVERAGE(L52:L63)</f>
        <v>910.22976831131029</v>
      </c>
      <c r="M64" s="295"/>
      <c r="N64" s="295"/>
      <c r="O64" s="289"/>
      <c r="P64" s="289"/>
      <c r="Q64" s="289"/>
      <c r="R64" s="289"/>
    </row>
    <row r="65" spans="1:18" ht="15.6" customHeight="1">
      <c r="A65" s="632" t="s">
        <v>367</v>
      </c>
      <c r="B65" s="397" t="s">
        <v>126</v>
      </c>
      <c r="C65" s="445"/>
      <c r="D65" s="310" t="s">
        <v>368</v>
      </c>
      <c r="E65" s="402"/>
      <c r="F65" s="398">
        <v>22.281818181818181</v>
      </c>
      <c r="G65" s="444">
        <v>630</v>
      </c>
      <c r="H65" s="291">
        <f>F65*G65</f>
        <v>14037.545454545454</v>
      </c>
      <c r="I65" s="446"/>
      <c r="J65" s="292">
        <v>4</v>
      </c>
      <c r="K65" s="293">
        <f t="shared" ref="K65:K70" si="17">G65/P65*60</f>
        <v>3150.0000000000009</v>
      </c>
      <c r="L65" s="294">
        <f t="shared" ref="L65:L70" si="18">K65/J65</f>
        <v>787.50000000000023</v>
      </c>
      <c r="M65" s="295">
        <v>0.18055555555555555</v>
      </c>
      <c r="N65" s="295">
        <v>0.18888888888888888</v>
      </c>
      <c r="O65" s="293">
        <v>20</v>
      </c>
      <c r="P65" s="449">
        <f>(N65-M65)*24*60</f>
        <v>11.999999999999996</v>
      </c>
      <c r="Q65" s="296"/>
      <c r="R65" s="296"/>
    </row>
    <row r="66" spans="1:18" ht="15.6" customHeight="1">
      <c r="A66" s="633"/>
      <c r="B66" s="397" t="s">
        <v>126</v>
      </c>
      <c r="C66" s="445"/>
      <c r="D66" s="400" t="s">
        <v>108</v>
      </c>
      <c r="E66" s="322"/>
      <c r="F66" s="398">
        <v>14.03</v>
      </c>
      <c r="G66" s="297">
        <v>2928</v>
      </c>
      <c r="H66" s="291">
        <f t="shared" ref="H66:H74" si="19">F66*G66</f>
        <v>41079.839999999997</v>
      </c>
      <c r="I66" s="446"/>
      <c r="J66" s="292">
        <v>3</v>
      </c>
      <c r="K66" s="293">
        <f t="shared" si="17"/>
        <v>3194.1818181818203</v>
      </c>
      <c r="L66" s="294">
        <f t="shared" si="18"/>
        <v>1064.7272727272734</v>
      </c>
      <c r="M66" s="295">
        <v>0.20277777777777781</v>
      </c>
      <c r="N66" s="295">
        <v>0.24097222222222223</v>
      </c>
      <c r="O66" s="293">
        <v>20</v>
      </c>
      <c r="P66" s="449">
        <f t="shared" ref="P66:P70" si="20">(N66-M66)*24*60</f>
        <v>54.999999999999964</v>
      </c>
      <c r="Q66" s="296"/>
      <c r="R66" s="296"/>
    </row>
    <row r="67" spans="1:18" ht="15.6" customHeight="1">
      <c r="A67" s="633"/>
      <c r="B67" s="397" t="s">
        <v>126</v>
      </c>
      <c r="C67" s="445"/>
      <c r="D67" s="310" t="s">
        <v>110</v>
      </c>
      <c r="E67" s="311"/>
      <c r="F67" s="398">
        <v>18.18</v>
      </c>
      <c r="G67" s="297">
        <v>1497</v>
      </c>
      <c r="H67" s="291">
        <f t="shared" si="19"/>
        <v>27215.46</v>
      </c>
      <c r="I67" s="446"/>
      <c r="J67" s="292">
        <v>3</v>
      </c>
      <c r="K67" s="293">
        <f t="shared" si="17"/>
        <v>3097.2413793103469</v>
      </c>
      <c r="L67" s="294">
        <f t="shared" si="18"/>
        <v>1032.4137931034491</v>
      </c>
      <c r="M67" s="295">
        <v>0.25486111111111109</v>
      </c>
      <c r="N67" s="295">
        <v>0.27499999999999997</v>
      </c>
      <c r="O67" s="293">
        <v>20</v>
      </c>
      <c r="P67" s="449">
        <f t="shared" si="20"/>
        <v>28.999999999999979</v>
      </c>
      <c r="Q67" s="296"/>
      <c r="R67" s="296"/>
    </row>
    <row r="68" spans="1:18" ht="15.6" customHeight="1">
      <c r="A68" s="633"/>
      <c r="B68" s="397" t="s">
        <v>126</v>
      </c>
      <c r="C68" s="445"/>
      <c r="D68" s="323" t="s">
        <v>369</v>
      </c>
      <c r="E68" s="311"/>
      <c r="F68" s="398">
        <v>17.890909090909091</v>
      </c>
      <c r="G68" s="297">
        <v>1547</v>
      </c>
      <c r="H68" s="291">
        <f t="shared" si="19"/>
        <v>27677.236363636363</v>
      </c>
      <c r="I68" s="446"/>
      <c r="J68" s="292">
        <v>3</v>
      </c>
      <c r="K68" s="293">
        <f t="shared" si="17"/>
        <v>3094.0000000000027</v>
      </c>
      <c r="L68" s="294">
        <f t="shared" si="18"/>
        <v>1031.3333333333342</v>
      </c>
      <c r="M68" s="295">
        <v>0.28888888888888892</v>
      </c>
      <c r="N68" s="295">
        <v>0.30972222222222223</v>
      </c>
      <c r="O68" s="293">
        <v>20</v>
      </c>
      <c r="P68" s="449">
        <f t="shared" si="20"/>
        <v>29.999999999999972</v>
      </c>
      <c r="Q68" s="296">
        <v>0.30972222222222223</v>
      </c>
      <c r="R68" s="296">
        <v>0.35138888888888892</v>
      </c>
    </row>
    <row r="69" spans="1:18" ht="15.6" customHeight="1">
      <c r="A69" s="633"/>
      <c r="B69" s="397" t="s">
        <v>126</v>
      </c>
      <c r="C69" s="445"/>
      <c r="D69" s="310" t="s">
        <v>370</v>
      </c>
      <c r="E69" s="311"/>
      <c r="F69" s="398">
        <v>16.66</v>
      </c>
      <c r="G69" s="297">
        <v>2825</v>
      </c>
      <c r="H69" s="291">
        <f t="shared" si="19"/>
        <v>47064.5</v>
      </c>
      <c r="I69" s="446"/>
      <c r="J69" s="292">
        <v>4</v>
      </c>
      <c r="K69" s="293">
        <f t="shared" si="17"/>
        <v>3198.1132075471719</v>
      </c>
      <c r="L69" s="294">
        <f t="shared" si="18"/>
        <v>799.52830188679297</v>
      </c>
      <c r="M69" s="295">
        <v>0.36874999999999997</v>
      </c>
      <c r="N69" s="295">
        <v>0.4055555555555555</v>
      </c>
      <c r="O69" s="293">
        <v>25</v>
      </c>
      <c r="P69" s="449">
        <f t="shared" si="20"/>
        <v>52.999999999999972</v>
      </c>
      <c r="Q69" s="296"/>
      <c r="R69" s="296"/>
    </row>
    <row r="70" spans="1:18" ht="15.75" customHeight="1">
      <c r="A70" s="633"/>
      <c r="B70" s="397" t="s">
        <v>126</v>
      </c>
      <c r="C70" s="6" t="s">
        <v>31</v>
      </c>
      <c r="D70" s="323" t="s">
        <v>111</v>
      </c>
      <c r="E70" s="311"/>
      <c r="F70" s="398">
        <v>14.285714285714283</v>
      </c>
      <c r="G70" s="297">
        <v>4285</v>
      </c>
      <c r="H70" s="291">
        <f t="shared" si="19"/>
        <v>61214.285714285703</v>
      </c>
      <c r="I70" s="446"/>
      <c r="J70" s="292">
        <v>3</v>
      </c>
      <c r="K70" s="293">
        <f t="shared" si="17"/>
        <v>3174.0740740740757</v>
      </c>
      <c r="L70" s="294">
        <f t="shared" si="18"/>
        <v>1058.0246913580252</v>
      </c>
      <c r="M70" s="295">
        <v>0.41944444444444445</v>
      </c>
      <c r="N70" s="295">
        <v>0.47569444444444442</v>
      </c>
      <c r="O70" s="293">
        <v>20</v>
      </c>
      <c r="P70" s="449">
        <f t="shared" si="20"/>
        <v>80.999999999999957</v>
      </c>
      <c r="Q70" s="296"/>
      <c r="R70" s="296"/>
    </row>
    <row r="71" spans="1:18" ht="15.6" customHeight="1">
      <c r="A71" s="633"/>
      <c r="B71" s="397">
        <v>0</v>
      </c>
      <c r="C71" s="403"/>
      <c r="D71" s="310"/>
      <c r="E71" s="311"/>
      <c r="F71" s="398" t="s">
        <v>128</v>
      </c>
      <c r="G71" s="324"/>
      <c r="H71" s="291">
        <f t="shared" si="19"/>
        <v>0</v>
      </c>
      <c r="I71" s="446"/>
      <c r="J71" s="292"/>
      <c r="K71" s="293"/>
      <c r="L71" s="294"/>
      <c r="M71" s="295"/>
      <c r="N71" s="295"/>
      <c r="O71" s="293"/>
      <c r="P71" s="449"/>
      <c r="Q71" s="296"/>
      <c r="R71" s="296"/>
    </row>
    <row r="72" spans="1:18" ht="15.6" customHeight="1">
      <c r="A72" s="633"/>
      <c r="B72" s="397">
        <v>0</v>
      </c>
      <c r="C72" s="445"/>
      <c r="D72" s="323"/>
      <c r="E72" s="311"/>
      <c r="F72" s="398" t="s">
        <v>128</v>
      </c>
      <c r="G72" s="297"/>
      <c r="H72" s="291">
        <f t="shared" si="19"/>
        <v>0</v>
      </c>
      <c r="I72" s="446"/>
      <c r="J72" s="292"/>
      <c r="K72" s="293"/>
      <c r="L72" s="294"/>
      <c r="M72" s="295"/>
      <c r="N72" s="295"/>
      <c r="O72" s="293"/>
      <c r="P72" s="449"/>
      <c r="Q72" s="296"/>
      <c r="R72" s="296"/>
    </row>
    <row r="73" spans="1:18" ht="15.6" customHeight="1">
      <c r="A73" s="633"/>
      <c r="B73" s="397">
        <v>0</v>
      </c>
      <c r="C73" s="445"/>
      <c r="D73" s="323"/>
      <c r="E73" s="311"/>
      <c r="F73" s="398" t="s">
        <v>128</v>
      </c>
      <c r="G73" s="297"/>
      <c r="H73" s="291">
        <f t="shared" si="19"/>
        <v>0</v>
      </c>
      <c r="I73" s="446"/>
      <c r="J73" s="292"/>
      <c r="K73" s="293"/>
      <c r="L73" s="294"/>
      <c r="M73" s="295"/>
      <c r="N73" s="295"/>
      <c r="O73" s="293"/>
      <c r="P73" s="449"/>
      <c r="Q73" s="296"/>
      <c r="R73" s="296"/>
    </row>
    <row r="74" spans="1:18" ht="15.6" customHeight="1">
      <c r="A74" s="633"/>
      <c r="B74" s="397">
        <v>0</v>
      </c>
      <c r="C74" s="445"/>
      <c r="D74" s="323"/>
      <c r="E74" s="311"/>
      <c r="F74" s="398" t="s">
        <v>128</v>
      </c>
      <c r="G74" s="297"/>
      <c r="H74" s="291">
        <f t="shared" si="19"/>
        <v>0</v>
      </c>
      <c r="I74" s="446"/>
      <c r="J74" s="292"/>
      <c r="K74" s="293"/>
      <c r="L74" s="294"/>
      <c r="M74" s="295"/>
      <c r="N74" s="295"/>
      <c r="O74" s="293"/>
      <c r="P74" s="449"/>
      <c r="Q74" s="296"/>
      <c r="R74" s="296"/>
    </row>
    <row r="75" spans="1:18" ht="15.75" customHeight="1">
      <c r="A75" s="634"/>
      <c r="B75" s="397">
        <v>0</v>
      </c>
      <c r="C75" s="6" t="s">
        <v>371</v>
      </c>
      <c r="D75" s="628" t="s">
        <v>353</v>
      </c>
      <c r="E75" s="628"/>
      <c r="F75" s="298"/>
      <c r="G75" s="303"/>
      <c r="H75" s="319"/>
      <c r="I75" s="320"/>
      <c r="J75" s="302">
        <f>AVERAGE(J65:J74)</f>
        <v>3.3333333333333335</v>
      </c>
      <c r="K75" s="302">
        <f>AVERAGE(K65:K74)</f>
        <v>3151.2684131855699</v>
      </c>
      <c r="L75" s="303">
        <f>AVERAGE(L65:L74)</f>
        <v>962.25456540147923</v>
      </c>
      <c r="M75" s="295"/>
      <c r="N75" s="295"/>
      <c r="O75" s="289"/>
      <c r="P75" s="289"/>
      <c r="Q75" s="289"/>
      <c r="R75" s="289"/>
    </row>
    <row r="76" spans="1:18" ht="16.2" customHeight="1">
      <c r="A76" s="618" t="s">
        <v>112</v>
      </c>
      <c r="B76" s="397">
        <v>0</v>
      </c>
      <c r="C76" s="290"/>
      <c r="D76" s="619"/>
      <c r="E76" s="620"/>
      <c r="F76" s="398" t="s">
        <v>128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449"/>
      <c r="Q76" s="296"/>
      <c r="R76" s="296"/>
    </row>
    <row r="77" spans="1:18">
      <c r="A77" s="618"/>
      <c r="B77" s="397">
        <v>0</v>
      </c>
      <c r="C77" s="290"/>
      <c r="D77" s="619"/>
      <c r="E77" s="620"/>
      <c r="F77" s="398" t="s">
        <v>128</v>
      </c>
      <c r="G77" s="444"/>
      <c r="H77" s="291">
        <f t="shared" si="13"/>
        <v>0</v>
      </c>
      <c r="I77" s="446"/>
      <c r="J77" s="292"/>
      <c r="K77" s="293"/>
      <c r="L77" s="294"/>
      <c r="M77" s="295"/>
      <c r="N77" s="295"/>
      <c r="O77" s="289"/>
      <c r="P77" s="449"/>
      <c r="Q77" s="289"/>
      <c r="R77" s="289"/>
    </row>
    <row r="78" spans="1:18">
      <c r="A78" s="618"/>
      <c r="B78" s="397">
        <v>0</v>
      </c>
      <c r="C78" s="290"/>
      <c r="D78" s="450"/>
      <c r="E78" s="450"/>
      <c r="F78" s="398" t="s">
        <v>128</v>
      </c>
      <c r="G78" s="312"/>
      <c r="H78" s="291">
        <f t="shared" si="13"/>
        <v>0</v>
      </c>
      <c r="I78" s="446"/>
      <c r="J78" s="292"/>
      <c r="K78" s="293"/>
      <c r="L78" s="294"/>
      <c r="M78" s="295"/>
      <c r="N78" s="295"/>
      <c r="O78" s="289"/>
      <c r="P78" s="449"/>
      <c r="Q78" s="289"/>
      <c r="R78" s="289"/>
    </row>
    <row r="79" spans="1:18">
      <c r="A79" s="618"/>
      <c r="B79" s="397">
        <v>0</v>
      </c>
      <c r="C79" s="290"/>
      <c r="D79" s="450"/>
      <c r="E79" s="450"/>
      <c r="F79" s="398" t="s">
        <v>128</v>
      </c>
      <c r="G79" s="312"/>
      <c r="H79" s="291">
        <f t="shared" si="13"/>
        <v>0</v>
      </c>
      <c r="I79" s="446"/>
      <c r="J79" s="292"/>
      <c r="K79" s="293"/>
      <c r="L79" s="294"/>
      <c r="M79" s="295"/>
      <c r="N79" s="295"/>
      <c r="O79" s="289"/>
      <c r="P79" s="449"/>
      <c r="Q79" s="289"/>
      <c r="R79" s="289"/>
    </row>
    <row r="80" spans="1:18">
      <c r="A80" s="618"/>
      <c r="B80" s="397">
        <v>0</v>
      </c>
      <c r="C80" s="290"/>
      <c r="D80" s="450"/>
      <c r="E80" s="450"/>
      <c r="F80" s="398" t="s">
        <v>128</v>
      </c>
      <c r="G80" s="312"/>
      <c r="H80" s="291">
        <f t="shared" si="13"/>
        <v>0</v>
      </c>
      <c r="I80" s="446"/>
      <c r="J80" s="292"/>
      <c r="K80" s="293"/>
      <c r="L80" s="294"/>
      <c r="M80" s="295"/>
      <c r="N80" s="295"/>
      <c r="O80" s="289"/>
      <c r="P80" s="449"/>
      <c r="Q80" s="289"/>
      <c r="R80" s="289"/>
    </row>
    <row r="81" spans="1:18" ht="15.75" customHeight="1">
      <c r="A81" s="618"/>
      <c r="B81" s="397">
        <v>0</v>
      </c>
      <c r="C81" s="6" t="s">
        <v>31</v>
      </c>
      <c r="D81" s="614" t="s">
        <v>353</v>
      </c>
      <c r="E81" s="614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621" t="s">
        <v>372</v>
      </c>
      <c r="B82" s="397" t="s">
        <v>126</v>
      </c>
      <c r="C82" s="308"/>
      <c r="D82" s="309" t="s">
        <v>373</v>
      </c>
      <c r="E82" s="328"/>
      <c r="F82" s="398">
        <v>17.22</v>
      </c>
      <c r="G82" s="312">
        <v>646</v>
      </c>
      <c r="H82" s="329">
        <f t="shared" ref="H82:H90" si="21">F82*G82</f>
        <v>11124.119999999999</v>
      </c>
      <c r="I82" s="446"/>
      <c r="J82" s="292">
        <v>3</v>
      </c>
      <c r="K82" s="293">
        <f t="shared" ref="K82" si="22">G82/P82*60</f>
        <v>2584.0000000000091</v>
      </c>
      <c r="L82" s="294">
        <f t="shared" ref="L82" si="23">K82/J82</f>
        <v>861.33333333333633</v>
      </c>
      <c r="M82" s="295">
        <v>0.72222222222222221</v>
      </c>
      <c r="N82" s="295">
        <v>0.73263888888888884</v>
      </c>
      <c r="O82" s="293">
        <v>20</v>
      </c>
      <c r="P82" s="449">
        <f t="shared" ref="P82" si="24">(N82-M82)*24*60</f>
        <v>14.999999999999947</v>
      </c>
      <c r="Q82" s="296"/>
      <c r="R82" s="296"/>
    </row>
    <row r="83" spans="1:18">
      <c r="A83" s="622"/>
      <c r="B83" s="397">
        <v>0</v>
      </c>
      <c r="C83" s="308"/>
      <c r="D83" s="323"/>
      <c r="E83" s="328"/>
      <c r="F83" s="398" t="s">
        <v>128</v>
      </c>
      <c r="G83" s="312"/>
      <c r="H83" s="329">
        <f t="shared" si="21"/>
        <v>0</v>
      </c>
      <c r="I83" s="446"/>
      <c r="J83" s="292"/>
      <c r="K83" s="293"/>
      <c r="L83" s="294"/>
      <c r="M83" s="295"/>
      <c r="N83" s="295"/>
      <c r="O83" s="293"/>
      <c r="P83" s="449"/>
      <c r="Q83" s="296"/>
      <c r="R83" s="296"/>
    </row>
    <row r="84" spans="1:18">
      <c r="A84" s="622"/>
      <c r="B84" s="397">
        <v>0</v>
      </c>
      <c r="C84" s="308"/>
      <c r="D84" s="309"/>
      <c r="E84" s="328"/>
      <c r="F84" s="398" t="s">
        <v>128</v>
      </c>
      <c r="G84" s="312"/>
      <c r="H84" s="329">
        <f t="shared" si="21"/>
        <v>0</v>
      </c>
      <c r="I84" s="446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622"/>
      <c r="B85" s="397">
        <v>0</v>
      </c>
      <c r="C85" s="308"/>
      <c r="D85" s="309"/>
      <c r="E85" s="328"/>
      <c r="F85" s="398" t="s">
        <v>128</v>
      </c>
      <c r="G85" s="312"/>
      <c r="H85" s="330">
        <f t="shared" si="21"/>
        <v>0</v>
      </c>
      <c r="I85" s="446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622"/>
      <c r="B86" s="397">
        <v>0</v>
      </c>
      <c r="C86" s="308"/>
      <c r="D86" s="309"/>
      <c r="E86" s="328"/>
      <c r="F86" s="398" t="s">
        <v>128</v>
      </c>
      <c r="G86" s="444"/>
      <c r="H86" s="330">
        <f t="shared" si="21"/>
        <v>0</v>
      </c>
      <c r="I86" s="446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622"/>
      <c r="B87" s="397"/>
      <c r="C87" s="308"/>
      <c r="D87" s="309"/>
      <c r="E87" s="328"/>
      <c r="F87" s="398" t="s">
        <v>128</v>
      </c>
      <c r="G87" s="444"/>
      <c r="H87" s="330">
        <f t="shared" si="21"/>
        <v>0</v>
      </c>
      <c r="I87" s="446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622"/>
      <c r="B88" s="397">
        <v>0</v>
      </c>
      <c r="C88" s="308"/>
      <c r="D88" s="309"/>
      <c r="E88" s="328"/>
      <c r="F88" s="398" t="s">
        <v>128</v>
      </c>
      <c r="G88" s="444"/>
      <c r="H88" s="330">
        <f t="shared" si="21"/>
        <v>0</v>
      </c>
      <c r="I88" s="446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622"/>
      <c r="B89" s="397">
        <v>0</v>
      </c>
      <c r="C89" s="308"/>
      <c r="D89" s="309"/>
      <c r="E89" s="328"/>
      <c r="F89" s="398" t="s">
        <v>128</v>
      </c>
      <c r="G89" s="444"/>
      <c r="H89" s="330">
        <f t="shared" si="21"/>
        <v>0</v>
      </c>
      <c r="I89" s="446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622"/>
      <c r="B90" s="397">
        <v>0</v>
      </c>
      <c r="C90" s="308"/>
      <c r="D90" s="309"/>
      <c r="E90" s="328"/>
      <c r="F90" s="398" t="s">
        <v>128</v>
      </c>
      <c r="G90" s="444"/>
      <c r="H90" s="330">
        <f t="shared" si="21"/>
        <v>0</v>
      </c>
      <c r="I90" s="446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399999999999999" customHeight="1">
      <c r="A91" s="622"/>
      <c r="B91" s="397">
        <v>0</v>
      </c>
      <c r="C91" s="6" t="s">
        <v>357</v>
      </c>
      <c r="D91" s="623" t="s">
        <v>353</v>
      </c>
      <c r="E91" s="623"/>
      <c r="F91" s="298"/>
      <c r="G91" s="332"/>
      <c r="H91" s="333"/>
      <c r="I91" s="301"/>
      <c r="J91" s="302">
        <f>AVERAGE(J82:J90)</f>
        <v>3</v>
      </c>
      <c r="K91" s="302">
        <f>AVERAGE(K82:K90)</f>
        <v>2584.0000000000091</v>
      </c>
      <c r="L91" s="303">
        <f>AVERAGE(L82:L90)</f>
        <v>861.33333333333633</v>
      </c>
      <c r="M91" s="295"/>
      <c r="N91" s="295"/>
      <c r="O91" s="293"/>
      <c r="P91" s="293"/>
      <c r="Q91" s="294"/>
      <c r="R91" s="294"/>
    </row>
    <row r="92" spans="1:18" ht="16.2" customHeight="1">
      <c r="A92" s="608" t="s">
        <v>374</v>
      </c>
      <c r="B92" s="397" t="s">
        <v>126</v>
      </c>
      <c r="C92" s="290"/>
      <c r="D92" s="334" t="s">
        <v>375</v>
      </c>
      <c r="E92" s="328"/>
      <c r="F92" s="398">
        <v>24.54</v>
      </c>
      <c r="G92" s="444">
        <v>1333</v>
      </c>
      <c r="H92" s="291">
        <f t="shared" ref="H92:H99" si="25">F92*G92</f>
        <v>32711.82</v>
      </c>
      <c r="I92" s="446"/>
      <c r="J92" s="292">
        <v>3</v>
      </c>
      <c r="K92" s="293">
        <f>G92/P92*60</f>
        <v>2285.1428571428546</v>
      </c>
      <c r="L92" s="294">
        <f t="shared" ref="L92:L94" si="26">K92/J92</f>
        <v>761.71428571428487</v>
      </c>
      <c r="M92" s="295">
        <v>0.72222222222222221</v>
      </c>
      <c r="N92" s="295">
        <v>0.74652777777777779</v>
      </c>
      <c r="O92" s="289">
        <v>20</v>
      </c>
      <c r="P92" s="449">
        <f>(N92-M92)*24*60</f>
        <v>35.000000000000036</v>
      </c>
      <c r="Q92" s="296"/>
      <c r="R92" s="296"/>
    </row>
    <row r="93" spans="1:18">
      <c r="A93" s="609"/>
      <c r="B93" s="397" t="s">
        <v>126</v>
      </c>
      <c r="C93" s="290"/>
      <c r="D93" s="309" t="s">
        <v>376</v>
      </c>
      <c r="E93" s="325"/>
      <c r="F93" s="398">
        <v>23.27</v>
      </c>
      <c r="G93" s="297">
        <v>771</v>
      </c>
      <c r="H93" s="291">
        <f t="shared" si="25"/>
        <v>17941.169999999998</v>
      </c>
      <c r="I93" s="446"/>
      <c r="J93" s="292">
        <v>4</v>
      </c>
      <c r="K93" s="293">
        <f t="shared" ref="K93:K94" si="27">G93/P93*60</f>
        <v>2313.0000000000082</v>
      </c>
      <c r="L93" s="294">
        <f t="shared" si="26"/>
        <v>578.25000000000205</v>
      </c>
      <c r="M93" s="295">
        <v>0.76041666666666663</v>
      </c>
      <c r="N93" s="295">
        <v>0.77430555555555547</v>
      </c>
      <c r="O93" s="289">
        <v>20</v>
      </c>
      <c r="P93" s="449">
        <f>(N93-M93)*24*60</f>
        <v>19.999999999999929</v>
      </c>
      <c r="Q93" s="296"/>
      <c r="R93" s="296"/>
    </row>
    <row r="94" spans="1:18">
      <c r="A94" s="609"/>
      <c r="B94" s="397" t="s">
        <v>126</v>
      </c>
      <c r="C94" s="290"/>
      <c r="D94" s="309" t="s">
        <v>377</v>
      </c>
      <c r="E94" s="325"/>
      <c r="F94" s="398">
        <v>24.33</v>
      </c>
      <c r="G94" s="297">
        <v>2890</v>
      </c>
      <c r="H94" s="291">
        <f t="shared" si="25"/>
        <v>70313.7</v>
      </c>
      <c r="I94" s="446"/>
      <c r="J94" s="292">
        <v>4</v>
      </c>
      <c r="K94" s="293">
        <f t="shared" si="27"/>
        <v>2167.5000000000036</v>
      </c>
      <c r="L94" s="294">
        <f t="shared" si="26"/>
        <v>541.87500000000091</v>
      </c>
      <c r="M94" s="295">
        <v>0.78819444444444453</v>
      </c>
      <c r="N94" s="295">
        <v>0.84375</v>
      </c>
      <c r="O94" s="289">
        <v>20</v>
      </c>
      <c r="P94" s="449">
        <f>(N94-M94)*24*60</f>
        <v>79.999999999999872</v>
      </c>
      <c r="Q94" s="296"/>
      <c r="R94" s="296"/>
    </row>
    <row r="95" spans="1:18">
      <c r="A95" s="610"/>
      <c r="B95" s="397">
        <v>0</v>
      </c>
      <c r="C95" s="290"/>
      <c r="D95" s="309"/>
      <c r="E95" s="325"/>
      <c r="F95" s="398" t="s">
        <v>128</v>
      </c>
      <c r="G95" s="297"/>
      <c r="H95" s="291">
        <f t="shared" si="25"/>
        <v>0</v>
      </c>
      <c r="I95" s="446"/>
      <c r="J95" s="292"/>
      <c r="K95" s="293"/>
      <c r="L95" s="294"/>
      <c r="M95" s="295"/>
      <c r="N95" s="295"/>
      <c r="O95" s="289"/>
      <c r="P95" s="449"/>
      <c r="Q95" s="296"/>
      <c r="R95" s="296"/>
    </row>
    <row r="96" spans="1:18">
      <c r="A96" s="610"/>
      <c r="B96" s="397">
        <v>0</v>
      </c>
      <c r="C96" s="290"/>
      <c r="D96" s="309"/>
      <c r="E96" s="325"/>
      <c r="F96" s="398" t="s">
        <v>128</v>
      </c>
      <c r="G96" s="297"/>
      <c r="H96" s="291">
        <f t="shared" si="25"/>
        <v>0</v>
      </c>
      <c r="I96" s="446"/>
      <c r="J96" s="292"/>
      <c r="K96" s="293"/>
      <c r="L96" s="294"/>
      <c r="M96" s="295"/>
      <c r="N96" s="295"/>
      <c r="O96" s="289"/>
      <c r="P96" s="449"/>
      <c r="Q96" s="296"/>
      <c r="R96" s="296"/>
    </row>
    <row r="97" spans="1:18">
      <c r="A97" s="610"/>
      <c r="B97" s="397">
        <v>0</v>
      </c>
      <c r="C97" s="290"/>
      <c r="D97" s="309"/>
      <c r="E97" s="325"/>
      <c r="F97" s="398" t="s">
        <v>128</v>
      </c>
      <c r="G97" s="297"/>
      <c r="H97" s="291">
        <f t="shared" si="25"/>
        <v>0</v>
      </c>
      <c r="I97" s="446"/>
      <c r="J97" s="292"/>
      <c r="K97" s="293"/>
      <c r="L97" s="294"/>
      <c r="M97" s="295"/>
      <c r="N97" s="295"/>
      <c r="O97" s="289"/>
      <c r="P97" s="449"/>
      <c r="Q97" s="296"/>
      <c r="R97" s="296"/>
    </row>
    <row r="98" spans="1:18">
      <c r="A98" s="610"/>
      <c r="B98" s="397">
        <v>0</v>
      </c>
      <c r="C98" s="290"/>
      <c r="D98" s="309"/>
      <c r="E98" s="325"/>
      <c r="F98" s="398" t="s">
        <v>128</v>
      </c>
      <c r="G98" s="297"/>
      <c r="H98" s="291">
        <f t="shared" si="25"/>
        <v>0</v>
      </c>
      <c r="I98" s="446"/>
      <c r="J98" s="292"/>
      <c r="K98" s="293"/>
      <c r="L98" s="294"/>
      <c r="M98" s="295"/>
      <c r="N98" s="295"/>
      <c r="O98" s="289"/>
      <c r="P98" s="449"/>
      <c r="Q98" s="296"/>
      <c r="R98" s="296"/>
    </row>
    <row r="99" spans="1:18">
      <c r="A99" s="610"/>
      <c r="B99" s="397">
        <v>0</v>
      </c>
      <c r="C99" s="290"/>
      <c r="D99" s="309"/>
      <c r="E99" s="325"/>
      <c r="F99" s="398" t="s">
        <v>128</v>
      </c>
      <c r="G99" s="297"/>
      <c r="H99" s="291">
        <f t="shared" si="25"/>
        <v>0</v>
      </c>
      <c r="I99" s="446"/>
      <c r="J99" s="292"/>
      <c r="K99" s="293"/>
      <c r="L99" s="294"/>
      <c r="M99" s="295"/>
      <c r="N99" s="295"/>
      <c r="O99" s="289"/>
      <c r="P99" s="449"/>
      <c r="Q99" s="296"/>
      <c r="R99" s="296"/>
    </row>
    <row r="100" spans="1:18" ht="15.75" customHeight="1">
      <c r="A100" s="610"/>
      <c r="B100" s="397">
        <v>0</v>
      </c>
      <c r="C100" s="6" t="s">
        <v>378</v>
      </c>
      <c r="D100" s="611" t="s">
        <v>353</v>
      </c>
      <c r="E100" s="612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2255.2142857142885</v>
      </c>
      <c r="L100" s="303">
        <f>AVERAGE(L92:L99)</f>
        <v>627.27976190476261</v>
      </c>
      <c r="M100" s="295"/>
      <c r="N100" s="295"/>
      <c r="O100" s="293"/>
      <c r="P100" s="293"/>
      <c r="Q100" s="294"/>
      <c r="R100" s="294"/>
    </row>
    <row r="101" spans="1:18" ht="16.2" customHeight="1">
      <c r="A101" s="613" t="s">
        <v>379</v>
      </c>
      <c r="B101" s="397" t="s">
        <v>126</v>
      </c>
      <c r="C101" s="6"/>
      <c r="D101" s="325" t="s">
        <v>117</v>
      </c>
      <c r="E101" s="336"/>
      <c r="F101" s="398">
        <v>25.03</v>
      </c>
      <c r="G101" s="444">
        <v>861</v>
      </c>
      <c r="H101" s="291">
        <f t="shared" ref="H101:H110" si="28">F101*G101</f>
        <v>21550.83</v>
      </c>
      <c r="I101" s="446"/>
      <c r="J101" s="292">
        <v>4</v>
      </c>
      <c r="K101" s="293">
        <f>G101/P101*60</f>
        <v>3444.0000000000123</v>
      </c>
      <c r="L101" s="294">
        <f t="shared" ref="L101:L105" si="29">K101/J101</f>
        <v>861.00000000000307</v>
      </c>
      <c r="M101" s="295">
        <v>0.72222222222222221</v>
      </c>
      <c r="N101" s="295">
        <v>0.73263888888888884</v>
      </c>
      <c r="O101" s="289">
        <v>20</v>
      </c>
      <c r="P101" s="293">
        <f t="shared" ref="P101:P103" si="30">(N101-M101)*24*60</f>
        <v>14.999999999999947</v>
      </c>
      <c r="Q101" s="294"/>
      <c r="R101" s="296"/>
    </row>
    <row r="102" spans="1:18" ht="15.6" customHeight="1">
      <c r="A102" s="613"/>
      <c r="B102" s="397" t="s">
        <v>126</v>
      </c>
      <c r="C102" s="6"/>
      <c r="D102" s="323" t="s">
        <v>119</v>
      </c>
      <c r="E102" s="336"/>
      <c r="F102" s="398">
        <v>28.57</v>
      </c>
      <c r="G102" s="444">
        <v>2797</v>
      </c>
      <c r="H102" s="291">
        <f t="shared" si="28"/>
        <v>79910.289999999994</v>
      </c>
      <c r="I102" s="446"/>
      <c r="J102" s="292">
        <v>3</v>
      </c>
      <c r="K102" s="293">
        <f t="shared" ref="K102:K105" si="31">G102/P102*60</f>
        <v>3051.2727272727293</v>
      </c>
      <c r="L102" s="294">
        <f t="shared" si="29"/>
        <v>1017.0909090909098</v>
      </c>
      <c r="M102" s="295">
        <v>0.74652777777777779</v>
      </c>
      <c r="N102" s="295">
        <v>0.78472222222222221</v>
      </c>
      <c r="O102" s="289">
        <v>20</v>
      </c>
      <c r="P102" s="293">
        <f t="shared" si="30"/>
        <v>54.999999999999964</v>
      </c>
      <c r="Q102" s="296">
        <v>0.78472222222222221</v>
      </c>
      <c r="R102" s="296">
        <v>0.82638888888888884</v>
      </c>
    </row>
    <row r="103" spans="1:18">
      <c r="A103" s="613"/>
      <c r="B103" s="397" t="s">
        <v>126</v>
      </c>
      <c r="C103" s="6"/>
      <c r="D103" s="309" t="s">
        <v>118</v>
      </c>
      <c r="E103" s="309"/>
      <c r="F103" s="398">
        <v>24.82</v>
      </c>
      <c r="G103" s="444">
        <v>1459</v>
      </c>
      <c r="H103" s="291">
        <f t="shared" si="28"/>
        <v>36212.379999999997</v>
      </c>
      <c r="I103" s="446"/>
      <c r="J103" s="292">
        <v>4</v>
      </c>
      <c r="K103" s="293">
        <f t="shared" si="31"/>
        <v>2917.999999999995</v>
      </c>
      <c r="L103" s="294">
        <f t="shared" si="29"/>
        <v>729.49999999999875</v>
      </c>
      <c r="M103" s="295">
        <v>0.84027777777777779</v>
      </c>
      <c r="N103" s="295">
        <v>0.86111111111111116</v>
      </c>
      <c r="O103" s="289">
        <v>20</v>
      </c>
      <c r="P103" s="293">
        <f t="shared" si="30"/>
        <v>30.000000000000053</v>
      </c>
      <c r="Q103" s="296"/>
      <c r="R103" s="296"/>
    </row>
    <row r="104" spans="1:18">
      <c r="A104" s="613"/>
      <c r="B104" s="397" t="s">
        <v>126</v>
      </c>
      <c r="C104" s="6"/>
      <c r="D104" s="309" t="s">
        <v>380</v>
      </c>
      <c r="E104" s="325"/>
      <c r="F104" s="398">
        <v>30</v>
      </c>
      <c r="G104" s="444">
        <v>1621</v>
      </c>
      <c r="H104" s="291">
        <f t="shared" si="28"/>
        <v>48630</v>
      </c>
      <c r="I104" s="446"/>
      <c r="J104" s="292">
        <v>3</v>
      </c>
      <c r="K104" s="293">
        <f t="shared" si="31"/>
        <v>2778.8571428571527</v>
      </c>
      <c r="L104" s="294">
        <f t="shared" si="29"/>
        <v>926.28571428571752</v>
      </c>
      <c r="M104" s="295">
        <v>0.875</v>
      </c>
      <c r="N104" s="295">
        <v>0.89930555555555547</v>
      </c>
      <c r="O104" s="289">
        <v>20</v>
      </c>
      <c r="P104" s="293">
        <f>(N104-M104)*24*60</f>
        <v>34.999999999999872</v>
      </c>
      <c r="Q104" s="296"/>
      <c r="R104" s="296"/>
    </row>
    <row r="105" spans="1:18">
      <c r="A105" s="613"/>
      <c r="B105" s="397" t="s">
        <v>126</v>
      </c>
      <c r="C105" s="6"/>
      <c r="D105" s="309" t="s">
        <v>120</v>
      </c>
      <c r="E105" s="323"/>
      <c r="F105" s="398">
        <v>14.285714285714283</v>
      </c>
      <c r="G105" s="444">
        <v>8149</v>
      </c>
      <c r="H105" s="291">
        <f t="shared" si="28"/>
        <v>116414.2857142857</v>
      </c>
      <c r="I105" s="446"/>
      <c r="J105" s="292">
        <v>3</v>
      </c>
      <c r="K105" s="293">
        <f t="shared" si="31"/>
        <v>2963.2727272100055</v>
      </c>
      <c r="L105" s="294">
        <f t="shared" si="29"/>
        <v>987.75757573666851</v>
      </c>
      <c r="M105" s="295">
        <v>46205.913194444445</v>
      </c>
      <c r="N105" s="295">
        <v>46206.027777777781</v>
      </c>
      <c r="O105" s="289">
        <v>20</v>
      </c>
      <c r="P105" s="293">
        <f>(N105-M105)*24*60</f>
        <v>165.00000000349246</v>
      </c>
      <c r="Q105" s="294"/>
      <c r="R105" s="296"/>
    </row>
    <row r="106" spans="1:18">
      <c r="A106" s="613"/>
      <c r="B106" s="397">
        <v>0</v>
      </c>
      <c r="C106" s="6"/>
      <c r="D106" s="325"/>
      <c r="E106" s="336"/>
      <c r="F106" s="398" t="s">
        <v>128</v>
      </c>
      <c r="G106" s="297"/>
      <c r="H106" s="291">
        <f t="shared" si="28"/>
        <v>0</v>
      </c>
      <c r="I106" s="446"/>
      <c r="J106" s="292"/>
      <c r="K106" s="293"/>
      <c r="L106" s="294"/>
      <c r="M106" s="295"/>
      <c r="N106" s="295"/>
      <c r="O106" s="293"/>
      <c r="P106" s="293"/>
      <c r="Q106" s="294"/>
      <c r="R106" s="296"/>
    </row>
    <row r="107" spans="1:18">
      <c r="A107" s="613"/>
      <c r="B107" s="397">
        <v>0</v>
      </c>
      <c r="C107" s="6"/>
      <c r="D107" s="309"/>
      <c r="E107" s="323"/>
      <c r="F107" s="398" t="s">
        <v>128</v>
      </c>
      <c r="G107" s="444"/>
      <c r="H107" s="291">
        <f t="shared" si="28"/>
        <v>0</v>
      </c>
      <c r="I107" s="446"/>
      <c r="J107" s="292"/>
      <c r="K107" s="293"/>
      <c r="L107" s="294"/>
      <c r="M107" s="295"/>
      <c r="N107" s="295"/>
      <c r="O107" s="293"/>
      <c r="P107" s="293"/>
      <c r="Q107" s="294"/>
      <c r="R107" s="296"/>
    </row>
    <row r="108" spans="1:18">
      <c r="A108" s="613"/>
      <c r="B108" s="397">
        <v>0</v>
      </c>
      <c r="C108" s="6"/>
      <c r="D108" s="309"/>
      <c r="E108" s="323"/>
      <c r="F108" s="398" t="s">
        <v>128</v>
      </c>
      <c r="G108" s="444"/>
      <c r="H108" s="291">
        <f t="shared" si="28"/>
        <v>0</v>
      </c>
      <c r="I108" s="446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613"/>
      <c r="B109" s="397">
        <v>0</v>
      </c>
      <c r="C109" s="290"/>
      <c r="D109" s="323"/>
      <c r="E109" s="323"/>
      <c r="F109" s="398" t="s">
        <v>128</v>
      </c>
      <c r="G109" s="444"/>
      <c r="H109" s="291">
        <f t="shared" si="28"/>
        <v>0</v>
      </c>
      <c r="I109" s="446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613"/>
      <c r="B110" s="397">
        <v>0</v>
      </c>
      <c r="C110" s="290"/>
      <c r="D110" s="309"/>
      <c r="E110" s="323"/>
      <c r="F110" s="398" t="s">
        <v>128</v>
      </c>
      <c r="G110" s="444"/>
      <c r="H110" s="291">
        <f t="shared" si="28"/>
        <v>0</v>
      </c>
      <c r="I110" s="446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613"/>
      <c r="B111" s="397">
        <v>0</v>
      </c>
      <c r="C111" s="6" t="s">
        <v>366</v>
      </c>
      <c r="D111" s="614" t="s">
        <v>353</v>
      </c>
      <c r="E111" s="615"/>
      <c r="F111" s="337"/>
      <c r="G111" s="338"/>
      <c r="H111" s="300"/>
      <c r="I111" s="301"/>
      <c r="J111" s="302">
        <f>AVERAGE(J101:J110)</f>
        <v>3.4</v>
      </c>
      <c r="K111" s="302">
        <f>AVERAGE(K101:K110)</f>
        <v>3031.0805194679788</v>
      </c>
      <c r="L111" s="303">
        <f>AVERAGE(L101:L110)</f>
        <v>904.32683982265951</v>
      </c>
      <c r="M111" s="295"/>
      <c r="N111" s="295"/>
      <c r="O111" s="293"/>
      <c r="P111" s="293"/>
      <c r="Q111" s="294"/>
      <c r="R111" s="289"/>
    </row>
    <row r="112" spans="1:18" ht="16.2" customHeight="1">
      <c r="A112" s="616" t="s">
        <v>381</v>
      </c>
      <c r="B112" s="397" t="s">
        <v>126</v>
      </c>
      <c r="C112" s="6"/>
      <c r="D112" s="323" t="s">
        <v>114</v>
      </c>
      <c r="E112" s="339"/>
      <c r="F112" s="398">
        <v>16.7</v>
      </c>
      <c r="G112" s="444">
        <v>1196</v>
      </c>
      <c r="H112" s="329">
        <f t="shared" si="13"/>
        <v>19973.2</v>
      </c>
      <c r="I112" s="446"/>
      <c r="J112" s="292">
        <v>3</v>
      </c>
      <c r="K112" s="293">
        <f t="shared" ref="K112:K118" si="32">G112/P112*60</f>
        <v>2870.3999999999915</v>
      </c>
      <c r="L112" s="294">
        <f t="shared" ref="L112:L118" si="33">K112/J112</f>
        <v>956.79999999999711</v>
      </c>
      <c r="M112" s="295">
        <v>0.72222222222222221</v>
      </c>
      <c r="N112" s="295">
        <v>0.73958333333333337</v>
      </c>
      <c r="O112" s="289">
        <v>20</v>
      </c>
      <c r="P112" s="449">
        <f t="shared" ref="P112:P118" si="34">(N112-M112)*24*60</f>
        <v>25.000000000000071</v>
      </c>
      <c r="Q112" s="289"/>
      <c r="R112" s="289"/>
    </row>
    <row r="113" spans="1:18">
      <c r="A113" s="616"/>
      <c r="B113" s="397" t="s">
        <v>126</v>
      </c>
      <c r="C113" s="308"/>
      <c r="D113" s="450" t="s">
        <v>121</v>
      </c>
      <c r="E113" s="450"/>
      <c r="F113" s="398">
        <v>18.18</v>
      </c>
      <c r="G113" s="444">
        <v>994</v>
      </c>
      <c r="H113" s="329">
        <f t="shared" si="13"/>
        <v>18070.919999999998</v>
      </c>
      <c r="I113" s="446"/>
      <c r="J113" s="292">
        <v>4</v>
      </c>
      <c r="K113" s="293">
        <f t="shared" si="32"/>
        <v>2981.9999999999868</v>
      </c>
      <c r="L113" s="294">
        <f t="shared" si="33"/>
        <v>745.4999999999967</v>
      </c>
      <c r="M113" s="295">
        <v>0.75347222222222221</v>
      </c>
      <c r="N113" s="295">
        <v>0.76736111111111116</v>
      </c>
      <c r="O113" s="289">
        <v>20</v>
      </c>
      <c r="P113" s="449">
        <f t="shared" si="34"/>
        <v>20.000000000000089</v>
      </c>
      <c r="Q113" s="296"/>
      <c r="R113" s="296"/>
    </row>
    <row r="114" spans="1:18">
      <c r="A114" s="616"/>
      <c r="B114" s="397" t="s">
        <v>126</v>
      </c>
      <c r="C114" s="308"/>
      <c r="D114" s="450" t="s">
        <v>382</v>
      </c>
      <c r="E114" s="309"/>
      <c r="F114" s="398">
        <v>18.18</v>
      </c>
      <c r="G114" s="444">
        <v>1081</v>
      </c>
      <c r="H114" s="329">
        <f t="shared" si="13"/>
        <v>19652.579999999998</v>
      </c>
      <c r="I114" s="446"/>
      <c r="J114" s="292">
        <v>3</v>
      </c>
      <c r="K114" s="293">
        <f t="shared" si="32"/>
        <v>3243.0000000000114</v>
      </c>
      <c r="L114" s="294">
        <f t="shared" si="33"/>
        <v>1081.0000000000039</v>
      </c>
      <c r="M114" s="295">
        <v>0.78125</v>
      </c>
      <c r="N114" s="295">
        <v>0.79513888888888884</v>
      </c>
      <c r="O114" s="289">
        <v>20</v>
      </c>
      <c r="P114" s="449">
        <f t="shared" si="34"/>
        <v>19.999999999999929</v>
      </c>
      <c r="Q114" s="296"/>
      <c r="R114" s="296"/>
    </row>
    <row r="115" spans="1:18">
      <c r="A115" s="616"/>
      <c r="B115" s="397" t="s">
        <v>126</v>
      </c>
      <c r="C115" s="308"/>
      <c r="D115" s="309" t="s">
        <v>113</v>
      </c>
      <c r="E115" s="325"/>
      <c r="F115" s="398">
        <v>16.66</v>
      </c>
      <c r="G115" s="444">
        <v>5276</v>
      </c>
      <c r="H115" s="329">
        <f t="shared" si="13"/>
        <v>87898.16</v>
      </c>
      <c r="I115" s="446"/>
      <c r="J115" s="292">
        <v>4</v>
      </c>
      <c r="K115" s="293">
        <f t="shared" si="32"/>
        <v>3014.8571428571395</v>
      </c>
      <c r="L115" s="294">
        <f t="shared" si="33"/>
        <v>753.71428571428487</v>
      </c>
      <c r="M115" s="295">
        <v>0.80902777777777779</v>
      </c>
      <c r="N115" s="295">
        <v>0.88194444444444453</v>
      </c>
      <c r="O115" s="289">
        <v>20</v>
      </c>
      <c r="P115" s="449">
        <f t="shared" si="34"/>
        <v>105.00000000000011</v>
      </c>
      <c r="Q115" s="296"/>
      <c r="R115" s="296"/>
    </row>
    <row r="116" spans="1:18">
      <c r="A116" s="616"/>
      <c r="B116" s="397" t="s">
        <v>126</v>
      </c>
      <c r="C116" s="308"/>
      <c r="D116" s="309" t="s">
        <v>115</v>
      </c>
      <c r="E116" s="323"/>
      <c r="F116" s="398">
        <v>22.281818181818181</v>
      </c>
      <c r="G116" s="444">
        <v>1019</v>
      </c>
      <c r="H116" s="329">
        <f t="shared" si="13"/>
        <v>22705.172727272726</v>
      </c>
      <c r="I116" s="446"/>
      <c r="J116" s="292">
        <v>4</v>
      </c>
      <c r="K116" s="293">
        <f t="shared" si="32"/>
        <v>3057.0000000000109</v>
      </c>
      <c r="L116" s="294">
        <f t="shared" si="33"/>
        <v>764.25000000000273</v>
      </c>
      <c r="M116" s="295">
        <v>0.89583333333333337</v>
      </c>
      <c r="N116" s="331">
        <v>0.90972222222222221</v>
      </c>
      <c r="O116" s="289">
        <v>20</v>
      </c>
      <c r="P116" s="449">
        <f t="shared" si="34"/>
        <v>19.999999999999929</v>
      </c>
      <c r="Q116" s="296">
        <v>0.90972222222222221</v>
      </c>
      <c r="R116" s="296">
        <v>0.95138888888888884</v>
      </c>
    </row>
    <row r="117" spans="1:18">
      <c r="A117" s="616"/>
      <c r="B117" s="397" t="s">
        <v>126</v>
      </c>
      <c r="C117" s="308"/>
      <c r="D117" s="309" t="s">
        <v>116</v>
      </c>
      <c r="E117" s="322"/>
      <c r="F117" s="398">
        <v>17.890909090909091</v>
      </c>
      <c r="G117" s="444">
        <v>3537</v>
      </c>
      <c r="H117" s="329">
        <f t="shared" ref="H117:H123" si="35">F117*G117</f>
        <v>63280.145454545454</v>
      </c>
      <c r="I117" s="446"/>
      <c r="J117" s="292">
        <v>3</v>
      </c>
      <c r="K117" s="293">
        <f t="shared" si="32"/>
        <v>3031.7142858151251</v>
      </c>
      <c r="L117" s="294">
        <f t="shared" si="33"/>
        <v>1010.5714286050417</v>
      </c>
      <c r="M117" s="295">
        <v>46205.965277777781</v>
      </c>
      <c r="N117" s="295">
        <v>46206.013888888891</v>
      </c>
      <c r="O117" s="293">
        <v>20</v>
      </c>
      <c r="P117" s="449">
        <f t="shared" si="34"/>
        <v>69.999999997671694</v>
      </c>
      <c r="Q117" s="296"/>
      <c r="R117" s="296"/>
    </row>
    <row r="118" spans="1:18">
      <c r="A118" s="616"/>
      <c r="B118" s="397" t="s">
        <v>126</v>
      </c>
      <c r="C118" s="308"/>
      <c r="D118" s="309" t="s">
        <v>383</v>
      </c>
      <c r="E118" s="322"/>
      <c r="F118" s="398">
        <v>14.03</v>
      </c>
      <c r="G118" s="444">
        <v>5920</v>
      </c>
      <c r="H118" s="329">
        <f t="shared" si="35"/>
        <v>83057.599999999991</v>
      </c>
      <c r="I118" s="446"/>
      <c r="J118" s="292">
        <v>3</v>
      </c>
      <c r="K118" s="293">
        <f t="shared" si="32"/>
        <v>2960</v>
      </c>
      <c r="L118" s="294">
        <f t="shared" si="33"/>
        <v>986.66666666666663</v>
      </c>
      <c r="M118" s="295">
        <v>2.7777777777777776E-2</v>
      </c>
      <c r="N118" s="295">
        <v>0.1111111111111111</v>
      </c>
      <c r="O118" s="293">
        <v>20</v>
      </c>
      <c r="P118" s="449">
        <f t="shared" si="34"/>
        <v>120</v>
      </c>
      <c r="Q118" s="296"/>
      <c r="R118" s="296"/>
    </row>
    <row r="119" spans="1:18">
      <c r="A119" s="616"/>
      <c r="B119" s="397">
        <v>0</v>
      </c>
      <c r="C119" s="308"/>
      <c r="D119" s="323"/>
      <c r="E119" s="322"/>
      <c r="F119" s="398" t="s">
        <v>128</v>
      </c>
      <c r="G119" s="444"/>
      <c r="H119" s="329">
        <f t="shared" si="35"/>
        <v>0</v>
      </c>
      <c r="I119" s="446"/>
      <c r="J119" s="292"/>
      <c r="K119" s="293"/>
      <c r="L119" s="294"/>
      <c r="M119" s="295"/>
      <c r="N119" s="295"/>
      <c r="O119" s="289"/>
      <c r="P119" s="449"/>
      <c r="Q119" s="296"/>
      <c r="R119" s="296"/>
    </row>
    <row r="120" spans="1:18">
      <c r="A120" s="616"/>
      <c r="B120" s="397">
        <v>0</v>
      </c>
      <c r="C120" s="308"/>
      <c r="D120" s="323"/>
      <c r="E120" s="322"/>
      <c r="F120" s="398" t="s">
        <v>128</v>
      </c>
      <c r="G120" s="444"/>
      <c r="H120" s="329">
        <f t="shared" si="35"/>
        <v>0</v>
      </c>
      <c r="I120" s="446"/>
      <c r="J120" s="292"/>
      <c r="K120" s="293"/>
      <c r="L120" s="294"/>
      <c r="M120" s="295"/>
      <c r="N120" s="295"/>
      <c r="O120" s="289"/>
      <c r="P120" s="449"/>
      <c r="Q120" s="296"/>
      <c r="R120" s="296"/>
    </row>
    <row r="121" spans="1:18">
      <c r="A121" s="616"/>
      <c r="B121" s="397">
        <v>0</v>
      </c>
      <c r="C121" s="308"/>
      <c r="D121" s="323"/>
      <c r="E121" s="322"/>
      <c r="F121" s="398" t="s">
        <v>128</v>
      </c>
      <c r="G121" s="444"/>
      <c r="H121" s="329">
        <f t="shared" si="35"/>
        <v>0</v>
      </c>
      <c r="I121" s="446"/>
      <c r="J121" s="292"/>
      <c r="K121" s="293"/>
      <c r="L121" s="294"/>
      <c r="M121" s="295"/>
      <c r="N121" s="295"/>
      <c r="O121" s="289"/>
      <c r="P121" s="449"/>
      <c r="Q121" s="296"/>
      <c r="R121" s="296"/>
    </row>
    <row r="122" spans="1:18" ht="15.6" customHeight="1">
      <c r="A122" s="616"/>
      <c r="B122" s="397">
        <v>0</v>
      </c>
      <c r="C122" s="308"/>
      <c r="D122" s="323"/>
      <c r="E122" s="322"/>
      <c r="F122" s="398" t="s">
        <v>128</v>
      </c>
      <c r="G122" s="444"/>
      <c r="H122" s="329">
        <f t="shared" si="35"/>
        <v>0</v>
      </c>
      <c r="I122" s="446"/>
      <c r="J122" s="292"/>
      <c r="K122" s="293"/>
      <c r="L122" s="294"/>
      <c r="M122" s="295"/>
      <c r="N122" s="295"/>
      <c r="O122" s="289"/>
      <c r="P122" s="449"/>
      <c r="Q122" s="296"/>
      <c r="R122" s="296"/>
    </row>
    <row r="123" spans="1:18">
      <c r="A123" s="616"/>
      <c r="B123" s="397">
        <v>0</v>
      </c>
      <c r="C123" s="308"/>
      <c r="D123" s="323"/>
      <c r="E123" s="322"/>
      <c r="F123" s="398" t="s">
        <v>128</v>
      </c>
      <c r="G123" s="444"/>
      <c r="H123" s="329">
        <f t="shared" si="35"/>
        <v>0</v>
      </c>
      <c r="I123" s="446"/>
      <c r="J123" s="292"/>
      <c r="K123" s="293"/>
      <c r="L123" s="294"/>
      <c r="M123" s="295"/>
      <c r="N123" s="295"/>
      <c r="O123" s="289"/>
      <c r="P123" s="449"/>
      <c r="Q123" s="296"/>
      <c r="R123" s="296"/>
    </row>
    <row r="124" spans="1:18" ht="17.399999999999999" customHeight="1">
      <c r="A124" s="616"/>
      <c r="B124" s="290">
        <v>0</v>
      </c>
      <c r="C124" s="6" t="s">
        <v>371</v>
      </c>
      <c r="D124" s="617" t="s">
        <v>353</v>
      </c>
      <c r="E124" s="617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3022.7102040960376</v>
      </c>
      <c r="L124" s="303">
        <f>AVERAGE(L112:L123)</f>
        <v>899.78605442657056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32" activePane="bottomLeft" state="frozen"/>
      <selection activeCell="M115" sqref="M115"/>
      <selection pane="bottomLeft" activeCell="Q50" sqref="Q50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384</v>
      </c>
      <c r="B1" s="28"/>
      <c r="C1" s="28"/>
      <c r="D1" s="454" t="s">
        <v>332</v>
      </c>
      <c r="E1" s="29">
        <f>SUM(G5:G173)</f>
        <v>171126.80000000002</v>
      </c>
      <c r="F1" s="455" t="s">
        <v>3</v>
      </c>
      <c r="G1" s="30">
        <f>SUM(H5:H173)</f>
        <v>6635687.2700099153</v>
      </c>
      <c r="H1" s="451" t="s">
        <v>37</v>
      </c>
      <c r="I1" s="31">
        <f>M17+M30+M43+M56+M69+M82+M95+M108+M121+M134+M147+M160+M173</f>
        <v>193.87698412698413</v>
      </c>
      <c r="J1" s="732" t="s">
        <v>38</v>
      </c>
      <c r="K1" s="732"/>
      <c r="L1" s="732"/>
      <c r="M1" s="732" t="s">
        <v>39</v>
      </c>
      <c r="N1" s="732"/>
      <c r="O1" s="732"/>
      <c r="P1" s="732" t="s">
        <v>385</v>
      </c>
      <c r="Q1" s="732"/>
      <c r="R1" s="732"/>
      <c r="S1" s="732"/>
      <c r="T1" s="732" t="s">
        <v>335</v>
      </c>
      <c r="U1" s="732"/>
      <c r="V1" s="732"/>
      <c r="W1" s="732"/>
      <c r="X1" s="732"/>
      <c r="Y1" s="732"/>
      <c r="Z1" s="32" t="s">
        <v>386</v>
      </c>
      <c r="AA1" s="32" t="s">
        <v>387</v>
      </c>
      <c r="AB1" s="739" t="s">
        <v>388</v>
      </c>
      <c r="AC1" s="740"/>
      <c r="AD1" s="32" t="s">
        <v>386</v>
      </c>
      <c r="AE1" s="32" t="s">
        <v>389</v>
      </c>
      <c r="AF1" s="732" t="s">
        <v>390</v>
      </c>
      <c r="AG1" s="733"/>
      <c r="AH1" s="733"/>
    </row>
    <row r="2" spans="1:34" ht="26.25" customHeight="1">
      <c r="A2" s="734" t="s">
        <v>391</v>
      </c>
      <c r="B2" s="734"/>
      <c r="C2" s="454"/>
      <c r="D2" s="454" t="s">
        <v>337</v>
      </c>
      <c r="E2" s="34">
        <f>AVERAGE(O17,O30,O43,O56,O69,O82,O95,O108,O121,O134,O147,O160,O173)</f>
        <v>129.47053140683127</v>
      </c>
      <c r="F2" s="35" t="s">
        <v>40</v>
      </c>
      <c r="G2" s="36">
        <f>G1/E1</f>
        <v>38.776435193142831</v>
      </c>
      <c r="H2" s="451" t="s">
        <v>41</v>
      </c>
      <c r="I2" s="451">
        <f>COUNT(I5:I173)</f>
        <v>10</v>
      </c>
      <c r="J2" s="732"/>
      <c r="K2" s="732"/>
      <c r="L2" s="732"/>
      <c r="M2" s="732"/>
      <c r="N2" s="732"/>
      <c r="O2" s="732"/>
      <c r="P2" s="732"/>
      <c r="Q2" s="732"/>
      <c r="R2" s="732"/>
      <c r="S2" s="732"/>
      <c r="T2" s="732"/>
      <c r="U2" s="732"/>
      <c r="V2" s="732"/>
      <c r="W2" s="732"/>
      <c r="X2" s="732"/>
      <c r="Y2" s="732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741"/>
      <c r="AC2" s="742"/>
      <c r="AD2" s="38">
        <f>AD17+AD30+AD43+AD56+AD69+AD82+AD95+AD108+AD121+AD134+AD147+AD160+AD173</f>
        <v>7</v>
      </c>
      <c r="AE2" s="38">
        <f>AE17+AE30+AE43+AE56+AE69+AE82+AE95+AE108+AE121+AE134+AE147+AE160+AE173</f>
        <v>5</v>
      </c>
      <c r="AF2" s="733"/>
      <c r="AG2" s="733"/>
      <c r="AH2" s="733"/>
    </row>
    <row r="3" spans="1:34" ht="30.6" customHeight="1">
      <c r="A3" s="673" t="s">
        <v>339</v>
      </c>
      <c r="B3" s="673" t="s">
        <v>42</v>
      </c>
      <c r="C3" s="730"/>
      <c r="D3" s="673" t="s">
        <v>341</v>
      </c>
      <c r="E3" s="673"/>
      <c r="F3" s="730" t="s">
        <v>43</v>
      </c>
      <c r="G3" s="722" t="s">
        <v>44</v>
      </c>
      <c r="H3" s="730" t="s">
        <v>45</v>
      </c>
      <c r="I3" s="724" t="s">
        <v>344</v>
      </c>
      <c r="J3" s="728" t="s">
        <v>46</v>
      </c>
      <c r="K3" s="727" t="s">
        <v>47</v>
      </c>
      <c r="L3" s="702" t="s">
        <v>35</v>
      </c>
      <c r="M3" s="722" t="s">
        <v>46</v>
      </c>
      <c r="N3" s="727" t="s">
        <v>346</v>
      </c>
      <c r="O3" s="702" t="s">
        <v>337</v>
      </c>
      <c r="P3" s="728" t="s">
        <v>345</v>
      </c>
      <c r="Q3" s="702" t="s">
        <v>337</v>
      </c>
      <c r="R3" s="729" t="s">
        <v>392</v>
      </c>
      <c r="S3" s="703" t="s">
        <v>393</v>
      </c>
      <c r="T3" s="722" t="s">
        <v>48</v>
      </c>
      <c r="U3" s="722"/>
      <c r="V3" s="723" t="s">
        <v>49</v>
      </c>
      <c r="W3" s="724" t="s">
        <v>347</v>
      </c>
      <c r="X3" s="722" t="s">
        <v>348</v>
      </c>
      <c r="Y3" s="722"/>
      <c r="Z3" s="725" t="s">
        <v>394</v>
      </c>
      <c r="AA3" s="726"/>
      <c r="AB3" s="735" t="s">
        <v>395</v>
      </c>
      <c r="AC3" s="736"/>
      <c r="AD3" s="737" t="s">
        <v>396</v>
      </c>
      <c r="AE3" s="738"/>
      <c r="AF3" s="727" t="s">
        <v>346</v>
      </c>
      <c r="AG3" s="729" t="s">
        <v>392</v>
      </c>
      <c r="AH3" s="703" t="s">
        <v>393</v>
      </c>
    </row>
    <row r="4" spans="1:34" ht="30.6" customHeight="1">
      <c r="A4" s="730"/>
      <c r="B4" s="673"/>
      <c r="C4" s="731"/>
      <c r="D4" s="673"/>
      <c r="E4" s="673"/>
      <c r="F4" s="731"/>
      <c r="G4" s="722"/>
      <c r="H4" s="731"/>
      <c r="I4" s="724"/>
      <c r="J4" s="728"/>
      <c r="K4" s="727"/>
      <c r="L4" s="702"/>
      <c r="M4" s="722"/>
      <c r="N4" s="727"/>
      <c r="O4" s="702"/>
      <c r="P4" s="728"/>
      <c r="Q4" s="702"/>
      <c r="R4" s="729"/>
      <c r="S4" s="703"/>
      <c r="T4" s="461" t="s">
        <v>50</v>
      </c>
      <c r="U4" s="461" t="s">
        <v>51</v>
      </c>
      <c r="V4" s="722"/>
      <c r="W4" s="724"/>
      <c r="X4" s="455" t="s">
        <v>349</v>
      </c>
      <c r="Y4" s="455" t="s">
        <v>36</v>
      </c>
      <c r="Z4" s="461" t="s">
        <v>397</v>
      </c>
      <c r="AA4" s="461" t="s">
        <v>398</v>
      </c>
      <c r="AB4" s="736"/>
      <c r="AC4" s="736"/>
      <c r="AD4" s="461" t="s">
        <v>399</v>
      </c>
      <c r="AE4" s="39" t="s">
        <v>400</v>
      </c>
      <c r="AF4" s="727"/>
      <c r="AG4" s="729"/>
      <c r="AH4" s="703"/>
    </row>
    <row r="5" spans="1:34" ht="18.75" customHeight="1">
      <c r="A5" s="719" t="s">
        <v>401</v>
      </c>
      <c r="B5" s="40" t="s">
        <v>122</v>
      </c>
      <c r="C5" s="41"/>
      <c r="D5" s="42" t="s">
        <v>52</v>
      </c>
      <c r="E5" s="43"/>
      <c r="F5" s="343">
        <v>37.83</v>
      </c>
      <c r="G5" s="44">
        <v>4778.8999999999996</v>
      </c>
      <c r="H5" s="45">
        <f t="shared" ref="H5:H16" si="0">F5*G5</f>
        <v>180785.78699999998</v>
      </c>
      <c r="I5" s="452"/>
      <c r="J5" s="46">
        <v>20</v>
      </c>
      <c r="K5" s="44">
        <v>2400</v>
      </c>
      <c r="L5" s="47">
        <v>120</v>
      </c>
      <c r="M5" s="453">
        <v>20</v>
      </c>
      <c r="N5" s="44">
        <f t="shared" ref="N5:N11" si="1">G5/W5*60</f>
        <v>2369.7024793388418</v>
      </c>
      <c r="O5" s="47">
        <f t="shared" ref="O5:O11" si="2">N5/M5</f>
        <v>118.4851239669421</v>
      </c>
      <c r="P5" s="48">
        <f t="shared" ref="P5:P11" si="3">M5-J5</f>
        <v>0</v>
      </c>
      <c r="Q5" s="49">
        <f t="shared" ref="Q5:Q11" si="4">O5-L5</f>
        <v>-1.5148760330579023</v>
      </c>
      <c r="R5" s="459">
        <f t="shared" ref="R5:R11" si="5">O5/L5</f>
        <v>0.98737603305785082</v>
      </c>
      <c r="S5" s="688">
        <f>R17</f>
        <v>0.92678836134607245</v>
      </c>
      <c r="T5" s="89">
        <v>0.25</v>
      </c>
      <c r="U5" s="89">
        <v>0.33402777777777781</v>
      </c>
      <c r="V5" s="455">
        <v>5</v>
      </c>
      <c r="W5" s="452">
        <f>(U5-T5)*24*60</f>
        <v>121.00000000000006</v>
      </c>
      <c r="X5" s="455"/>
      <c r="Y5" s="455"/>
      <c r="Z5" s="51"/>
      <c r="AA5" s="51"/>
      <c r="AB5" s="673"/>
      <c r="AC5" s="673"/>
      <c r="AD5" s="52"/>
      <c r="AE5" s="52"/>
      <c r="AF5" s="48">
        <f t="shared" ref="AF5:AF70" si="6">N5-K5</f>
        <v>-30.29752066115816</v>
      </c>
      <c r="AG5" s="459">
        <f t="shared" ref="AG5:AG70" si="7">N5/K5</f>
        <v>0.98737603305785082</v>
      </c>
      <c r="AH5" s="688">
        <f>AG17</f>
        <v>0.9269487111493937</v>
      </c>
    </row>
    <row r="6" spans="1:34" ht="19.2" customHeight="1">
      <c r="A6" s="720"/>
      <c r="B6" s="40" t="s">
        <v>122</v>
      </c>
      <c r="C6" s="41"/>
      <c r="D6" s="42" t="s">
        <v>204</v>
      </c>
      <c r="E6" s="43"/>
      <c r="F6" s="343">
        <v>46.93</v>
      </c>
      <c r="G6" s="44">
        <v>3449</v>
      </c>
      <c r="H6" s="45">
        <f t="shared" si="0"/>
        <v>161861.57</v>
      </c>
      <c r="I6" s="452"/>
      <c r="J6" s="46">
        <v>21</v>
      </c>
      <c r="K6" s="44">
        <v>2400</v>
      </c>
      <c r="L6" s="47">
        <v>114.28571428571429</v>
      </c>
      <c r="M6" s="453">
        <v>21</v>
      </c>
      <c r="N6" s="44">
        <f t="shared" si="1"/>
        <v>2178.3157894736846</v>
      </c>
      <c r="O6" s="47">
        <f t="shared" si="2"/>
        <v>103.72932330827069</v>
      </c>
      <c r="P6" s="48">
        <f t="shared" si="3"/>
        <v>0</v>
      </c>
      <c r="Q6" s="49">
        <f t="shared" si="4"/>
        <v>-10.556390977443598</v>
      </c>
      <c r="R6" s="459">
        <f t="shared" si="5"/>
        <v>0.90763157894736857</v>
      </c>
      <c r="S6" s="688"/>
      <c r="T6" s="89">
        <v>0.34930555555555559</v>
      </c>
      <c r="U6" s="89">
        <v>0.4152777777777778</v>
      </c>
      <c r="V6" s="455">
        <v>22</v>
      </c>
      <c r="W6" s="452">
        <f t="shared" ref="W6:W17" si="8">(U6-T6)*24*60</f>
        <v>94.999999999999986</v>
      </c>
      <c r="X6" s="53">
        <v>0.33888888888888885</v>
      </c>
      <c r="Y6" s="53">
        <v>0.34861111111111115</v>
      </c>
      <c r="Z6" s="54"/>
      <c r="AA6" s="54"/>
      <c r="AB6" s="673"/>
      <c r="AC6" s="673"/>
      <c r="AD6" s="469"/>
      <c r="AE6" s="469"/>
      <c r="AF6" s="48">
        <f t="shared" si="6"/>
        <v>-221.68421052631538</v>
      </c>
      <c r="AG6" s="459">
        <f t="shared" si="7"/>
        <v>0.90763157894736857</v>
      </c>
      <c r="AH6" s="688"/>
    </row>
    <row r="7" spans="1:34" ht="19.2" customHeight="1">
      <c r="A7" s="720"/>
      <c r="B7" s="40" t="s">
        <v>122</v>
      </c>
      <c r="C7" s="41"/>
      <c r="D7" s="42" t="s">
        <v>198</v>
      </c>
      <c r="E7" s="43"/>
      <c r="F7" s="343">
        <v>35.89</v>
      </c>
      <c r="G7" s="44">
        <v>3368</v>
      </c>
      <c r="H7" s="45">
        <f t="shared" si="0"/>
        <v>120877.52</v>
      </c>
      <c r="I7" s="452"/>
      <c r="J7" s="46">
        <v>18</v>
      </c>
      <c r="K7" s="44">
        <v>2571</v>
      </c>
      <c r="L7" s="47">
        <v>142.83333333333334</v>
      </c>
      <c r="M7" s="453">
        <v>18</v>
      </c>
      <c r="N7" s="44">
        <f t="shared" si="1"/>
        <v>2377.411764705882</v>
      </c>
      <c r="O7" s="47">
        <f t="shared" si="2"/>
        <v>132.07843137254901</v>
      </c>
      <c r="P7" s="48">
        <f t="shared" si="3"/>
        <v>0</v>
      </c>
      <c r="Q7" s="49">
        <f t="shared" si="4"/>
        <v>-10.754901960784338</v>
      </c>
      <c r="R7" s="459">
        <f t="shared" si="5"/>
        <v>0.9247031367973092</v>
      </c>
      <c r="S7" s="688"/>
      <c r="T7" s="89">
        <v>0.4201388888888889</v>
      </c>
      <c r="U7" s="89">
        <v>0.47916666666666669</v>
      </c>
      <c r="V7" s="455">
        <v>7</v>
      </c>
      <c r="W7" s="452">
        <f t="shared" si="8"/>
        <v>85.000000000000014</v>
      </c>
      <c r="X7" s="53"/>
      <c r="Y7" s="53"/>
      <c r="Z7" s="54"/>
      <c r="AA7" s="54"/>
      <c r="AB7" s="673"/>
      <c r="AC7" s="673"/>
      <c r="AD7" s="469"/>
      <c r="AE7" s="469"/>
      <c r="AF7" s="48">
        <f t="shared" si="6"/>
        <v>-193.58823529411802</v>
      </c>
      <c r="AG7" s="459">
        <f t="shared" si="7"/>
        <v>0.9247031367973092</v>
      </c>
      <c r="AH7" s="688"/>
    </row>
    <row r="8" spans="1:34" ht="19.2" customHeight="1">
      <c r="A8" s="720"/>
      <c r="B8" s="40" t="s">
        <v>122</v>
      </c>
      <c r="C8" s="41"/>
      <c r="D8" s="42" t="s">
        <v>180</v>
      </c>
      <c r="E8" s="43"/>
      <c r="F8" s="343">
        <v>38.99</v>
      </c>
      <c r="G8" s="44">
        <v>1182</v>
      </c>
      <c r="H8" s="45">
        <f t="shared" si="0"/>
        <v>46086.18</v>
      </c>
      <c r="I8" s="452"/>
      <c r="J8" s="46">
        <v>18</v>
      </c>
      <c r="K8" s="44">
        <v>2571</v>
      </c>
      <c r="L8" s="47">
        <v>142.83333333333334</v>
      </c>
      <c r="M8" s="453">
        <v>18</v>
      </c>
      <c r="N8" s="44">
        <f t="shared" si="1"/>
        <v>2363.9999999999955</v>
      </c>
      <c r="O8" s="47">
        <f t="shared" si="2"/>
        <v>131.33333333333309</v>
      </c>
      <c r="P8" s="48">
        <f t="shared" si="3"/>
        <v>0</v>
      </c>
      <c r="Q8" s="49">
        <f t="shared" si="4"/>
        <v>-11.500000000000256</v>
      </c>
      <c r="R8" s="459">
        <f t="shared" si="5"/>
        <v>0.91948658109684767</v>
      </c>
      <c r="S8" s="688"/>
      <c r="T8" s="89">
        <v>0.51944444444444449</v>
      </c>
      <c r="U8" s="89">
        <v>0.54027777777777786</v>
      </c>
      <c r="V8" s="455">
        <v>5</v>
      </c>
      <c r="W8" s="452">
        <f t="shared" si="8"/>
        <v>30.000000000000053</v>
      </c>
      <c r="X8" s="53"/>
      <c r="Y8" s="53"/>
      <c r="Z8" s="54"/>
      <c r="AA8" s="54"/>
      <c r="AB8" s="673"/>
      <c r="AC8" s="673"/>
      <c r="AD8" s="469"/>
      <c r="AE8" s="469"/>
      <c r="AF8" s="48">
        <f t="shared" si="6"/>
        <v>-207.00000000000455</v>
      </c>
      <c r="AG8" s="459">
        <f t="shared" si="7"/>
        <v>0.91948658109684767</v>
      </c>
      <c r="AH8" s="688"/>
    </row>
    <row r="9" spans="1:34" ht="19.2" customHeight="1">
      <c r="A9" s="720"/>
      <c r="B9" s="40" t="s">
        <v>122</v>
      </c>
      <c r="C9" s="55"/>
      <c r="D9" s="42" t="s">
        <v>178</v>
      </c>
      <c r="E9" s="56"/>
      <c r="F9" s="343">
        <v>28.86</v>
      </c>
      <c r="G9" s="57">
        <v>2005</v>
      </c>
      <c r="H9" s="45">
        <f t="shared" si="0"/>
        <v>57864.299999999996</v>
      </c>
      <c r="I9" s="469"/>
      <c r="J9" s="46">
        <v>17</v>
      </c>
      <c r="K9" s="44">
        <v>2571</v>
      </c>
      <c r="L9" s="47">
        <v>151.23529411764707</v>
      </c>
      <c r="M9" s="453">
        <v>17</v>
      </c>
      <c r="N9" s="44">
        <f t="shared" si="1"/>
        <v>2406.0000000000005</v>
      </c>
      <c r="O9" s="47">
        <f t="shared" si="2"/>
        <v>141.52941176470591</v>
      </c>
      <c r="P9" s="48">
        <f t="shared" si="3"/>
        <v>0</v>
      </c>
      <c r="Q9" s="49">
        <f t="shared" si="4"/>
        <v>-9.7058823529411598</v>
      </c>
      <c r="R9" s="459">
        <f t="shared" si="5"/>
        <v>0.93582263710618452</v>
      </c>
      <c r="S9" s="688"/>
      <c r="T9" s="89">
        <v>0.54513888888888895</v>
      </c>
      <c r="U9" s="89">
        <v>0.57986111111111116</v>
      </c>
      <c r="V9" s="455">
        <v>7</v>
      </c>
      <c r="W9" s="452">
        <f t="shared" si="8"/>
        <v>49.999999999999986</v>
      </c>
      <c r="X9" s="53"/>
      <c r="Y9" s="53"/>
      <c r="Z9" s="54"/>
      <c r="AA9" s="54"/>
      <c r="AB9" s="673"/>
      <c r="AC9" s="673"/>
      <c r="AD9" s="469"/>
      <c r="AE9" s="469"/>
      <c r="AF9" s="48">
        <f t="shared" si="6"/>
        <v>-164.99999999999955</v>
      </c>
      <c r="AG9" s="459">
        <f t="shared" si="7"/>
        <v>0.93582263710618452</v>
      </c>
      <c r="AH9" s="688"/>
    </row>
    <row r="10" spans="1:34" ht="19.2" customHeight="1">
      <c r="A10" s="721"/>
      <c r="B10" s="40" t="s">
        <v>122</v>
      </c>
      <c r="C10" s="41"/>
      <c r="D10" s="42" t="s">
        <v>53</v>
      </c>
      <c r="E10" s="43"/>
      <c r="F10" s="343">
        <v>31.11</v>
      </c>
      <c r="G10" s="44">
        <v>2880</v>
      </c>
      <c r="H10" s="45">
        <f t="shared" si="0"/>
        <v>89596.800000000003</v>
      </c>
      <c r="I10" s="452"/>
      <c r="J10" s="46">
        <v>18</v>
      </c>
      <c r="K10" s="44">
        <v>2769</v>
      </c>
      <c r="L10" s="47">
        <v>153.83333333333334</v>
      </c>
      <c r="M10" s="453">
        <v>18</v>
      </c>
      <c r="N10" s="44">
        <f t="shared" si="1"/>
        <v>2541.1764705882388</v>
      </c>
      <c r="O10" s="47">
        <f t="shared" si="2"/>
        <v>141.17647058823547</v>
      </c>
      <c r="P10" s="48">
        <f t="shared" si="3"/>
        <v>0</v>
      </c>
      <c r="Q10" s="49">
        <f t="shared" si="4"/>
        <v>-12.656862745097868</v>
      </c>
      <c r="R10" s="459">
        <f t="shared" si="5"/>
        <v>0.91772353578484589</v>
      </c>
      <c r="S10" s="689"/>
      <c r="T10" s="89">
        <v>0.58472222222222225</v>
      </c>
      <c r="U10" s="89">
        <v>0.63194444444444442</v>
      </c>
      <c r="V10" s="455">
        <v>7</v>
      </c>
      <c r="W10" s="452">
        <f t="shared" si="8"/>
        <v>67.999999999999915</v>
      </c>
      <c r="X10" s="53"/>
      <c r="Y10" s="53"/>
      <c r="Z10" s="54"/>
      <c r="AA10" s="54"/>
      <c r="AB10" s="673"/>
      <c r="AC10" s="673"/>
      <c r="AD10" s="469"/>
      <c r="AE10" s="469"/>
      <c r="AF10" s="48">
        <f t="shared" si="6"/>
        <v>-227.82352941176123</v>
      </c>
      <c r="AG10" s="459">
        <f t="shared" si="7"/>
        <v>0.91772353578484611</v>
      </c>
      <c r="AH10" s="689"/>
    </row>
    <row r="11" spans="1:34" ht="19.2" customHeight="1">
      <c r="A11" s="721"/>
      <c r="B11" s="40" t="s">
        <v>122</v>
      </c>
      <c r="C11" s="41"/>
      <c r="D11" s="42" t="s">
        <v>54</v>
      </c>
      <c r="E11" s="43"/>
      <c r="F11" s="343">
        <v>38.479999999999997</v>
      </c>
      <c r="G11" s="44">
        <v>3910</v>
      </c>
      <c r="H11" s="45">
        <f t="shared" si="0"/>
        <v>150456.79999999999</v>
      </c>
      <c r="I11" s="452"/>
      <c r="J11" s="46">
        <v>19</v>
      </c>
      <c r="K11" s="44">
        <v>2769</v>
      </c>
      <c r="L11" s="47">
        <v>145.73684210526315</v>
      </c>
      <c r="M11" s="453">
        <v>19</v>
      </c>
      <c r="N11" s="44">
        <f t="shared" si="1"/>
        <v>2495.744680851064</v>
      </c>
      <c r="O11" s="47">
        <f t="shared" si="2"/>
        <v>131.35498320268758</v>
      </c>
      <c r="P11" s="48">
        <f t="shared" si="3"/>
        <v>0</v>
      </c>
      <c r="Q11" s="49">
        <f t="shared" si="4"/>
        <v>-14.381858902575573</v>
      </c>
      <c r="R11" s="459">
        <f t="shared" si="5"/>
        <v>0.90131624443880975</v>
      </c>
      <c r="S11" s="689"/>
      <c r="T11" s="89">
        <v>0.6479166666666667</v>
      </c>
      <c r="U11" s="89">
        <v>0.71319444444444446</v>
      </c>
      <c r="V11" s="455">
        <v>23</v>
      </c>
      <c r="W11" s="452">
        <f t="shared" si="8"/>
        <v>93.999999999999986</v>
      </c>
      <c r="X11" s="53">
        <v>0.63611111111111118</v>
      </c>
      <c r="Y11" s="53">
        <v>0.64722222222222225</v>
      </c>
      <c r="Z11" s="54"/>
      <c r="AA11" s="54"/>
      <c r="AB11" s="673"/>
      <c r="AC11" s="673"/>
      <c r="AD11" s="469"/>
      <c r="AE11" s="469"/>
      <c r="AF11" s="48">
        <f t="shared" si="6"/>
        <v>-273.255319148936</v>
      </c>
      <c r="AG11" s="459">
        <f t="shared" si="7"/>
        <v>0.90131624443880964</v>
      </c>
      <c r="AH11" s="689"/>
    </row>
    <row r="12" spans="1:34" ht="19.2" customHeight="1">
      <c r="A12" s="721"/>
      <c r="B12" s="40">
        <v>0</v>
      </c>
      <c r="C12" s="41"/>
      <c r="D12" s="59"/>
      <c r="E12" s="43"/>
      <c r="F12" s="343" t="s">
        <v>128</v>
      </c>
      <c r="G12" s="44"/>
      <c r="H12" s="45">
        <f t="shared" si="0"/>
        <v>0</v>
      </c>
      <c r="I12" s="452"/>
      <c r="J12" s="46"/>
      <c r="K12" s="44"/>
      <c r="L12" s="47"/>
      <c r="M12" s="453"/>
      <c r="N12" s="44"/>
      <c r="O12" s="47"/>
      <c r="P12" s="48"/>
      <c r="Q12" s="49"/>
      <c r="R12" s="459"/>
      <c r="S12" s="689"/>
      <c r="T12" s="89"/>
      <c r="U12" s="89"/>
      <c r="V12" s="455"/>
      <c r="W12" s="452">
        <f t="shared" si="8"/>
        <v>0</v>
      </c>
      <c r="X12" s="53"/>
      <c r="Y12" s="53"/>
      <c r="Z12" s="54"/>
      <c r="AA12" s="54"/>
      <c r="AB12" s="673"/>
      <c r="AC12" s="673"/>
      <c r="AD12" s="469"/>
      <c r="AE12" s="469"/>
      <c r="AF12" s="48">
        <f t="shared" si="6"/>
        <v>0</v>
      </c>
      <c r="AG12" s="459" t="e">
        <f t="shared" si="7"/>
        <v>#DIV/0!</v>
      </c>
      <c r="AH12" s="689"/>
    </row>
    <row r="13" spans="1:34" ht="19.2" customHeight="1">
      <c r="A13" s="721"/>
      <c r="B13" s="40">
        <v>0</v>
      </c>
      <c r="C13" s="58"/>
      <c r="D13" s="59"/>
      <c r="E13" s="60"/>
      <c r="F13" s="343" t="s">
        <v>128</v>
      </c>
      <c r="G13" s="61"/>
      <c r="H13" s="45">
        <f t="shared" si="0"/>
        <v>0</v>
      </c>
      <c r="I13" s="456"/>
      <c r="J13" s="46"/>
      <c r="K13" s="44"/>
      <c r="L13" s="47"/>
      <c r="M13" s="62"/>
      <c r="N13" s="44"/>
      <c r="O13" s="47"/>
      <c r="P13" s="48"/>
      <c r="Q13" s="49"/>
      <c r="R13" s="459"/>
      <c r="S13" s="689"/>
      <c r="T13" s="89"/>
      <c r="U13" s="89"/>
      <c r="V13" s="456"/>
      <c r="W13" s="452">
        <f t="shared" si="8"/>
        <v>0</v>
      </c>
      <c r="X13" s="64"/>
      <c r="Y13" s="64"/>
      <c r="Z13" s="54"/>
      <c r="AA13" s="54"/>
      <c r="AB13" s="673"/>
      <c r="AC13" s="673"/>
      <c r="AD13" s="469"/>
      <c r="AE13" s="469"/>
      <c r="AF13" s="48">
        <f t="shared" si="6"/>
        <v>0</v>
      </c>
      <c r="AG13" s="459" t="e">
        <f t="shared" si="7"/>
        <v>#DIV/0!</v>
      </c>
      <c r="AH13" s="689"/>
    </row>
    <row r="14" spans="1:34" ht="19.2" customHeight="1">
      <c r="A14" s="721"/>
      <c r="B14" s="40">
        <v>0</v>
      </c>
      <c r="C14" s="66"/>
      <c r="D14" s="42"/>
      <c r="E14" s="43"/>
      <c r="F14" s="343" t="s">
        <v>128</v>
      </c>
      <c r="G14" s="61"/>
      <c r="H14" s="45">
        <f t="shared" si="0"/>
        <v>0</v>
      </c>
      <c r="I14" s="456"/>
      <c r="J14" s="46"/>
      <c r="K14" s="44"/>
      <c r="L14" s="47"/>
      <c r="M14" s="62"/>
      <c r="N14" s="44"/>
      <c r="O14" s="47"/>
      <c r="P14" s="48"/>
      <c r="Q14" s="49"/>
      <c r="R14" s="459"/>
      <c r="S14" s="689"/>
      <c r="T14" s="89"/>
      <c r="U14" s="89"/>
      <c r="V14" s="456"/>
      <c r="W14" s="452">
        <f t="shared" si="8"/>
        <v>0</v>
      </c>
      <c r="X14" s="64"/>
      <c r="Y14" s="64"/>
      <c r="Z14" s="54"/>
      <c r="AA14" s="54"/>
      <c r="AB14" s="673"/>
      <c r="AC14" s="673"/>
      <c r="AD14" s="469"/>
      <c r="AE14" s="469"/>
      <c r="AF14" s="48">
        <f t="shared" si="6"/>
        <v>0</v>
      </c>
      <c r="AG14" s="459" t="e">
        <f t="shared" si="7"/>
        <v>#DIV/0!</v>
      </c>
      <c r="AH14" s="689"/>
    </row>
    <row r="15" spans="1:34" ht="19.2" customHeight="1">
      <c r="A15" s="721"/>
      <c r="B15" s="67">
        <v>0</v>
      </c>
      <c r="C15" s="58"/>
      <c r="D15" s="59"/>
      <c r="E15" s="60"/>
      <c r="F15" s="343" t="s">
        <v>128</v>
      </c>
      <c r="G15" s="61"/>
      <c r="H15" s="45">
        <f t="shared" si="0"/>
        <v>0</v>
      </c>
      <c r="I15" s="456"/>
      <c r="J15" s="46"/>
      <c r="K15" s="44"/>
      <c r="L15" s="47"/>
      <c r="M15" s="62"/>
      <c r="N15" s="68"/>
      <c r="O15" s="47"/>
      <c r="P15" s="48"/>
      <c r="Q15" s="49"/>
      <c r="R15" s="459"/>
      <c r="S15" s="689"/>
      <c r="T15" s="89"/>
      <c r="U15" s="89"/>
      <c r="V15" s="456"/>
      <c r="W15" s="452">
        <f t="shared" si="8"/>
        <v>0</v>
      </c>
      <c r="X15" s="64"/>
      <c r="Y15" s="64"/>
      <c r="Z15" s="54"/>
      <c r="AA15" s="54"/>
      <c r="AB15" s="673"/>
      <c r="AC15" s="673"/>
      <c r="AD15" s="469"/>
      <c r="AE15" s="469"/>
      <c r="AF15" s="48">
        <f t="shared" si="6"/>
        <v>0</v>
      </c>
      <c r="AG15" s="459" t="e">
        <f t="shared" si="7"/>
        <v>#DIV/0!</v>
      </c>
      <c r="AH15" s="689"/>
    </row>
    <row r="16" spans="1:34" ht="19.2" customHeight="1">
      <c r="A16" s="721"/>
      <c r="B16" s="67">
        <v>0</v>
      </c>
      <c r="C16" s="58"/>
      <c r="D16" s="59"/>
      <c r="E16" s="60"/>
      <c r="F16" s="343" t="s">
        <v>128</v>
      </c>
      <c r="G16" s="61"/>
      <c r="H16" s="45">
        <f t="shared" si="0"/>
        <v>0</v>
      </c>
      <c r="I16" s="456"/>
      <c r="J16" s="46"/>
      <c r="K16" s="44"/>
      <c r="L16" s="47"/>
      <c r="M16" s="62"/>
      <c r="N16" s="68"/>
      <c r="O16" s="47"/>
      <c r="P16" s="48"/>
      <c r="Q16" s="49"/>
      <c r="R16" s="459"/>
      <c r="S16" s="689"/>
      <c r="T16" s="89"/>
      <c r="U16" s="89"/>
      <c r="V16" s="456"/>
      <c r="W16" s="452">
        <f t="shared" si="8"/>
        <v>0</v>
      </c>
      <c r="X16" s="64"/>
      <c r="Y16" s="64"/>
      <c r="Z16" s="54"/>
      <c r="AA16" s="54"/>
      <c r="AB16" s="673"/>
      <c r="AC16" s="673"/>
      <c r="AD16" s="469"/>
      <c r="AE16" s="469"/>
      <c r="AF16" s="48">
        <f t="shared" si="6"/>
        <v>0</v>
      </c>
      <c r="AG16" s="459" t="e">
        <f t="shared" si="7"/>
        <v>#DIV/0!</v>
      </c>
      <c r="AH16" s="689"/>
    </row>
    <row r="17" spans="1:34" ht="19.2" customHeight="1">
      <c r="A17" s="721"/>
      <c r="B17" s="69">
        <v>0</v>
      </c>
      <c r="C17" s="69" t="s">
        <v>402</v>
      </c>
      <c r="D17" s="683" t="s">
        <v>353</v>
      </c>
      <c r="E17" s="683"/>
      <c r="F17" s="344"/>
      <c r="G17" s="70"/>
      <c r="H17" s="71"/>
      <c r="I17" s="72"/>
      <c r="J17" s="70">
        <v>18.714285714285715</v>
      </c>
      <c r="K17" s="70">
        <v>2578.7142857142858</v>
      </c>
      <c r="L17" s="73">
        <v>138.67969292980351</v>
      </c>
      <c r="M17" s="70">
        <f t="shared" ref="M17:O17" si="9">AVERAGE(M5:M16)</f>
        <v>18.714285714285715</v>
      </c>
      <c r="N17" s="70">
        <f t="shared" si="9"/>
        <v>2390.3358835653867</v>
      </c>
      <c r="O17" s="73">
        <f t="shared" si="9"/>
        <v>128.5267253623891</v>
      </c>
      <c r="P17" s="65">
        <f t="shared" ref="P17:P23" si="10">M17-J17</f>
        <v>0</v>
      </c>
      <c r="Q17" s="74">
        <f t="shared" ref="Q17:Q23" si="11">O17-L17</f>
        <v>-10.152967567414407</v>
      </c>
      <c r="R17" s="75">
        <f>O17/L17</f>
        <v>0.92678836134607245</v>
      </c>
      <c r="S17" s="689"/>
      <c r="T17" s="89"/>
      <c r="U17" s="89"/>
      <c r="V17" s="456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673"/>
      <c r="AC17" s="673"/>
      <c r="AD17" s="79">
        <f>SUM(AD5:AD16)</f>
        <v>0</v>
      </c>
      <c r="AE17" s="79">
        <f>SUM(AE5:AE16)</f>
        <v>0</v>
      </c>
      <c r="AF17" s="65">
        <f t="shared" si="6"/>
        <v>-188.37840214889911</v>
      </c>
      <c r="AG17" s="460">
        <f t="shared" si="7"/>
        <v>0.9269487111493937</v>
      </c>
      <c r="AH17" s="689"/>
    </row>
    <row r="18" spans="1:34" ht="19.2" customHeight="1">
      <c r="A18" s="671" t="s">
        <v>403</v>
      </c>
      <c r="B18" s="80" t="s">
        <v>125</v>
      </c>
      <c r="C18" s="81"/>
      <c r="D18" s="82" t="s">
        <v>189</v>
      </c>
      <c r="E18" s="83"/>
      <c r="F18" s="345">
        <v>27.5</v>
      </c>
      <c r="G18" s="57">
        <v>903</v>
      </c>
      <c r="H18" s="84">
        <f t="shared" ref="H18:H29" si="12">F18*G18</f>
        <v>24832.5</v>
      </c>
      <c r="I18" s="469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1548.0000000000002</v>
      </c>
      <c r="O18" s="86">
        <f t="shared" ref="O18:O23" si="14">N18/M18</f>
        <v>129.00000000000003</v>
      </c>
      <c r="P18" s="54">
        <f t="shared" si="10"/>
        <v>0</v>
      </c>
      <c r="Q18" s="88">
        <f t="shared" si="11"/>
        <v>-37.666666666666629</v>
      </c>
      <c r="R18" s="462">
        <f t="shared" ref="R18:R23" si="15">O18/L18</f>
        <v>0.77400000000000024</v>
      </c>
      <c r="S18" s="672">
        <f>R30</f>
        <v>0.86073897640961383</v>
      </c>
      <c r="T18" s="89">
        <v>0.125</v>
      </c>
      <c r="U18" s="89">
        <v>0.14930555555555555</v>
      </c>
      <c r="V18" s="469">
        <v>5</v>
      </c>
      <c r="W18" s="90">
        <f>(U18-T18)*24*60</f>
        <v>34.999999999999993</v>
      </c>
      <c r="X18" s="86"/>
      <c r="Y18" s="86"/>
      <c r="Z18" s="54"/>
      <c r="AA18" s="54"/>
      <c r="AB18" s="673"/>
      <c r="AC18" s="673"/>
      <c r="AD18" s="469"/>
      <c r="AE18" s="469"/>
      <c r="AF18" s="91">
        <f t="shared" si="6"/>
        <v>-451.99999999999977</v>
      </c>
      <c r="AG18" s="92">
        <f t="shared" si="7"/>
        <v>0.77400000000000013</v>
      </c>
      <c r="AH18" s="714">
        <f>AG30</f>
        <v>0.86682162774069682</v>
      </c>
    </row>
    <row r="19" spans="1:34" ht="19.2" customHeight="1">
      <c r="A19" s="671"/>
      <c r="B19" s="466" t="s">
        <v>122</v>
      </c>
      <c r="C19" s="465"/>
      <c r="D19" s="82" t="s">
        <v>59</v>
      </c>
      <c r="E19" s="83"/>
      <c r="F19" s="343">
        <v>36.86</v>
      </c>
      <c r="G19" s="57">
        <v>3231.8</v>
      </c>
      <c r="H19" s="84">
        <f t="shared" si="12"/>
        <v>119124.148</v>
      </c>
      <c r="I19" s="469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2154.5333333333333</v>
      </c>
      <c r="O19" s="95">
        <f t="shared" si="14"/>
        <v>119.6962962962963</v>
      </c>
      <c r="P19" s="54">
        <f t="shared" si="10"/>
        <v>0</v>
      </c>
      <c r="Q19" s="88">
        <f t="shared" si="11"/>
        <v>-13.637037037037047</v>
      </c>
      <c r="R19" s="462">
        <f t="shared" si="15"/>
        <v>0.8977222222222222</v>
      </c>
      <c r="S19" s="672"/>
      <c r="T19" s="89">
        <v>0.15347222222222223</v>
      </c>
      <c r="U19" s="89">
        <v>0.21597222222222223</v>
      </c>
      <c r="V19" s="469">
        <v>6</v>
      </c>
      <c r="W19" s="90">
        <f>(U19-T19)*24*60</f>
        <v>90</v>
      </c>
      <c r="X19" s="96"/>
      <c r="Y19" s="96"/>
      <c r="Z19" s="54"/>
      <c r="AA19" s="54"/>
      <c r="AB19" s="673"/>
      <c r="AC19" s="673"/>
      <c r="AD19" s="469"/>
      <c r="AE19" s="469"/>
      <c r="AF19" s="48">
        <f t="shared" si="6"/>
        <v>-245.4666666666667</v>
      </c>
      <c r="AG19" s="459">
        <f t="shared" si="7"/>
        <v>0.8977222222222222</v>
      </c>
      <c r="AH19" s="715"/>
    </row>
    <row r="20" spans="1:34" ht="19.2" customHeight="1">
      <c r="A20" s="671"/>
      <c r="B20" s="466" t="s">
        <v>125</v>
      </c>
      <c r="C20" s="55"/>
      <c r="D20" s="42" t="s">
        <v>60</v>
      </c>
      <c r="E20" s="83"/>
      <c r="F20" s="343">
        <v>43.14</v>
      </c>
      <c r="G20" s="57">
        <v>1642</v>
      </c>
      <c r="H20" s="84">
        <f t="shared" si="12"/>
        <v>70835.88</v>
      </c>
      <c r="I20" s="469"/>
      <c r="J20" s="93">
        <v>17</v>
      </c>
      <c r="K20" s="44">
        <v>1500</v>
      </c>
      <c r="L20" s="47">
        <v>88.235294117647058</v>
      </c>
      <c r="M20" s="93">
        <v>17</v>
      </c>
      <c r="N20" s="94">
        <f t="shared" si="13"/>
        <v>1368.3333333333337</v>
      </c>
      <c r="O20" s="95">
        <f t="shared" si="14"/>
        <v>80.490196078431396</v>
      </c>
      <c r="P20" s="54">
        <f t="shared" si="10"/>
        <v>0</v>
      </c>
      <c r="Q20" s="88">
        <f t="shared" si="11"/>
        <v>-7.7450980392156623</v>
      </c>
      <c r="R20" s="462">
        <f t="shared" si="15"/>
        <v>0.91222222222222249</v>
      </c>
      <c r="S20" s="672"/>
      <c r="T20" s="89">
        <v>0.23194444444444445</v>
      </c>
      <c r="U20" s="89">
        <v>0.28194444444444444</v>
      </c>
      <c r="V20" s="469">
        <v>23</v>
      </c>
      <c r="W20" s="90">
        <f t="shared" ref="W20:W29" si="16">(U20-T20)*24*60</f>
        <v>71.999999999999986</v>
      </c>
      <c r="X20" s="96">
        <v>0.22083333333333333</v>
      </c>
      <c r="Y20" s="96">
        <v>0.23055555555555554</v>
      </c>
      <c r="Z20" s="54"/>
      <c r="AA20" s="54"/>
      <c r="AB20" s="673"/>
      <c r="AC20" s="673"/>
      <c r="AD20" s="469"/>
      <c r="AE20" s="469"/>
      <c r="AF20" s="91">
        <f t="shared" si="6"/>
        <v>-131.66666666666629</v>
      </c>
      <c r="AG20" s="92">
        <f t="shared" si="7"/>
        <v>0.91222222222222249</v>
      </c>
      <c r="AH20" s="715"/>
    </row>
    <row r="21" spans="1:34" ht="19.2" customHeight="1">
      <c r="A21" s="671"/>
      <c r="B21" s="466" t="s">
        <v>124</v>
      </c>
      <c r="C21" s="97"/>
      <c r="D21" s="98" t="s">
        <v>199</v>
      </c>
      <c r="E21" s="43"/>
      <c r="F21" s="343">
        <v>44.3</v>
      </c>
      <c r="G21" s="44">
        <v>2443</v>
      </c>
      <c r="H21" s="84">
        <f t="shared" si="12"/>
        <v>108224.9</v>
      </c>
      <c r="I21" s="455"/>
      <c r="J21" s="93">
        <v>18</v>
      </c>
      <c r="K21" s="44">
        <v>1565</v>
      </c>
      <c r="L21" s="47">
        <v>86.944444444444443</v>
      </c>
      <c r="M21" s="93">
        <v>18</v>
      </c>
      <c r="N21" s="94">
        <f t="shared" si="13"/>
        <v>1395.9999999999995</v>
      </c>
      <c r="O21" s="95">
        <f t="shared" si="14"/>
        <v>77.555555555555529</v>
      </c>
      <c r="P21" s="54">
        <f t="shared" si="10"/>
        <v>0</v>
      </c>
      <c r="Q21" s="88">
        <f t="shared" si="11"/>
        <v>-9.3888888888889142</v>
      </c>
      <c r="R21" s="462">
        <f t="shared" si="15"/>
        <v>0.89201277955271541</v>
      </c>
      <c r="S21" s="672"/>
      <c r="T21" s="89">
        <v>0.28680555555555554</v>
      </c>
      <c r="U21" s="89">
        <v>0.35972222222222222</v>
      </c>
      <c r="V21" s="469">
        <v>7</v>
      </c>
      <c r="W21" s="90">
        <f t="shared" si="16"/>
        <v>105.00000000000003</v>
      </c>
      <c r="X21" s="96"/>
      <c r="Y21" s="96"/>
      <c r="Z21" s="54"/>
      <c r="AA21" s="54"/>
      <c r="AB21" s="673"/>
      <c r="AC21" s="673"/>
      <c r="AD21" s="469"/>
      <c r="AE21" s="469">
        <v>1</v>
      </c>
      <c r="AF21" s="48">
        <f t="shared" si="6"/>
        <v>-169.00000000000045</v>
      </c>
      <c r="AG21" s="459">
        <f t="shared" si="7"/>
        <v>0.89201277955271541</v>
      </c>
      <c r="AH21" s="716"/>
    </row>
    <row r="22" spans="1:34" ht="19.2" customHeight="1">
      <c r="A22" s="671"/>
      <c r="B22" s="466" t="s">
        <v>124</v>
      </c>
      <c r="C22" s="97"/>
      <c r="D22" s="42" t="s">
        <v>205</v>
      </c>
      <c r="E22" s="43"/>
      <c r="F22" s="343">
        <v>49.91</v>
      </c>
      <c r="G22" s="44">
        <v>3317</v>
      </c>
      <c r="H22" s="84">
        <f t="shared" si="12"/>
        <v>165551.47</v>
      </c>
      <c r="I22" s="455"/>
      <c r="J22" s="93">
        <v>17</v>
      </c>
      <c r="K22" s="44">
        <v>1565</v>
      </c>
      <c r="L22" s="47">
        <v>92.058823529411768</v>
      </c>
      <c r="M22" s="93">
        <v>17</v>
      </c>
      <c r="N22" s="94">
        <f t="shared" si="13"/>
        <v>1431.7985611510792</v>
      </c>
      <c r="O22" s="95">
        <f t="shared" si="14"/>
        <v>84.223444773592888</v>
      </c>
      <c r="P22" s="54">
        <f t="shared" si="10"/>
        <v>0</v>
      </c>
      <c r="Q22" s="88">
        <f t="shared" si="11"/>
        <v>-7.8353787558188799</v>
      </c>
      <c r="R22" s="462">
        <f t="shared" si="15"/>
        <v>0.91488725952145622</v>
      </c>
      <c r="S22" s="672"/>
      <c r="T22" s="89">
        <v>0.375</v>
      </c>
      <c r="U22" s="89">
        <v>0.47152777777777777</v>
      </c>
      <c r="V22" s="469">
        <v>22</v>
      </c>
      <c r="W22" s="90">
        <f t="shared" si="16"/>
        <v>139</v>
      </c>
      <c r="X22" s="96">
        <v>0.36388888888888887</v>
      </c>
      <c r="Y22" s="96">
        <v>0.37361111111111112</v>
      </c>
      <c r="Z22" s="54"/>
      <c r="AA22" s="54"/>
      <c r="AB22" s="673"/>
      <c r="AC22" s="673"/>
      <c r="AD22" s="469"/>
      <c r="AE22" s="469"/>
      <c r="AF22" s="91">
        <f t="shared" si="6"/>
        <v>-133.20143884892082</v>
      </c>
      <c r="AG22" s="92">
        <f t="shared" si="7"/>
        <v>0.91488725952145633</v>
      </c>
      <c r="AH22" s="716"/>
    </row>
    <row r="23" spans="1:34" ht="19.2" customHeight="1">
      <c r="A23" s="671"/>
      <c r="B23" s="466" t="s">
        <v>122</v>
      </c>
      <c r="C23" s="97"/>
      <c r="D23" s="42" t="s">
        <v>55</v>
      </c>
      <c r="E23" s="43"/>
      <c r="F23" s="343">
        <v>37.799999999999997</v>
      </c>
      <c r="G23" s="44">
        <v>2950.02</v>
      </c>
      <c r="H23" s="84">
        <f t="shared" si="12"/>
        <v>111510.75599999999</v>
      </c>
      <c r="I23" s="455"/>
      <c r="J23" s="93">
        <v>20</v>
      </c>
      <c r="K23" s="44">
        <v>2769</v>
      </c>
      <c r="L23" s="47">
        <v>138.44999999999999</v>
      </c>
      <c r="M23" s="93">
        <v>20</v>
      </c>
      <c r="N23" s="94">
        <f t="shared" si="13"/>
        <v>2328.9631578947351</v>
      </c>
      <c r="O23" s="95">
        <f t="shared" si="14"/>
        <v>116.44815789473675</v>
      </c>
      <c r="P23" s="54">
        <f t="shared" si="10"/>
        <v>0</v>
      </c>
      <c r="Q23" s="88">
        <f t="shared" si="11"/>
        <v>-22.001842105263236</v>
      </c>
      <c r="R23" s="462">
        <f t="shared" si="15"/>
        <v>0.84108456406454868</v>
      </c>
      <c r="S23" s="672"/>
      <c r="T23" s="89">
        <v>0.51180555555555551</v>
      </c>
      <c r="U23" s="89">
        <v>0.56458333333333333</v>
      </c>
      <c r="V23" s="469">
        <v>5</v>
      </c>
      <c r="W23" s="90">
        <f t="shared" si="16"/>
        <v>76.000000000000057</v>
      </c>
      <c r="X23" s="96"/>
      <c r="Y23" s="96"/>
      <c r="Z23" s="54"/>
      <c r="AA23" s="54"/>
      <c r="AB23" s="673"/>
      <c r="AC23" s="673"/>
      <c r="AD23" s="469"/>
      <c r="AE23" s="469"/>
      <c r="AF23" s="48">
        <f t="shared" si="6"/>
        <v>-440.0368421052649</v>
      </c>
      <c r="AG23" s="459">
        <f t="shared" si="7"/>
        <v>0.84108456406454857</v>
      </c>
      <c r="AH23" s="716"/>
    </row>
    <row r="24" spans="1:34" ht="19.2" customHeight="1">
      <c r="A24" s="671"/>
      <c r="B24" s="466">
        <v>0</v>
      </c>
      <c r="C24" s="81"/>
      <c r="D24" s="82"/>
      <c r="E24" s="83"/>
      <c r="F24" s="343" t="s">
        <v>128</v>
      </c>
      <c r="G24" s="57"/>
      <c r="H24" s="84">
        <f t="shared" si="12"/>
        <v>0</v>
      </c>
      <c r="I24" s="455"/>
      <c r="J24" s="93"/>
      <c r="K24" s="44"/>
      <c r="L24" s="47"/>
      <c r="M24" s="93"/>
      <c r="N24" s="94"/>
      <c r="O24" s="95"/>
      <c r="P24" s="54"/>
      <c r="Q24" s="88"/>
      <c r="R24" s="462"/>
      <c r="S24" s="672"/>
      <c r="T24" s="89"/>
      <c r="U24" s="89"/>
      <c r="V24" s="469"/>
      <c r="W24" s="90">
        <f t="shared" si="16"/>
        <v>0</v>
      </c>
      <c r="X24" s="96"/>
      <c r="Y24" s="96"/>
      <c r="Z24" s="54"/>
      <c r="AA24" s="54"/>
      <c r="AB24" s="673"/>
      <c r="AC24" s="673"/>
      <c r="AD24" s="469"/>
      <c r="AE24" s="469"/>
      <c r="AF24" s="91">
        <f t="shared" si="6"/>
        <v>0</v>
      </c>
      <c r="AG24" s="92" t="e">
        <f t="shared" si="7"/>
        <v>#DIV/0!</v>
      </c>
      <c r="AH24" s="716"/>
    </row>
    <row r="25" spans="1:34" ht="19.2" customHeight="1">
      <c r="A25" s="671"/>
      <c r="B25" s="466">
        <v>0</v>
      </c>
      <c r="C25" s="81"/>
      <c r="D25" s="82"/>
      <c r="E25" s="83"/>
      <c r="F25" s="343" t="s">
        <v>128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462"/>
      <c r="S25" s="672"/>
      <c r="T25" s="89"/>
      <c r="U25" s="89"/>
      <c r="V25" s="469"/>
      <c r="W25" s="90">
        <f t="shared" si="16"/>
        <v>0</v>
      </c>
      <c r="X25" s="469"/>
      <c r="Y25" s="469"/>
      <c r="Z25" s="54"/>
      <c r="AA25" s="54"/>
      <c r="AB25" s="673"/>
      <c r="AC25" s="673"/>
      <c r="AD25" s="469"/>
      <c r="AE25" s="469"/>
      <c r="AF25" s="48">
        <f t="shared" si="6"/>
        <v>0</v>
      </c>
      <c r="AG25" s="459" t="e">
        <f t="shared" si="7"/>
        <v>#DIV/0!</v>
      </c>
      <c r="AH25" s="716"/>
    </row>
    <row r="26" spans="1:34" ht="19.2" customHeight="1">
      <c r="A26" s="671"/>
      <c r="B26" s="466">
        <v>0</v>
      </c>
      <c r="C26" s="81"/>
      <c r="D26" s="82"/>
      <c r="E26" s="83"/>
      <c r="F26" s="343" t="s">
        <v>128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62"/>
      <c r="S26" s="672"/>
      <c r="T26" s="89"/>
      <c r="U26" s="89"/>
      <c r="V26" s="469"/>
      <c r="W26" s="90">
        <f t="shared" si="16"/>
        <v>0</v>
      </c>
      <c r="X26" s="469"/>
      <c r="Y26" s="469"/>
      <c r="Z26" s="54"/>
      <c r="AA26" s="54"/>
      <c r="AB26" s="673"/>
      <c r="AC26" s="673"/>
      <c r="AD26" s="469"/>
      <c r="AE26" s="469"/>
      <c r="AF26" s="91">
        <f t="shared" si="6"/>
        <v>0</v>
      </c>
      <c r="AG26" s="92" t="e">
        <f t="shared" si="7"/>
        <v>#DIV/0!</v>
      </c>
      <c r="AH26" s="716"/>
    </row>
    <row r="27" spans="1:34" ht="19.2" customHeight="1">
      <c r="A27" s="671"/>
      <c r="B27" s="80">
        <v>0</v>
      </c>
      <c r="C27" s="81"/>
      <c r="D27" s="82"/>
      <c r="E27" s="83"/>
      <c r="F27" s="346" t="s">
        <v>128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62"/>
      <c r="S27" s="672"/>
      <c r="T27" s="89"/>
      <c r="U27" s="89"/>
      <c r="V27" s="469"/>
      <c r="W27" s="90">
        <f t="shared" si="16"/>
        <v>0</v>
      </c>
      <c r="X27" s="469"/>
      <c r="Y27" s="469"/>
      <c r="Z27" s="54"/>
      <c r="AA27" s="54"/>
      <c r="AB27" s="673"/>
      <c r="AC27" s="673"/>
      <c r="AD27" s="469"/>
      <c r="AE27" s="469"/>
      <c r="AF27" s="48">
        <f t="shared" si="6"/>
        <v>0</v>
      </c>
      <c r="AG27" s="459" t="e">
        <f t="shared" si="7"/>
        <v>#DIV/0!</v>
      </c>
      <c r="AH27" s="716"/>
    </row>
    <row r="28" spans="1:34" ht="19.2" customHeight="1">
      <c r="A28" s="671"/>
      <c r="B28" s="80">
        <v>0</v>
      </c>
      <c r="C28" s="81"/>
      <c r="D28" s="82"/>
      <c r="E28" s="83"/>
      <c r="F28" s="346" t="s">
        <v>128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62"/>
      <c r="S28" s="672"/>
      <c r="T28" s="89"/>
      <c r="U28" s="89"/>
      <c r="V28" s="469"/>
      <c r="W28" s="90">
        <f t="shared" si="16"/>
        <v>0</v>
      </c>
      <c r="X28" s="469"/>
      <c r="Y28" s="469"/>
      <c r="Z28" s="54"/>
      <c r="AA28" s="54"/>
      <c r="AB28" s="673"/>
      <c r="AC28" s="673"/>
      <c r="AD28" s="469"/>
      <c r="AE28" s="469"/>
      <c r="AF28" s="91">
        <f t="shared" si="6"/>
        <v>0</v>
      </c>
      <c r="AG28" s="92" t="e">
        <f t="shared" si="7"/>
        <v>#DIV/0!</v>
      </c>
      <c r="AH28" s="716"/>
    </row>
    <row r="29" spans="1:34" ht="19.2" customHeight="1">
      <c r="A29" s="671"/>
      <c r="B29" s="80">
        <v>0</v>
      </c>
      <c r="C29" s="81"/>
      <c r="D29" s="82"/>
      <c r="E29" s="83"/>
      <c r="F29" s="346" t="s">
        <v>128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62"/>
      <c r="S29" s="672"/>
      <c r="T29" s="89"/>
      <c r="U29" s="89"/>
      <c r="V29" s="469"/>
      <c r="W29" s="90">
        <f t="shared" si="16"/>
        <v>0</v>
      </c>
      <c r="X29" s="469"/>
      <c r="Y29" s="469"/>
      <c r="Z29" s="54"/>
      <c r="AA29" s="54"/>
      <c r="AB29" s="673"/>
      <c r="AC29" s="673"/>
      <c r="AD29" s="469"/>
      <c r="AE29" s="469"/>
      <c r="AF29" s="48">
        <f t="shared" si="6"/>
        <v>0</v>
      </c>
      <c r="AG29" s="459"/>
      <c r="AH29" s="716"/>
    </row>
    <row r="30" spans="1:34" ht="19.2" customHeight="1">
      <c r="A30" s="671"/>
      <c r="B30" s="99">
        <v>0</v>
      </c>
      <c r="C30" s="100" t="s">
        <v>404</v>
      </c>
      <c r="D30" s="718" t="s">
        <v>353</v>
      </c>
      <c r="E30" s="718"/>
      <c r="F30" s="347"/>
      <c r="G30" s="101"/>
      <c r="H30" s="102"/>
      <c r="I30" s="103"/>
      <c r="J30" s="101">
        <v>17</v>
      </c>
      <c r="K30" s="101">
        <v>1966.5</v>
      </c>
      <c r="L30" s="104">
        <v>117.6147603485839</v>
      </c>
      <c r="M30" s="101">
        <f t="shared" ref="M30:O30" si="17">AVERAGE(M18:M29)</f>
        <v>17</v>
      </c>
      <c r="N30" s="101">
        <f t="shared" si="17"/>
        <v>1704.6047309520802</v>
      </c>
      <c r="O30" s="104">
        <f t="shared" si="17"/>
        <v>101.23560843310214</v>
      </c>
      <c r="P30" s="54">
        <f t="shared" ref="P30:P38" si="18">M30-J30</f>
        <v>0</v>
      </c>
      <c r="Q30" s="88">
        <f t="shared" ref="Q30:Q38" si="19">O30-L30</f>
        <v>-16.379151915481756</v>
      </c>
      <c r="R30" s="105">
        <f t="shared" ref="R30:R38" si="20">O30/L30</f>
        <v>0.86073897640961383</v>
      </c>
      <c r="S30" s="672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673"/>
      <c r="AC30" s="673"/>
      <c r="AD30" s="107">
        <f>SUM(AD18:AD29)</f>
        <v>0</v>
      </c>
      <c r="AE30" s="107">
        <f>SUM(AE18:AE29)</f>
        <v>1</v>
      </c>
      <c r="AF30" s="108">
        <f t="shared" si="6"/>
        <v>-261.89526904791978</v>
      </c>
      <c r="AG30" s="109">
        <f t="shared" ref="AG30" si="21">N30/K30</f>
        <v>0.86682162774069682</v>
      </c>
      <c r="AH30" s="717"/>
    </row>
    <row r="31" spans="1:34" ht="19.2" customHeight="1">
      <c r="A31" s="708" t="s">
        <v>405</v>
      </c>
      <c r="B31" s="110" t="s">
        <v>125</v>
      </c>
      <c r="C31" s="66"/>
      <c r="D31" s="42" t="s">
        <v>190</v>
      </c>
      <c r="E31" s="111"/>
      <c r="F31" s="348">
        <v>26.5</v>
      </c>
      <c r="G31" s="134">
        <v>1626.3</v>
      </c>
      <c r="H31" s="112">
        <f t="shared" ref="H31:H40" si="22">F31*G31</f>
        <v>43096.95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1434.9705882352939</v>
      </c>
      <c r="O31" s="115">
        <f t="shared" ref="O31:O38" si="24">N31/M31</f>
        <v>119.58088235294116</v>
      </c>
      <c r="P31" s="116">
        <f t="shared" si="18"/>
        <v>0</v>
      </c>
      <c r="Q31" s="117">
        <f t="shared" si="19"/>
        <v>-47.085784313725497</v>
      </c>
      <c r="R31" s="463">
        <f t="shared" si="20"/>
        <v>0.71748529411764705</v>
      </c>
      <c r="S31" s="709">
        <f>R43</f>
        <v>0.85351810178150234</v>
      </c>
      <c r="T31" s="118">
        <v>0.125</v>
      </c>
      <c r="U31" s="118">
        <v>0.17222222222222222</v>
      </c>
      <c r="V31" s="142">
        <v>5</v>
      </c>
      <c r="W31" s="119">
        <f t="shared" ref="W31:W42" si="25">(U31-T31)*24*60</f>
        <v>68</v>
      </c>
      <c r="X31" s="52"/>
      <c r="Y31" s="52"/>
      <c r="Z31" s="51"/>
      <c r="AA31" s="51"/>
      <c r="AB31" s="673"/>
      <c r="AC31" s="673"/>
      <c r="AD31" s="52"/>
      <c r="AE31" s="52"/>
      <c r="AF31" s="116">
        <f t="shared" si="6"/>
        <v>-565.02941176470608</v>
      </c>
      <c r="AG31" s="120">
        <f t="shared" si="7"/>
        <v>0.71748529411764694</v>
      </c>
      <c r="AH31" s="687">
        <f>AG43</f>
        <v>0.85195302239323145</v>
      </c>
    </row>
    <row r="32" spans="1:34" ht="19.2" customHeight="1">
      <c r="A32" s="701"/>
      <c r="B32" s="121" t="s">
        <v>126</v>
      </c>
      <c r="C32" s="122"/>
      <c r="D32" s="42" t="s">
        <v>61</v>
      </c>
      <c r="E32" s="43"/>
      <c r="F32" s="343">
        <v>35.33</v>
      </c>
      <c r="G32" s="134">
        <v>2073</v>
      </c>
      <c r="H32" s="84">
        <f t="shared" si="22"/>
        <v>73239.09</v>
      </c>
      <c r="I32" s="452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1913.5384615384612</v>
      </c>
      <c r="O32" s="47">
        <f t="shared" si="24"/>
        <v>159.46153846153842</v>
      </c>
      <c r="P32" s="116">
        <f t="shared" si="18"/>
        <v>0</v>
      </c>
      <c r="Q32" s="49">
        <f t="shared" si="19"/>
        <v>-17.038461538461576</v>
      </c>
      <c r="R32" s="459">
        <f t="shared" si="20"/>
        <v>0.90346480714752653</v>
      </c>
      <c r="S32" s="672"/>
      <c r="T32" s="89">
        <v>0.1763888888888889</v>
      </c>
      <c r="U32" s="89">
        <v>0.2215277777777778</v>
      </c>
      <c r="V32" s="142">
        <v>6</v>
      </c>
      <c r="W32" s="90">
        <f t="shared" si="25"/>
        <v>65.000000000000014</v>
      </c>
      <c r="X32" s="123"/>
      <c r="Y32" s="123"/>
      <c r="Z32" s="124"/>
      <c r="AA32" s="124"/>
      <c r="AB32" s="673"/>
      <c r="AC32" s="673"/>
      <c r="AD32" s="469"/>
      <c r="AE32" s="469"/>
      <c r="AF32" s="48">
        <f t="shared" si="6"/>
        <v>-204.46153846153879</v>
      </c>
      <c r="AG32" s="459">
        <f t="shared" si="7"/>
        <v>0.90346480714752653</v>
      </c>
      <c r="AH32" s="688"/>
    </row>
    <row r="33" spans="1:34" ht="19.2" customHeight="1">
      <c r="A33" s="701"/>
      <c r="B33" s="121" t="s">
        <v>126</v>
      </c>
      <c r="C33" s="469"/>
      <c r="D33" s="42" t="s">
        <v>88</v>
      </c>
      <c r="E33" s="83"/>
      <c r="F33" s="343">
        <v>34.229999999999997</v>
      </c>
      <c r="G33" s="134">
        <v>1977.3</v>
      </c>
      <c r="H33" s="84">
        <f t="shared" si="22"/>
        <v>67682.978999999992</v>
      </c>
      <c r="I33" s="469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2010.8135593220341</v>
      </c>
      <c r="O33" s="47">
        <f t="shared" si="24"/>
        <v>154.67796610169492</v>
      </c>
      <c r="P33" s="116">
        <f t="shared" si="18"/>
        <v>0</v>
      </c>
      <c r="Q33" s="49">
        <f t="shared" si="19"/>
        <v>-18.398956975228145</v>
      </c>
      <c r="R33" s="459">
        <f t="shared" si="20"/>
        <v>0.89369491525423739</v>
      </c>
      <c r="S33" s="672"/>
      <c r="T33" s="89">
        <v>0.23680555555555557</v>
      </c>
      <c r="U33" s="89">
        <v>0.27777777777777779</v>
      </c>
      <c r="V33" s="142">
        <v>22</v>
      </c>
      <c r="W33" s="90">
        <f t="shared" si="25"/>
        <v>58.999999999999993</v>
      </c>
      <c r="X33" s="123">
        <v>0.22569444444444445</v>
      </c>
      <c r="Y33" s="123">
        <v>0.23611111111111113</v>
      </c>
      <c r="Z33" s="124"/>
      <c r="AA33" s="124"/>
      <c r="AB33" s="673"/>
      <c r="AC33" s="673"/>
      <c r="AD33" s="469"/>
      <c r="AE33" s="469"/>
      <c r="AF33" s="48">
        <f t="shared" si="6"/>
        <v>-239.18644067796595</v>
      </c>
      <c r="AG33" s="125">
        <f t="shared" si="7"/>
        <v>0.89369491525423739</v>
      </c>
      <c r="AH33" s="688"/>
    </row>
    <row r="34" spans="1:34" ht="19.2" customHeight="1">
      <c r="A34" s="701"/>
      <c r="B34" s="121" t="s">
        <v>126</v>
      </c>
      <c r="C34" s="126"/>
      <c r="D34" s="147" t="s">
        <v>90</v>
      </c>
      <c r="E34" s="83"/>
      <c r="F34" s="343">
        <v>35.83</v>
      </c>
      <c r="G34" s="137">
        <v>2886</v>
      </c>
      <c r="H34" s="84">
        <f t="shared" si="22"/>
        <v>103405.37999999999</v>
      </c>
      <c r="I34" s="469"/>
      <c r="J34" s="113">
        <v>11</v>
      </c>
      <c r="K34" s="94">
        <v>2250</v>
      </c>
      <c r="L34" s="95">
        <v>204.54545454545453</v>
      </c>
      <c r="M34" s="149">
        <v>11</v>
      </c>
      <c r="N34" s="44">
        <f t="shared" si="23"/>
        <v>2037.1764705882349</v>
      </c>
      <c r="O34" s="47">
        <f t="shared" si="24"/>
        <v>185.19786096256681</v>
      </c>
      <c r="P34" s="116">
        <f t="shared" si="18"/>
        <v>0</v>
      </c>
      <c r="Q34" s="49">
        <f t="shared" si="19"/>
        <v>-19.347593582887725</v>
      </c>
      <c r="R34" s="459">
        <f t="shared" si="20"/>
        <v>0.90541176470588225</v>
      </c>
      <c r="S34" s="672"/>
      <c r="T34" s="89">
        <v>0.28263888888888888</v>
      </c>
      <c r="U34" s="89">
        <v>0.34166666666666667</v>
      </c>
      <c r="V34" s="137">
        <v>7</v>
      </c>
      <c r="W34" s="90">
        <f t="shared" si="25"/>
        <v>85.000000000000014</v>
      </c>
      <c r="X34" s="123"/>
      <c r="Y34" s="123"/>
      <c r="Z34" s="124"/>
      <c r="AA34" s="124"/>
      <c r="AB34" s="673"/>
      <c r="AC34" s="673"/>
      <c r="AD34" s="469"/>
      <c r="AE34" s="469"/>
      <c r="AF34" s="48">
        <f t="shared" si="6"/>
        <v>-212.82352941176509</v>
      </c>
      <c r="AG34" s="125">
        <f t="shared" si="7"/>
        <v>0.90541176470588214</v>
      </c>
      <c r="AH34" s="688"/>
    </row>
    <row r="35" spans="1:34" ht="19.2" customHeight="1">
      <c r="A35" s="701"/>
      <c r="B35" s="121" t="s">
        <v>124</v>
      </c>
      <c r="C35" s="41"/>
      <c r="D35" s="150" t="s">
        <v>173</v>
      </c>
      <c r="E35" s="43"/>
      <c r="F35" s="343">
        <v>49.91</v>
      </c>
      <c r="G35" s="137">
        <v>3224.25</v>
      </c>
      <c r="H35" s="84">
        <f t="shared" si="22"/>
        <v>160922.31749999998</v>
      </c>
      <c r="I35" s="455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1334.1724137931028</v>
      </c>
      <c r="O35" s="47">
        <f t="shared" si="24"/>
        <v>78.4807302231237</v>
      </c>
      <c r="P35" s="116">
        <f t="shared" si="18"/>
        <v>0</v>
      </c>
      <c r="Q35" s="49">
        <f t="shared" si="19"/>
        <v>-13.578093306288068</v>
      </c>
      <c r="R35" s="459">
        <f t="shared" si="20"/>
        <v>0.85250633469207848</v>
      </c>
      <c r="S35" s="672"/>
      <c r="T35" s="89">
        <v>0.3576388888888889</v>
      </c>
      <c r="U35" s="89">
        <v>0.45833333333333337</v>
      </c>
      <c r="V35" s="134">
        <v>23</v>
      </c>
      <c r="W35" s="90">
        <f t="shared" si="25"/>
        <v>145.00000000000006</v>
      </c>
      <c r="X35" s="123">
        <v>0.34583333333333338</v>
      </c>
      <c r="Y35" s="123">
        <v>0.35694444444444445</v>
      </c>
      <c r="Z35" s="124"/>
      <c r="AA35" s="124"/>
      <c r="AB35" s="673"/>
      <c r="AC35" s="673"/>
      <c r="AD35" s="469"/>
      <c r="AE35" s="469"/>
      <c r="AF35" s="116">
        <f t="shared" si="6"/>
        <v>-230.82758620689719</v>
      </c>
      <c r="AG35" s="120">
        <f t="shared" si="7"/>
        <v>0.85250633469207848</v>
      </c>
      <c r="AH35" s="689"/>
    </row>
    <row r="36" spans="1:34" ht="19.2" customHeight="1">
      <c r="A36" s="701"/>
      <c r="B36" s="121" t="s">
        <v>122</v>
      </c>
      <c r="C36" s="128"/>
      <c r="D36" s="150" t="s">
        <v>194</v>
      </c>
      <c r="E36" s="83"/>
      <c r="F36" s="343">
        <v>46.93</v>
      </c>
      <c r="G36" s="134">
        <v>1254</v>
      </c>
      <c r="H36" s="84">
        <f t="shared" si="22"/>
        <v>58850.22</v>
      </c>
      <c r="I36" s="469"/>
      <c r="J36" s="113">
        <v>19</v>
      </c>
      <c r="K36" s="94">
        <v>2400</v>
      </c>
      <c r="L36" s="95">
        <v>126.31578947368421</v>
      </c>
      <c r="M36" s="149">
        <v>19</v>
      </c>
      <c r="N36" s="44">
        <f t="shared" si="23"/>
        <v>2033.513513513512</v>
      </c>
      <c r="O36" s="47">
        <f t="shared" si="24"/>
        <v>107.02702702702695</v>
      </c>
      <c r="P36" s="116">
        <f t="shared" si="18"/>
        <v>0</v>
      </c>
      <c r="Q36" s="49">
        <f t="shared" si="19"/>
        <v>-19.288762446657259</v>
      </c>
      <c r="R36" s="459">
        <f t="shared" si="20"/>
        <v>0.84729729729729675</v>
      </c>
      <c r="S36" s="672"/>
      <c r="T36" s="89">
        <v>0.49861111111111112</v>
      </c>
      <c r="U36" s="89">
        <v>0.52430555555555558</v>
      </c>
      <c r="V36" s="134">
        <v>5</v>
      </c>
      <c r="W36" s="90">
        <f t="shared" si="25"/>
        <v>37.000000000000028</v>
      </c>
      <c r="X36" s="123"/>
      <c r="Y36" s="123"/>
      <c r="Z36" s="124"/>
      <c r="AA36" s="124"/>
      <c r="AB36" s="673"/>
      <c r="AC36" s="673"/>
      <c r="AD36" s="469"/>
      <c r="AE36" s="469"/>
      <c r="AF36" s="48">
        <f t="shared" si="6"/>
        <v>-366.48648648648805</v>
      </c>
      <c r="AG36" s="459">
        <f t="shared" si="7"/>
        <v>0.84729729729729664</v>
      </c>
      <c r="AH36" s="689"/>
    </row>
    <row r="37" spans="1:34" ht="19.2" customHeight="1">
      <c r="A37" s="701"/>
      <c r="B37" s="121" t="s">
        <v>122</v>
      </c>
      <c r="C37" s="128"/>
      <c r="D37" s="150" t="s">
        <v>201</v>
      </c>
      <c r="E37" s="83"/>
      <c r="F37" s="343">
        <v>43.96</v>
      </c>
      <c r="G37" s="134">
        <v>1562</v>
      </c>
      <c r="H37" s="84">
        <f t="shared" si="22"/>
        <v>68665.52</v>
      </c>
      <c r="I37" s="469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2037.3913043478262</v>
      </c>
      <c r="O37" s="47">
        <f t="shared" si="24"/>
        <v>107.23112128146454</v>
      </c>
      <c r="P37" s="116">
        <f t="shared" si="18"/>
        <v>0</v>
      </c>
      <c r="Q37" s="49">
        <f t="shared" si="19"/>
        <v>-19.084668192219667</v>
      </c>
      <c r="R37" s="459">
        <f t="shared" si="20"/>
        <v>0.84891304347826102</v>
      </c>
      <c r="S37" s="672"/>
      <c r="T37" s="89">
        <v>0.52916666666666667</v>
      </c>
      <c r="U37" s="89">
        <v>0.56111111111111112</v>
      </c>
      <c r="V37" s="134">
        <v>7</v>
      </c>
      <c r="W37" s="90">
        <f t="shared" si="25"/>
        <v>46</v>
      </c>
      <c r="X37" s="123"/>
      <c r="Y37" s="123"/>
      <c r="Z37" s="124"/>
      <c r="AA37" s="124"/>
      <c r="AB37" s="673"/>
      <c r="AC37" s="673"/>
      <c r="AD37" s="469"/>
      <c r="AE37" s="469"/>
      <c r="AF37" s="48">
        <f t="shared" si="6"/>
        <v>-362.60869565217376</v>
      </c>
      <c r="AG37" s="125">
        <f t="shared" si="7"/>
        <v>0.84891304347826091</v>
      </c>
      <c r="AH37" s="689"/>
    </row>
    <row r="38" spans="1:34" ht="19.2" customHeight="1">
      <c r="A38" s="701"/>
      <c r="B38" s="121" t="s">
        <v>122</v>
      </c>
      <c r="C38" s="128"/>
      <c r="D38" s="150" t="s">
        <v>59</v>
      </c>
      <c r="E38" s="83"/>
      <c r="F38" s="343">
        <v>36.86</v>
      </c>
      <c r="G38" s="134">
        <v>1740.1999999999998</v>
      </c>
      <c r="H38" s="84">
        <f t="shared" si="22"/>
        <v>64143.77199999999</v>
      </c>
      <c r="I38" s="469"/>
      <c r="J38" s="46">
        <v>18</v>
      </c>
      <c r="K38" s="44">
        <v>2400</v>
      </c>
      <c r="L38" s="47">
        <v>133.33333333333334</v>
      </c>
      <c r="M38" s="149">
        <v>18</v>
      </c>
      <c r="N38" s="44">
        <f t="shared" si="23"/>
        <v>2007.9230769230778</v>
      </c>
      <c r="O38" s="47">
        <f t="shared" si="24"/>
        <v>111.5512820512821</v>
      </c>
      <c r="P38" s="116">
        <f t="shared" si="18"/>
        <v>0</v>
      </c>
      <c r="Q38" s="49">
        <f t="shared" si="19"/>
        <v>-21.782051282051242</v>
      </c>
      <c r="R38" s="459">
        <f t="shared" si="20"/>
        <v>0.8366346153846157</v>
      </c>
      <c r="S38" s="672"/>
      <c r="T38" s="151">
        <v>0.56666666666666665</v>
      </c>
      <c r="U38" s="151">
        <v>0.60277777777777775</v>
      </c>
      <c r="V38" s="134">
        <v>8</v>
      </c>
      <c r="W38" s="90">
        <f t="shared" si="25"/>
        <v>51.999999999999972</v>
      </c>
      <c r="X38" s="123"/>
      <c r="Y38" s="123"/>
      <c r="Z38" s="124"/>
      <c r="AA38" s="124"/>
      <c r="AB38" s="673"/>
      <c r="AC38" s="673"/>
      <c r="AD38" s="469"/>
      <c r="AE38" s="469"/>
      <c r="AF38" s="48">
        <f t="shared" si="6"/>
        <v>-392.07692307692218</v>
      </c>
      <c r="AG38" s="125">
        <f t="shared" si="7"/>
        <v>0.83663461538461581</v>
      </c>
      <c r="AH38" s="689"/>
    </row>
    <row r="39" spans="1:34" ht="19.2" customHeight="1">
      <c r="A39" s="701"/>
      <c r="B39" s="121">
        <v>0</v>
      </c>
      <c r="C39" s="126"/>
      <c r="D39" s="42"/>
      <c r="E39" s="43"/>
      <c r="F39" s="343" t="s">
        <v>128</v>
      </c>
      <c r="G39" s="57"/>
      <c r="H39" s="84">
        <f t="shared" si="22"/>
        <v>0</v>
      </c>
      <c r="I39" s="469"/>
      <c r="J39" s="113"/>
      <c r="K39" s="94"/>
      <c r="L39" s="95"/>
      <c r="M39" s="458"/>
      <c r="N39" s="44"/>
      <c r="O39" s="47"/>
      <c r="P39" s="116"/>
      <c r="Q39" s="49"/>
      <c r="R39" s="459"/>
      <c r="S39" s="672"/>
      <c r="T39" s="89"/>
      <c r="U39" s="89"/>
      <c r="V39" s="469" t="s">
        <v>15</v>
      </c>
      <c r="W39" s="90">
        <f t="shared" si="25"/>
        <v>0</v>
      </c>
      <c r="X39" s="123"/>
      <c r="Y39" s="123"/>
      <c r="Z39" s="124"/>
      <c r="AA39" s="124"/>
      <c r="AB39" s="673"/>
      <c r="AC39" s="673"/>
      <c r="AD39" s="469"/>
      <c r="AE39" s="469"/>
      <c r="AF39" s="116">
        <f t="shared" si="6"/>
        <v>0</v>
      </c>
      <c r="AG39" s="120" t="e">
        <f t="shared" si="7"/>
        <v>#DIV/0!</v>
      </c>
      <c r="AH39" s="689"/>
    </row>
    <row r="40" spans="1:34" ht="19.2" customHeight="1">
      <c r="A40" s="701"/>
      <c r="B40" s="130">
        <v>0</v>
      </c>
      <c r="C40" s="97"/>
      <c r="D40" s="42"/>
      <c r="E40" s="43"/>
      <c r="F40" s="343" t="s">
        <v>128</v>
      </c>
      <c r="G40" s="44"/>
      <c r="H40" s="84">
        <f t="shared" si="22"/>
        <v>0</v>
      </c>
      <c r="I40" s="455"/>
      <c r="J40" s="46"/>
      <c r="K40" s="44"/>
      <c r="L40" s="47"/>
      <c r="M40" s="453" t="s">
        <v>15</v>
      </c>
      <c r="N40" s="44"/>
      <c r="O40" s="47"/>
      <c r="P40" s="116"/>
      <c r="Q40" s="49"/>
      <c r="R40" s="459"/>
      <c r="S40" s="672"/>
      <c r="T40" s="89"/>
      <c r="U40" s="89"/>
      <c r="V40" s="469"/>
      <c r="W40" s="90">
        <f t="shared" si="25"/>
        <v>0</v>
      </c>
      <c r="X40" s="123"/>
      <c r="Y40" s="123"/>
      <c r="Z40" s="124"/>
      <c r="AA40" s="124"/>
      <c r="AB40" s="673"/>
      <c r="AC40" s="673"/>
      <c r="AD40" s="469"/>
      <c r="AE40" s="469"/>
      <c r="AF40" s="48">
        <f t="shared" si="6"/>
        <v>0</v>
      </c>
      <c r="AG40" s="459" t="e">
        <f t="shared" si="7"/>
        <v>#DIV/0!</v>
      </c>
      <c r="AH40" s="689"/>
    </row>
    <row r="41" spans="1:34" ht="19.2" customHeight="1">
      <c r="A41" s="701"/>
      <c r="B41" s="469">
        <v>0</v>
      </c>
      <c r="C41" s="55"/>
      <c r="D41" s="82"/>
      <c r="E41" s="83"/>
      <c r="F41" s="343" t="s">
        <v>128</v>
      </c>
      <c r="G41" s="57"/>
      <c r="H41" s="84"/>
      <c r="I41" s="469"/>
      <c r="J41" s="87"/>
      <c r="K41" s="57"/>
      <c r="L41" s="86"/>
      <c r="M41" s="458"/>
      <c r="N41" s="57"/>
      <c r="O41" s="86"/>
      <c r="P41" s="54"/>
      <c r="Q41" s="88"/>
      <c r="R41" s="462"/>
      <c r="S41" s="672"/>
      <c r="T41" s="89"/>
      <c r="U41" s="89"/>
      <c r="V41" s="469"/>
      <c r="W41" s="90">
        <f t="shared" si="25"/>
        <v>0</v>
      </c>
      <c r="X41" s="123"/>
      <c r="Y41" s="123"/>
      <c r="Z41" s="124"/>
      <c r="AA41" s="124"/>
      <c r="AB41" s="673"/>
      <c r="AC41" s="673"/>
      <c r="AD41" s="469"/>
      <c r="AE41" s="469"/>
      <c r="AF41" s="48"/>
      <c r="AG41" s="129"/>
      <c r="AH41" s="689"/>
    </row>
    <row r="42" spans="1:34" ht="19.2" customHeight="1">
      <c r="A42" s="701"/>
      <c r="B42" s="469">
        <v>0</v>
      </c>
      <c r="C42" s="55"/>
      <c r="D42" s="82"/>
      <c r="E42" s="83"/>
      <c r="F42" s="349" t="s">
        <v>128</v>
      </c>
      <c r="G42" s="57"/>
      <c r="H42" s="84">
        <f>F42*G42</f>
        <v>0</v>
      </c>
      <c r="I42" s="469"/>
      <c r="J42" s="87"/>
      <c r="K42" s="57"/>
      <c r="L42" s="86"/>
      <c r="M42" s="458"/>
      <c r="N42" s="57"/>
      <c r="O42" s="86"/>
      <c r="P42" s="54"/>
      <c r="Q42" s="88"/>
      <c r="R42" s="462"/>
      <c r="S42" s="672"/>
      <c r="T42" s="89"/>
      <c r="U42" s="89"/>
      <c r="V42" s="469"/>
      <c r="W42" s="90">
        <f t="shared" si="25"/>
        <v>0</v>
      </c>
      <c r="X42" s="123"/>
      <c r="Y42" s="123"/>
      <c r="Z42" s="124"/>
      <c r="AA42" s="124"/>
      <c r="AB42" s="673"/>
      <c r="AC42" s="673"/>
      <c r="AD42" s="469"/>
      <c r="AE42" s="469"/>
      <c r="AF42" s="48"/>
      <c r="AG42" s="129"/>
      <c r="AH42" s="689"/>
    </row>
    <row r="43" spans="1:34" ht="19.2" customHeight="1">
      <c r="A43" s="701"/>
      <c r="B43" s="121">
        <v>0</v>
      </c>
      <c r="C43" s="100" t="s">
        <v>406</v>
      </c>
      <c r="D43" s="669" t="s">
        <v>353</v>
      </c>
      <c r="E43" s="669"/>
      <c r="F43" s="347"/>
      <c r="G43" s="101"/>
      <c r="H43" s="102"/>
      <c r="I43" s="103"/>
      <c r="J43" s="101">
        <v>15.125</v>
      </c>
      <c r="K43" s="101">
        <v>2172.875</v>
      </c>
      <c r="L43" s="104">
        <v>149.8515975123947</v>
      </c>
      <c r="M43" s="101">
        <f t="shared" ref="M43:O43" si="26">AVERAGE(M31:M42)</f>
        <v>15.125</v>
      </c>
      <c r="N43" s="101">
        <f t="shared" si="26"/>
        <v>1851.1874235326927</v>
      </c>
      <c r="O43" s="104">
        <f t="shared" si="26"/>
        <v>127.90105105770482</v>
      </c>
      <c r="P43" s="54">
        <f>M43-J43</f>
        <v>0</v>
      </c>
      <c r="Q43" s="88">
        <f>N43-K43</f>
        <v>-321.68757646730728</v>
      </c>
      <c r="R43" s="105">
        <f t="shared" ref="R43:R50" si="27">O43/L43</f>
        <v>0.85351810178150234</v>
      </c>
      <c r="S43" s="672"/>
      <c r="T43" s="89"/>
      <c r="U43" s="89"/>
      <c r="V43" s="469"/>
      <c r="W43" s="469"/>
      <c r="X43" s="123"/>
      <c r="Y43" s="123"/>
      <c r="Z43" s="132">
        <f>SUM(Z31:Z42)</f>
        <v>0</v>
      </c>
      <c r="AA43" s="132">
        <f>SUM(AA31:AA42)</f>
        <v>0</v>
      </c>
      <c r="AB43" s="673"/>
      <c r="AC43" s="673"/>
      <c r="AD43" s="107">
        <f>SUM(AD31:AD42)</f>
        <v>0</v>
      </c>
      <c r="AE43" s="107">
        <f>SUM(AE31:AE42)</f>
        <v>0</v>
      </c>
      <c r="AF43" s="48">
        <f t="shared" ref="AF43:AF54" si="28">N43-K43</f>
        <v>-321.68757646730728</v>
      </c>
      <c r="AG43" s="460">
        <f t="shared" si="7"/>
        <v>0.85195302239323145</v>
      </c>
      <c r="AH43" s="689"/>
    </row>
    <row r="44" spans="1:34" s="145" customFormat="1" ht="19.2" customHeight="1">
      <c r="A44" s="711" t="s">
        <v>407</v>
      </c>
      <c r="B44" s="97" t="s">
        <v>126</v>
      </c>
      <c r="C44" s="133"/>
      <c r="D44" s="164" t="s">
        <v>73</v>
      </c>
      <c r="E44" s="43"/>
      <c r="F44" s="350">
        <v>24.73</v>
      </c>
      <c r="G44" s="134">
        <v>1690</v>
      </c>
      <c r="H44" s="45">
        <f>F44*G44</f>
        <v>41793.699999999997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2112.5000000000005</v>
      </c>
      <c r="O44" s="138">
        <f t="shared" ref="O44:O50" si="30">N44/M44</f>
        <v>422.50000000000011</v>
      </c>
      <c r="P44" s="51">
        <f t="shared" ref="P44:P50" si="31">M44-J44</f>
        <v>1</v>
      </c>
      <c r="Q44" s="139">
        <f t="shared" ref="Q44:Q50" si="32">O44-L44</f>
        <v>-77.499999999999886</v>
      </c>
      <c r="R44" s="140">
        <f t="shared" si="27"/>
        <v>0.8450000000000002</v>
      </c>
      <c r="S44" s="688">
        <f>R56</f>
        <v>0.90733786791527016</v>
      </c>
      <c r="T44" s="118">
        <v>0.125</v>
      </c>
      <c r="U44" s="118">
        <v>0.15833333333333333</v>
      </c>
      <c r="V44" s="142">
        <v>5</v>
      </c>
      <c r="W44" s="143">
        <f t="shared" ref="W44:W56" si="33">(U44-T44)*24*60</f>
        <v>47.999999999999986</v>
      </c>
      <c r="X44" s="123"/>
      <c r="Y44" s="123"/>
      <c r="Z44" s="124"/>
      <c r="AA44" s="124"/>
      <c r="AB44" s="673"/>
      <c r="AC44" s="673"/>
      <c r="AD44" s="469"/>
      <c r="AE44" s="469"/>
      <c r="AF44" s="144">
        <f t="shared" si="28"/>
        <v>112.50000000000045</v>
      </c>
      <c r="AG44" s="464">
        <f t="shared" si="7"/>
        <v>1.0562500000000001</v>
      </c>
      <c r="AH44" s="705">
        <f>AG56</f>
        <v>0.99263963846142222</v>
      </c>
    </row>
    <row r="45" spans="1:34" s="145" customFormat="1" ht="19.2" customHeight="1">
      <c r="A45" s="712"/>
      <c r="B45" s="97" t="s">
        <v>126</v>
      </c>
      <c r="C45" s="133"/>
      <c r="D45" s="42" t="s">
        <v>74</v>
      </c>
      <c r="E45" s="43"/>
      <c r="F45" s="350">
        <v>24.73</v>
      </c>
      <c r="G45" s="134">
        <v>1647</v>
      </c>
      <c r="H45" s="45">
        <f>F45*G45</f>
        <v>40730.31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2148.260869565217</v>
      </c>
      <c r="O45" s="138">
        <f t="shared" si="30"/>
        <v>429.65217391304338</v>
      </c>
      <c r="P45" s="51">
        <f t="shared" si="31"/>
        <v>1</v>
      </c>
      <c r="Q45" s="139">
        <f t="shared" si="32"/>
        <v>-70.347826086956616</v>
      </c>
      <c r="R45" s="140">
        <f t="shared" si="27"/>
        <v>0.85930434782608678</v>
      </c>
      <c r="S45" s="688"/>
      <c r="T45" s="89">
        <v>0.16180555555555554</v>
      </c>
      <c r="U45" s="89">
        <v>0.19374999999999998</v>
      </c>
      <c r="V45" s="142">
        <v>5</v>
      </c>
      <c r="W45" s="143">
        <f t="shared" si="33"/>
        <v>46</v>
      </c>
      <c r="X45" s="123"/>
      <c r="Y45" s="123"/>
      <c r="Z45" s="124"/>
      <c r="AA45" s="124"/>
      <c r="AB45" s="673"/>
      <c r="AC45" s="673"/>
      <c r="AD45" s="469"/>
      <c r="AE45" s="469"/>
      <c r="AF45" s="144">
        <f t="shared" si="28"/>
        <v>148.26086956521704</v>
      </c>
      <c r="AG45" s="464">
        <f t="shared" si="7"/>
        <v>1.0741304347826086</v>
      </c>
      <c r="AH45" s="705"/>
    </row>
    <row r="46" spans="1:34" s="145" customFormat="1" ht="19.2" customHeight="1">
      <c r="A46" s="712"/>
      <c r="B46" s="97" t="s">
        <v>125</v>
      </c>
      <c r="C46" s="133"/>
      <c r="D46" s="42" t="s">
        <v>65</v>
      </c>
      <c r="E46" s="43"/>
      <c r="F46" s="350">
        <v>31.43</v>
      </c>
      <c r="G46" s="134">
        <v>1757</v>
      </c>
      <c r="H46" s="45">
        <f t="shared" ref="H46:H51" si="34">F46*G46</f>
        <v>55222.51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1464.1666666666661</v>
      </c>
      <c r="O46" s="138">
        <f t="shared" si="30"/>
        <v>209.16666666666657</v>
      </c>
      <c r="P46" s="51">
        <f t="shared" si="31"/>
        <v>0</v>
      </c>
      <c r="Q46" s="139">
        <f t="shared" si="32"/>
        <v>-5.1190476190477057</v>
      </c>
      <c r="R46" s="140">
        <f t="shared" si="27"/>
        <v>0.97611111111111071</v>
      </c>
      <c r="S46" s="688"/>
      <c r="T46" s="89">
        <v>0.20416666666666664</v>
      </c>
      <c r="U46" s="89">
        <v>0.25416666666666665</v>
      </c>
      <c r="V46" s="142">
        <v>15</v>
      </c>
      <c r="W46" s="143">
        <f t="shared" si="33"/>
        <v>72.000000000000028</v>
      </c>
      <c r="X46" s="123"/>
      <c r="Y46" s="123"/>
      <c r="Z46" s="124"/>
      <c r="AA46" s="124"/>
      <c r="AB46" s="673"/>
      <c r="AC46" s="673"/>
      <c r="AD46" s="469"/>
      <c r="AE46" s="469"/>
      <c r="AF46" s="144">
        <f t="shared" si="28"/>
        <v>-35.83333333333394</v>
      </c>
      <c r="AG46" s="464">
        <f t="shared" si="7"/>
        <v>0.97611111111111071</v>
      </c>
      <c r="AH46" s="705"/>
    </row>
    <row r="47" spans="1:34" s="145" customFormat="1" ht="19.2" customHeight="1">
      <c r="A47" s="712"/>
      <c r="B47" s="97" t="s">
        <v>125</v>
      </c>
      <c r="C47" s="133"/>
      <c r="D47" s="42" t="s">
        <v>202</v>
      </c>
      <c r="E47" s="148"/>
      <c r="F47" s="350">
        <v>28.47</v>
      </c>
      <c r="G47" s="137">
        <v>1615</v>
      </c>
      <c r="H47" s="45">
        <f t="shared" si="34"/>
        <v>45979.049999999996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1468.181818181818</v>
      </c>
      <c r="O47" s="138">
        <f t="shared" si="30"/>
        <v>209.74025974025972</v>
      </c>
      <c r="P47" s="51">
        <f t="shared" si="31"/>
        <v>0</v>
      </c>
      <c r="Q47" s="139">
        <f t="shared" si="32"/>
        <v>-4.545454545454561</v>
      </c>
      <c r="R47" s="140">
        <f t="shared" si="27"/>
        <v>0.97878787878787876</v>
      </c>
      <c r="S47" s="688"/>
      <c r="T47" s="89">
        <v>0.26458333333333334</v>
      </c>
      <c r="U47" s="89">
        <v>0.31041666666666667</v>
      </c>
      <c r="V47" s="137">
        <v>15</v>
      </c>
      <c r="W47" s="143">
        <f t="shared" si="33"/>
        <v>66</v>
      </c>
      <c r="X47" s="123"/>
      <c r="Y47" s="123"/>
      <c r="Z47" s="124"/>
      <c r="AA47" s="124"/>
      <c r="AB47" s="673"/>
      <c r="AC47" s="673"/>
      <c r="AD47" s="469"/>
      <c r="AE47" s="469"/>
      <c r="AF47" s="144">
        <f t="shared" si="28"/>
        <v>-31.818181818181984</v>
      </c>
      <c r="AG47" s="464">
        <f t="shared" si="7"/>
        <v>0.97878787878787865</v>
      </c>
      <c r="AH47" s="705"/>
    </row>
    <row r="48" spans="1:34" s="145" customFormat="1" ht="19.2" customHeight="1">
      <c r="A48" s="712"/>
      <c r="B48" s="97" t="s">
        <v>125</v>
      </c>
      <c r="C48" s="133"/>
      <c r="D48" s="42" t="s">
        <v>172</v>
      </c>
      <c r="E48" s="148"/>
      <c r="F48" s="350">
        <v>11.86</v>
      </c>
      <c r="G48" s="137">
        <v>1551</v>
      </c>
      <c r="H48" s="45">
        <f t="shared" si="34"/>
        <v>18394.86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1454.0624999999995</v>
      </c>
      <c r="O48" s="138">
        <f t="shared" si="30"/>
        <v>242.34374999999991</v>
      </c>
      <c r="P48" s="51">
        <f t="shared" si="31"/>
        <v>0</v>
      </c>
      <c r="Q48" s="139">
        <f t="shared" si="32"/>
        <v>-30.322916666666771</v>
      </c>
      <c r="R48" s="140">
        <f t="shared" si="27"/>
        <v>0.88879125916870383</v>
      </c>
      <c r="S48" s="688"/>
      <c r="T48" s="89">
        <v>0.32430555555555557</v>
      </c>
      <c r="U48" s="89">
        <v>0.36875000000000002</v>
      </c>
      <c r="V48" s="134">
        <v>20</v>
      </c>
      <c r="W48" s="143">
        <f t="shared" si="33"/>
        <v>64.000000000000014</v>
      </c>
      <c r="X48" s="123">
        <v>0.31527777777777777</v>
      </c>
      <c r="Y48" s="123">
        <v>0.32361111111111113</v>
      </c>
      <c r="Z48" s="124"/>
      <c r="AA48" s="124"/>
      <c r="AB48" s="673"/>
      <c r="AC48" s="673"/>
      <c r="AD48" s="469"/>
      <c r="AE48" s="469"/>
      <c r="AF48" s="144">
        <f t="shared" si="28"/>
        <v>-181.93750000000045</v>
      </c>
      <c r="AG48" s="464">
        <f t="shared" si="7"/>
        <v>0.88879125916870383</v>
      </c>
      <c r="AH48" s="705"/>
    </row>
    <row r="49" spans="1:34" s="145" customFormat="1" ht="19.2" customHeight="1">
      <c r="A49" s="712"/>
      <c r="B49" s="97" t="s">
        <v>127</v>
      </c>
      <c r="C49" s="133"/>
      <c r="D49" s="42" t="s">
        <v>64</v>
      </c>
      <c r="E49" s="148"/>
      <c r="F49" s="350">
        <v>10.09</v>
      </c>
      <c r="G49" s="134">
        <v>3814.7200000000003</v>
      </c>
      <c r="H49" s="45">
        <f t="shared" si="34"/>
        <v>38490.524799999999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1467.2000000000003</v>
      </c>
      <c r="O49" s="138">
        <f t="shared" si="30"/>
        <v>244.53333333333339</v>
      </c>
      <c r="P49" s="51">
        <f t="shared" si="31"/>
        <v>0</v>
      </c>
      <c r="Q49" s="139">
        <f t="shared" si="32"/>
        <v>-5.4666666666666117</v>
      </c>
      <c r="R49" s="140">
        <f t="shared" si="27"/>
        <v>0.97813333333333352</v>
      </c>
      <c r="S49" s="688"/>
      <c r="T49" s="89">
        <v>0.38958333333333334</v>
      </c>
      <c r="U49" s="89">
        <v>0.49791666666666667</v>
      </c>
      <c r="V49" s="134">
        <v>30</v>
      </c>
      <c r="W49" s="143">
        <f t="shared" si="33"/>
        <v>156</v>
      </c>
      <c r="X49" s="152">
        <v>0.37361111111111112</v>
      </c>
      <c r="Y49" s="152">
        <v>0.3888888888888889</v>
      </c>
      <c r="Z49" s="153"/>
      <c r="AA49" s="124"/>
      <c r="AB49" s="673"/>
      <c r="AC49" s="673"/>
      <c r="AD49" s="469"/>
      <c r="AE49" s="469"/>
      <c r="AF49" s="144">
        <f t="shared" si="28"/>
        <v>-32.799999999999727</v>
      </c>
      <c r="AG49" s="464">
        <f t="shared" si="7"/>
        <v>0.97813333333333352</v>
      </c>
      <c r="AH49" s="705"/>
    </row>
    <row r="50" spans="1:34" s="145" customFormat="1" ht="19.2" customHeight="1">
      <c r="A50" s="712"/>
      <c r="B50" s="97" t="s">
        <v>127</v>
      </c>
      <c r="C50" s="133"/>
      <c r="D50" s="42" t="s">
        <v>64</v>
      </c>
      <c r="E50" s="148"/>
      <c r="F50" s="350">
        <v>10.09</v>
      </c>
      <c r="G50" s="134">
        <v>3374.56</v>
      </c>
      <c r="H50" s="45">
        <f t="shared" si="34"/>
        <v>34049.310400000002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1435.9829787234044</v>
      </c>
      <c r="O50" s="138">
        <f t="shared" si="30"/>
        <v>239.33049645390074</v>
      </c>
      <c r="P50" s="51">
        <f t="shared" si="31"/>
        <v>0</v>
      </c>
      <c r="Q50" s="139">
        <f t="shared" si="32"/>
        <v>-10.669503546099264</v>
      </c>
      <c r="R50" s="140">
        <f t="shared" si="27"/>
        <v>0.9573219858156029</v>
      </c>
      <c r="S50" s="688"/>
      <c r="T50" s="89">
        <v>0.51875000000000004</v>
      </c>
      <c r="U50" s="89">
        <v>0.6166666666666667</v>
      </c>
      <c r="V50" s="134">
        <v>30</v>
      </c>
      <c r="W50" s="143">
        <f t="shared" si="33"/>
        <v>140.99999999999997</v>
      </c>
      <c r="X50" s="152">
        <v>0.50277777777777777</v>
      </c>
      <c r="Y50" s="152">
        <v>0.5180555555555556</v>
      </c>
      <c r="Z50" s="153"/>
      <c r="AA50" s="153"/>
      <c r="AB50" s="673"/>
      <c r="AC50" s="673"/>
      <c r="AD50" s="469">
        <v>1</v>
      </c>
      <c r="AE50" s="469"/>
      <c r="AF50" s="144">
        <f t="shared" si="28"/>
        <v>-64.017021276595642</v>
      </c>
      <c r="AG50" s="464">
        <f t="shared" si="7"/>
        <v>0.9573219858156029</v>
      </c>
      <c r="AH50" s="705"/>
    </row>
    <row r="51" spans="1:34" s="145" customFormat="1" ht="19.2" customHeight="1">
      <c r="A51" s="712"/>
      <c r="B51" s="97">
        <v>0</v>
      </c>
      <c r="C51" s="133"/>
      <c r="D51" s="150"/>
      <c r="E51" s="148"/>
      <c r="F51" s="350" t="s">
        <v>128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688"/>
      <c r="T51" s="151"/>
      <c r="U51" s="151"/>
      <c r="V51" s="134" t="s">
        <v>15</v>
      </c>
      <c r="W51" s="143">
        <f t="shared" si="33"/>
        <v>0</v>
      </c>
      <c r="X51" s="152"/>
      <c r="Y51" s="152"/>
      <c r="Z51" s="153"/>
      <c r="AA51" s="153"/>
      <c r="AB51" s="673"/>
      <c r="AC51" s="673"/>
      <c r="AD51" s="469"/>
      <c r="AE51" s="469"/>
      <c r="AF51" s="144">
        <f t="shared" si="28"/>
        <v>0</v>
      </c>
      <c r="AG51" s="464" t="e">
        <f t="shared" si="7"/>
        <v>#DIV/0!</v>
      </c>
      <c r="AH51" s="705"/>
    </row>
    <row r="52" spans="1:34" s="145" customFormat="1" ht="19.2" customHeight="1">
      <c r="A52" s="712"/>
      <c r="B52" s="97">
        <v>0</v>
      </c>
      <c r="C52" s="133"/>
      <c r="D52" s="150"/>
      <c r="E52" s="148"/>
      <c r="F52" s="350" t="s">
        <v>128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688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673"/>
      <c r="AC52" s="673"/>
      <c r="AD52" s="469"/>
      <c r="AE52" s="469"/>
      <c r="AF52" s="144">
        <f t="shared" si="28"/>
        <v>0</v>
      </c>
      <c r="AG52" s="464" t="e">
        <f t="shared" si="7"/>
        <v>#DIV/0!</v>
      </c>
      <c r="AH52" s="705"/>
    </row>
    <row r="53" spans="1:34" s="145" customFormat="1" ht="19.2" customHeight="1">
      <c r="A53" s="712"/>
      <c r="B53" s="97">
        <v>0</v>
      </c>
      <c r="C53" s="133"/>
      <c r="D53" s="150"/>
      <c r="E53" s="148"/>
      <c r="F53" s="350" t="s">
        <v>128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62"/>
      <c r="S53" s="688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673"/>
      <c r="AC53" s="673"/>
      <c r="AD53" s="469"/>
      <c r="AE53" s="469"/>
      <c r="AF53" s="144">
        <f t="shared" si="28"/>
        <v>0</v>
      </c>
      <c r="AG53" s="464" t="e">
        <f t="shared" si="7"/>
        <v>#DIV/0!</v>
      </c>
      <c r="AH53" s="705"/>
    </row>
    <row r="54" spans="1:34" s="145" customFormat="1" ht="19.2" customHeight="1">
      <c r="A54" s="712"/>
      <c r="B54" s="156">
        <v>0</v>
      </c>
      <c r="C54" s="133"/>
      <c r="D54" s="150"/>
      <c r="E54" s="148"/>
      <c r="F54" s="351" t="s">
        <v>128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62"/>
      <c r="S54" s="688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673"/>
      <c r="AC54" s="673"/>
      <c r="AD54" s="469"/>
      <c r="AE54" s="469"/>
      <c r="AF54" s="144">
        <f t="shared" si="28"/>
        <v>0</v>
      </c>
      <c r="AG54" s="464" t="e">
        <f t="shared" si="7"/>
        <v>#DIV/0!</v>
      </c>
      <c r="AH54" s="705"/>
    </row>
    <row r="55" spans="1:34" s="145" customFormat="1" ht="19.2" customHeight="1">
      <c r="A55" s="712"/>
      <c r="B55" s="156">
        <v>0</v>
      </c>
      <c r="C55" s="133"/>
      <c r="D55" s="150"/>
      <c r="E55" s="148"/>
      <c r="F55" s="351" t="s">
        <v>128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62"/>
      <c r="S55" s="688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673"/>
      <c r="AC55" s="673"/>
      <c r="AD55" s="469"/>
      <c r="AE55" s="469"/>
      <c r="AF55" s="144"/>
      <c r="AG55" s="464"/>
      <c r="AH55" s="705"/>
    </row>
    <row r="56" spans="1:34" ht="19.2" customHeight="1">
      <c r="A56" s="713"/>
      <c r="B56" s="157">
        <v>0</v>
      </c>
      <c r="C56" s="268" t="s">
        <v>408</v>
      </c>
      <c r="D56" s="710" t="s">
        <v>409</v>
      </c>
      <c r="E56" s="669"/>
      <c r="F56" s="34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1650.0506904481583</v>
      </c>
      <c r="O56" s="104">
        <f t="shared" si="35"/>
        <v>285.32381144388626</v>
      </c>
      <c r="P56" s="158">
        <f>M56-J56</f>
        <v>0.28571428571428559</v>
      </c>
      <c r="Q56" s="117">
        <f>N56-K56</f>
        <v>-12.2350238375559</v>
      </c>
      <c r="R56" s="159">
        <f t="shared" ref="R56:R61" si="36">O56/L56</f>
        <v>0.90733786791527016</v>
      </c>
      <c r="S56" s="688"/>
      <c r="T56" s="160"/>
      <c r="U56" s="160"/>
      <c r="V56" s="457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673"/>
      <c r="AC56" s="673"/>
      <c r="AD56" s="107">
        <f>SUM(AD44:AD55)</f>
        <v>1</v>
      </c>
      <c r="AE56" s="107">
        <f>SUM(AE44:AE55)</f>
        <v>0</v>
      </c>
      <c r="AF56" s="162">
        <f>N56-K56</f>
        <v>-12.2350238375559</v>
      </c>
      <c r="AG56" s="462">
        <f>N56/K56</f>
        <v>0.99263963846142222</v>
      </c>
      <c r="AH56" s="705"/>
    </row>
    <row r="57" spans="1:34" ht="19.2" customHeight="1">
      <c r="A57" s="700" t="s">
        <v>410</v>
      </c>
      <c r="B57" s="121" t="s">
        <v>125</v>
      </c>
      <c r="C57" s="121"/>
      <c r="D57" s="42" t="s">
        <v>66</v>
      </c>
      <c r="E57" s="43"/>
      <c r="F57" s="343">
        <v>28.26</v>
      </c>
      <c r="G57" s="57">
        <v>1145</v>
      </c>
      <c r="H57" s="84">
        <f t="shared" ref="H57:H66" si="37">F57*G57</f>
        <v>32357.7</v>
      </c>
      <c r="I57" s="469"/>
      <c r="J57" s="87">
        <v>7</v>
      </c>
      <c r="K57" s="57">
        <v>1500</v>
      </c>
      <c r="L57" s="86">
        <v>214.28571428571428</v>
      </c>
      <c r="M57" s="458">
        <v>7</v>
      </c>
      <c r="N57" s="57">
        <f t="shared" ref="N57:N61" si="38">G57/W57*60</f>
        <v>1461.7021276595747</v>
      </c>
      <c r="O57" s="86">
        <f t="shared" ref="O57:O61" si="39">N57/M57</f>
        <v>208.81458966565353</v>
      </c>
      <c r="P57" s="165">
        <f t="shared" ref="P57:P61" si="40">M57-J57</f>
        <v>0</v>
      </c>
      <c r="Q57" s="49">
        <f t="shared" ref="Q57:Q61" si="41">O57-L57</f>
        <v>-5.4711246200607491</v>
      </c>
      <c r="R57" s="459">
        <f t="shared" si="36"/>
        <v>0.97446808510638316</v>
      </c>
      <c r="S57" s="688">
        <f>R69</f>
        <v>0.98188471603225913</v>
      </c>
      <c r="T57" s="50">
        <v>0.125</v>
      </c>
      <c r="U57" s="50">
        <v>0.15763888888888888</v>
      </c>
      <c r="V57" s="455">
        <v>5</v>
      </c>
      <c r="W57" s="452">
        <f>(U57-T57)*24*60</f>
        <v>46.999999999999993</v>
      </c>
      <c r="X57" s="53"/>
      <c r="Y57" s="53"/>
      <c r="Z57" s="54"/>
      <c r="AA57" s="54"/>
      <c r="AB57" s="673"/>
      <c r="AC57" s="673"/>
      <c r="AD57" s="469"/>
      <c r="AE57" s="469"/>
      <c r="AF57" s="48">
        <f t="shared" si="6"/>
        <v>-38.297872340425329</v>
      </c>
      <c r="AG57" s="463">
        <f t="shared" si="7"/>
        <v>0.97446808510638316</v>
      </c>
      <c r="AH57" s="687">
        <f>AG69</f>
        <v>0.98126803512924543</v>
      </c>
    </row>
    <row r="58" spans="1:34" ht="19.2" customHeight="1">
      <c r="A58" s="701"/>
      <c r="B58" s="121" t="s">
        <v>125</v>
      </c>
      <c r="C58" s="469"/>
      <c r="D58" s="42" t="s">
        <v>67</v>
      </c>
      <c r="E58" s="43"/>
      <c r="F58" s="343">
        <v>27.88</v>
      </c>
      <c r="G58" s="44">
        <v>3225</v>
      </c>
      <c r="H58" s="45">
        <f t="shared" si="37"/>
        <v>89913</v>
      </c>
      <c r="I58" s="455"/>
      <c r="J58" s="46">
        <v>7</v>
      </c>
      <c r="K58" s="44">
        <v>1500</v>
      </c>
      <c r="L58" s="86">
        <v>214.28571428571428</v>
      </c>
      <c r="M58" s="453">
        <v>7</v>
      </c>
      <c r="N58" s="44">
        <f t="shared" si="38"/>
        <v>1454.8872180451133</v>
      </c>
      <c r="O58" s="47">
        <f t="shared" si="39"/>
        <v>207.8410311493019</v>
      </c>
      <c r="P58" s="165">
        <f t="shared" si="40"/>
        <v>0</v>
      </c>
      <c r="Q58" s="49">
        <f t="shared" si="41"/>
        <v>-6.4446831364123796</v>
      </c>
      <c r="R58" s="459">
        <f t="shared" si="36"/>
        <v>0.96992481203007552</v>
      </c>
      <c r="S58" s="688"/>
      <c r="T58" s="50">
        <v>0.16458333333333333</v>
      </c>
      <c r="U58" s="50">
        <v>0.25694444444444442</v>
      </c>
      <c r="V58" s="455">
        <v>10</v>
      </c>
      <c r="W58" s="452">
        <f>(U58-T58)*24*60</f>
        <v>132.99999999999994</v>
      </c>
      <c r="X58" s="53"/>
      <c r="Y58" s="53"/>
      <c r="Z58" s="54"/>
      <c r="AA58" s="54"/>
      <c r="AB58" s="706"/>
      <c r="AC58" s="707"/>
      <c r="AD58" s="469"/>
      <c r="AE58" s="469"/>
      <c r="AF58" s="48">
        <f t="shared" si="6"/>
        <v>-45.112781954886714</v>
      </c>
      <c r="AG58" s="459">
        <f t="shared" si="7"/>
        <v>0.96992481203007552</v>
      </c>
      <c r="AH58" s="688"/>
    </row>
    <row r="59" spans="1:34" ht="19.2" customHeight="1">
      <c r="A59" s="701"/>
      <c r="B59" s="121" t="s">
        <v>125</v>
      </c>
      <c r="C59" s="469"/>
      <c r="D59" s="42" t="s">
        <v>68</v>
      </c>
      <c r="E59" s="43"/>
      <c r="F59" s="343">
        <v>28</v>
      </c>
      <c r="G59" s="44">
        <v>3037</v>
      </c>
      <c r="H59" s="45">
        <f t="shared" si="37"/>
        <v>85036</v>
      </c>
      <c r="I59" s="455"/>
      <c r="J59" s="46">
        <v>7</v>
      </c>
      <c r="K59" s="44">
        <v>1500</v>
      </c>
      <c r="L59" s="86">
        <v>214.28571428571428</v>
      </c>
      <c r="M59" s="453">
        <v>7</v>
      </c>
      <c r="N59" s="44">
        <f t="shared" si="38"/>
        <v>1469.5161290322585</v>
      </c>
      <c r="O59" s="47">
        <f t="shared" si="39"/>
        <v>209.93087557603693</v>
      </c>
      <c r="P59" s="165">
        <f t="shared" si="40"/>
        <v>0</v>
      </c>
      <c r="Q59" s="49">
        <f t="shared" si="41"/>
        <v>-4.3548387096773524</v>
      </c>
      <c r="R59" s="459">
        <f t="shared" si="36"/>
        <v>0.97967741935483899</v>
      </c>
      <c r="S59" s="688"/>
      <c r="T59" s="50">
        <v>0.27083333333333331</v>
      </c>
      <c r="U59" s="50">
        <v>0.3569444444444444</v>
      </c>
      <c r="V59" s="142">
        <v>20</v>
      </c>
      <c r="W59" s="452">
        <f t="shared" ref="W59:W69" si="42">(U59-T59)*24*60</f>
        <v>123.99999999999996</v>
      </c>
      <c r="X59" s="53">
        <v>0.26111111111111113</v>
      </c>
      <c r="Y59" s="53">
        <v>0.26944444444444443</v>
      </c>
      <c r="Z59" s="54"/>
      <c r="AA59" s="54"/>
      <c r="AB59" s="673"/>
      <c r="AC59" s="673"/>
      <c r="AD59" s="469"/>
      <c r="AE59" s="469"/>
      <c r="AF59" s="48">
        <f t="shared" si="6"/>
        <v>-30.483870967741495</v>
      </c>
      <c r="AG59" s="459">
        <f t="shared" si="7"/>
        <v>0.97967741935483899</v>
      </c>
      <c r="AH59" s="688"/>
    </row>
    <row r="60" spans="1:34" ht="19.2" customHeight="1">
      <c r="A60" s="701"/>
      <c r="B60" s="121" t="s">
        <v>127</v>
      </c>
      <c r="C60" s="469"/>
      <c r="D60" s="42" t="s">
        <v>64</v>
      </c>
      <c r="E60" s="43"/>
      <c r="F60" s="343">
        <v>10.09</v>
      </c>
      <c r="G60" s="44">
        <v>3521.2799999999997</v>
      </c>
      <c r="H60" s="45">
        <f t="shared" si="37"/>
        <v>35529.715199999999</v>
      </c>
      <c r="I60" s="455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1487.8647887323946</v>
      </c>
      <c r="O60" s="47">
        <f t="shared" si="39"/>
        <v>247.97746478873242</v>
      </c>
      <c r="P60" s="165">
        <f t="shared" si="40"/>
        <v>0</v>
      </c>
      <c r="Q60" s="49">
        <f t="shared" si="41"/>
        <v>-2.0225352112675807</v>
      </c>
      <c r="R60" s="459">
        <f t="shared" si="36"/>
        <v>0.99190985915492969</v>
      </c>
      <c r="S60" s="688"/>
      <c r="T60" s="50">
        <v>0.37777777777777771</v>
      </c>
      <c r="U60" s="50">
        <v>0.47638888888888881</v>
      </c>
      <c r="V60" s="142">
        <v>30</v>
      </c>
      <c r="W60" s="452">
        <f t="shared" si="42"/>
        <v>141.99999999999997</v>
      </c>
      <c r="X60" s="53">
        <v>0.3611111111111111</v>
      </c>
      <c r="Y60" s="53">
        <v>0.37638888888888888</v>
      </c>
      <c r="Z60" s="54"/>
      <c r="AA60" s="54"/>
      <c r="AB60" s="673"/>
      <c r="AC60" s="673"/>
      <c r="AD60" s="469"/>
      <c r="AE60" s="469"/>
      <c r="AF60" s="48">
        <f t="shared" si="6"/>
        <v>-12.135211267605428</v>
      </c>
      <c r="AG60" s="463">
        <f t="shared" si="7"/>
        <v>0.99190985915492969</v>
      </c>
      <c r="AH60" s="688"/>
    </row>
    <row r="61" spans="1:34" ht="19.2" customHeight="1">
      <c r="A61" s="701"/>
      <c r="B61" s="121" t="s">
        <v>127</v>
      </c>
      <c r="C61" s="469"/>
      <c r="D61" s="42" t="s">
        <v>64</v>
      </c>
      <c r="E61" s="43"/>
      <c r="F61" s="343">
        <v>10.09</v>
      </c>
      <c r="G61" s="44">
        <v>3961.44</v>
      </c>
      <c r="H61" s="45">
        <f t="shared" si="37"/>
        <v>39970.929600000003</v>
      </c>
      <c r="I61" s="455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1485.5400000000009</v>
      </c>
      <c r="O61" s="47">
        <f t="shared" si="39"/>
        <v>247.59000000000015</v>
      </c>
      <c r="P61" s="165">
        <f t="shared" si="40"/>
        <v>0</v>
      </c>
      <c r="Q61" s="49">
        <f t="shared" si="41"/>
        <v>-2.4099999999998545</v>
      </c>
      <c r="R61" s="459">
        <f t="shared" si="36"/>
        <v>0.99036000000000057</v>
      </c>
      <c r="S61" s="688"/>
      <c r="T61" s="50">
        <v>0.49722222222222212</v>
      </c>
      <c r="U61" s="50">
        <v>0.60833333333333317</v>
      </c>
      <c r="V61" s="142">
        <v>30</v>
      </c>
      <c r="W61" s="452">
        <f t="shared" si="42"/>
        <v>159.99999999999991</v>
      </c>
      <c r="X61" s="53">
        <v>0.48055555555555557</v>
      </c>
      <c r="Y61" s="53">
        <v>0.49652777777777773</v>
      </c>
      <c r="Z61" s="54"/>
      <c r="AA61" s="54"/>
      <c r="AB61" s="673"/>
      <c r="AC61" s="673"/>
      <c r="AD61" s="469"/>
      <c r="AE61" s="469"/>
      <c r="AF61" s="48">
        <f t="shared" si="6"/>
        <v>-14.459999999999127</v>
      </c>
      <c r="AG61" s="459">
        <f t="shared" si="7"/>
        <v>0.99036000000000057</v>
      </c>
      <c r="AH61" s="688"/>
    </row>
    <row r="62" spans="1:34" ht="19.2" customHeight="1">
      <c r="A62" s="701"/>
      <c r="B62" s="121">
        <v>0</v>
      </c>
      <c r="C62" s="469"/>
      <c r="D62" s="42"/>
      <c r="E62" s="43"/>
      <c r="F62" s="343" t="s">
        <v>128</v>
      </c>
      <c r="G62" s="134"/>
      <c r="H62" s="45">
        <f t="shared" si="37"/>
        <v>0</v>
      </c>
      <c r="I62" s="455"/>
      <c r="J62" s="46"/>
      <c r="K62" s="44"/>
      <c r="L62" s="86"/>
      <c r="M62" s="62"/>
      <c r="N62" s="44"/>
      <c r="O62" s="47"/>
      <c r="P62" s="165"/>
      <c r="Q62" s="49"/>
      <c r="R62" s="459"/>
      <c r="S62" s="688"/>
      <c r="T62" s="166"/>
      <c r="U62" s="166"/>
      <c r="V62" s="142"/>
      <c r="W62" s="452">
        <f t="shared" si="42"/>
        <v>0</v>
      </c>
      <c r="X62" s="53"/>
      <c r="Y62" s="53"/>
      <c r="Z62" s="54"/>
      <c r="AA62" s="54"/>
      <c r="AB62" s="673"/>
      <c r="AC62" s="673"/>
      <c r="AD62" s="469"/>
      <c r="AE62" s="469"/>
      <c r="AF62" s="48">
        <f t="shared" si="6"/>
        <v>0</v>
      </c>
      <c r="AG62" s="459" t="e">
        <f t="shared" si="7"/>
        <v>#DIV/0!</v>
      </c>
      <c r="AH62" s="688"/>
    </row>
    <row r="63" spans="1:34" ht="19.2" customHeight="1">
      <c r="A63" s="701"/>
      <c r="B63" s="121">
        <v>0</v>
      </c>
      <c r="C63" s="469"/>
      <c r="D63" s="42"/>
      <c r="E63" s="43"/>
      <c r="F63" s="343" t="s">
        <v>128</v>
      </c>
      <c r="G63" s="134"/>
      <c r="H63" s="45">
        <f t="shared" si="37"/>
        <v>0</v>
      </c>
      <c r="I63" s="455"/>
      <c r="J63" s="46"/>
      <c r="K63" s="44"/>
      <c r="L63" s="86"/>
      <c r="M63" s="62" t="s">
        <v>15</v>
      </c>
      <c r="N63" s="44"/>
      <c r="O63" s="47"/>
      <c r="P63" s="165"/>
      <c r="Q63" s="49"/>
      <c r="R63" s="459"/>
      <c r="S63" s="688"/>
      <c r="T63" s="166"/>
      <c r="U63" s="166"/>
      <c r="V63" s="142"/>
      <c r="W63" s="452">
        <f t="shared" si="42"/>
        <v>0</v>
      </c>
      <c r="X63" s="53"/>
      <c r="Y63" s="53"/>
      <c r="Z63" s="54"/>
      <c r="AA63" s="54"/>
      <c r="AB63" s="673"/>
      <c r="AC63" s="673"/>
      <c r="AD63" s="469"/>
      <c r="AE63" s="469"/>
      <c r="AF63" s="48">
        <f t="shared" si="6"/>
        <v>0</v>
      </c>
      <c r="AG63" s="463" t="e">
        <f t="shared" si="7"/>
        <v>#DIV/0!</v>
      </c>
      <c r="AH63" s="688"/>
    </row>
    <row r="64" spans="1:34" ht="19.2" customHeight="1">
      <c r="A64" s="702"/>
      <c r="B64" s="163">
        <v>0</v>
      </c>
      <c r="C64" s="393"/>
      <c r="D64" s="42"/>
      <c r="E64" s="43"/>
      <c r="F64" s="343" t="s">
        <v>128</v>
      </c>
      <c r="G64" s="134"/>
      <c r="H64" s="45">
        <f t="shared" si="37"/>
        <v>0</v>
      </c>
      <c r="I64" s="455"/>
      <c r="J64" s="167"/>
      <c r="K64" s="61"/>
      <c r="L64" s="86"/>
      <c r="M64" s="62"/>
      <c r="N64" s="44"/>
      <c r="O64" s="47"/>
      <c r="P64" s="165"/>
      <c r="Q64" s="49"/>
      <c r="R64" s="459"/>
      <c r="S64" s="688"/>
      <c r="T64" s="166"/>
      <c r="U64" s="166"/>
      <c r="V64" s="142"/>
      <c r="W64" s="452">
        <f t="shared" si="42"/>
        <v>0</v>
      </c>
      <c r="X64" s="455"/>
      <c r="Y64" s="455"/>
      <c r="Z64" s="54"/>
      <c r="AA64" s="54"/>
      <c r="AB64" s="673"/>
      <c r="AC64" s="673"/>
      <c r="AD64" s="469"/>
      <c r="AE64" s="469"/>
      <c r="AF64" s="48">
        <f t="shared" si="6"/>
        <v>0</v>
      </c>
      <c r="AG64" s="459" t="e">
        <f t="shared" si="7"/>
        <v>#DIV/0!</v>
      </c>
      <c r="AH64" s="688"/>
    </row>
    <row r="65" spans="1:34" ht="19.2" customHeight="1">
      <c r="A65" s="702"/>
      <c r="B65" s="97">
        <v>0</v>
      </c>
      <c r="C65" s="465"/>
      <c r="D65" s="42"/>
      <c r="E65" s="43"/>
      <c r="F65" s="343" t="s">
        <v>128</v>
      </c>
      <c r="G65" s="134"/>
      <c r="H65" s="45">
        <f t="shared" si="37"/>
        <v>0</v>
      </c>
      <c r="I65" s="455"/>
      <c r="J65" s="167"/>
      <c r="K65" s="61"/>
      <c r="L65" s="86"/>
      <c r="M65" s="62"/>
      <c r="N65" s="61"/>
      <c r="O65" s="77"/>
      <c r="P65" s="48"/>
      <c r="Q65" s="49"/>
      <c r="R65" s="459"/>
      <c r="S65" s="688"/>
      <c r="T65" s="166"/>
      <c r="U65" s="166"/>
      <c r="V65" s="142"/>
      <c r="W65" s="452">
        <f t="shared" si="42"/>
        <v>0</v>
      </c>
      <c r="X65" s="455"/>
      <c r="Y65" s="455"/>
      <c r="Z65" s="54"/>
      <c r="AA65" s="54"/>
      <c r="AB65" s="673"/>
      <c r="AC65" s="673"/>
      <c r="AD65" s="469"/>
      <c r="AE65" s="469"/>
      <c r="AF65" s="48">
        <f t="shared" si="6"/>
        <v>0</v>
      </c>
      <c r="AG65" s="459" t="e">
        <f t="shared" si="7"/>
        <v>#DIV/0!</v>
      </c>
      <c r="AH65" s="688"/>
    </row>
    <row r="66" spans="1:34" ht="19.2" customHeight="1">
      <c r="A66" s="702"/>
      <c r="B66" s="97">
        <v>0</v>
      </c>
      <c r="C66" s="465"/>
      <c r="D66" s="42"/>
      <c r="E66" s="43"/>
      <c r="F66" s="343" t="s">
        <v>128</v>
      </c>
      <c r="G66" s="134"/>
      <c r="H66" s="45">
        <f t="shared" si="37"/>
        <v>0</v>
      </c>
      <c r="I66" s="455"/>
      <c r="J66" s="167"/>
      <c r="K66" s="61"/>
      <c r="L66" s="86"/>
      <c r="M66" s="62"/>
      <c r="N66" s="61"/>
      <c r="O66" s="77"/>
      <c r="P66" s="48"/>
      <c r="Q66" s="49"/>
      <c r="R66" s="459"/>
      <c r="S66" s="688"/>
      <c r="T66" s="166"/>
      <c r="U66" s="166"/>
      <c r="V66" s="142"/>
      <c r="W66" s="452">
        <f t="shared" si="42"/>
        <v>0</v>
      </c>
      <c r="X66" s="455"/>
      <c r="Y66" s="455"/>
      <c r="Z66" s="54"/>
      <c r="AA66" s="54"/>
      <c r="AB66" s="673"/>
      <c r="AC66" s="673"/>
      <c r="AD66" s="469"/>
      <c r="AE66" s="469"/>
      <c r="AF66" s="48">
        <f t="shared" si="6"/>
        <v>0</v>
      </c>
      <c r="AG66" s="463" t="e">
        <f t="shared" si="7"/>
        <v>#DIV/0!</v>
      </c>
      <c r="AH66" s="688"/>
    </row>
    <row r="67" spans="1:34" ht="19.2" customHeight="1">
      <c r="A67" s="702"/>
      <c r="B67" s="97">
        <v>0</v>
      </c>
      <c r="C67" s="465"/>
      <c r="D67" s="42"/>
      <c r="E67" s="43"/>
      <c r="F67" s="343" t="s">
        <v>128</v>
      </c>
      <c r="G67" s="134"/>
      <c r="H67" s="45">
        <f>F67*G67</f>
        <v>0</v>
      </c>
      <c r="I67" s="455"/>
      <c r="J67" s="167"/>
      <c r="K67" s="61"/>
      <c r="L67" s="86"/>
      <c r="M67" s="62"/>
      <c r="N67" s="61"/>
      <c r="O67" s="77"/>
      <c r="P67" s="48"/>
      <c r="Q67" s="49"/>
      <c r="R67" s="459"/>
      <c r="S67" s="688"/>
      <c r="T67" s="166"/>
      <c r="U67" s="166"/>
      <c r="V67" s="142"/>
      <c r="W67" s="452">
        <f t="shared" si="42"/>
        <v>0</v>
      </c>
      <c r="X67" s="455"/>
      <c r="Y67" s="455"/>
      <c r="Z67" s="54"/>
      <c r="AA67" s="54"/>
      <c r="AB67" s="673"/>
      <c r="AC67" s="673"/>
      <c r="AD67" s="469"/>
      <c r="AE67" s="469"/>
      <c r="AF67" s="48">
        <f t="shared" si="6"/>
        <v>0</v>
      </c>
      <c r="AG67" s="459" t="e">
        <f t="shared" si="7"/>
        <v>#DIV/0!</v>
      </c>
      <c r="AH67" s="688"/>
    </row>
    <row r="68" spans="1:34" ht="19.2" customHeight="1">
      <c r="A68" s="702"/>
      <c r="B68" s="455">
        <v>0</v>
      </c>
      <c r="C68" s="465"/>
      <c r="D68" s="42"/>
      <c r="E68" s="43"/>
      <c r="F68" s="350" t="s">
        <v>128</v>
      </c>
      <c r="G68" s="134"/>
      <c r="H68" s="45">
        <f>F68*G68</f>
        <v>0</v>
      </c>
      <c r="I68" s="455"/>
      <c r="J68" s="167"/>
      <c r="K68" s="61"/>
      <c r="L68" s="86"/>
      <c r="M68" s="62"/>
      <c r="N68" s="61"/>
      <c r="O68" s="77"/>
      <c r="P68" s="48"/>
      <c r="Q68" s="49"/>
      <c r="R68" s="459"/>
      <c r="S68" s="688"/>
      <c r="T68" s="166"/>
      <c r="U68" s="166"/>
      <c r="V68" s="142"/>
      <c r="W68" s="452">
        <f t="shared" si="42"/>
        <v>0</v>
      </c>
      <c r="X68" s="455"/>
      <c r="Y68" s="455"/>
      <c r="Z68" s="54"/>
      <c r="AA68" s="54"/>
      <c r="AB68" s="673"/>
      <c r="AC68" s="673"/>
      <c r="AD68" s="469"/>
      <c r="AE68" s="469"/>
      <c r="AF68" s="48"/>
      <c r="AG68" s="459"/>
      <c r="AH68" s="688"/>
    </row>
    <row r="69" spans="1:34" ht="19.2" customHeight="1">
      <c r="A69" s="702"/>
      <c r="B69" s="168">
        <v>0</v>
      </c>
      <c r="C69" s="6" t="s">
        <v>411</v>
      </c>
      <c r="D69" s="669" t="s">
        <v>412</v>
      </c>
      <c r="E69" s="669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1471.9020526938682</v>
      </c>
      <c r="O69" s="73">
        <f t="shared" si="43"/>
        <v>224.43079223594495</v>
      </c>
      <c r="P69" s="48">
        <f>M69-J69</f>
        <v>0</v>
      </c>
      <c r="Q69" s="49">
        <f>N69-K69</f>
        <v>-28.0979473061318</v>
      </c>
      <c r="R69" s="172">
        <f t="shared" ref="R69:R75" si="44">O69/L69</f>
        <v>0.98188471603225913</v>
      </c>
      <c r="S69" s="688"/>
      <c r="T69" s="141"/>
      <c r="U69" s="141"/>
      <c r="V69" s="44"/>
      <c r="W69" s="452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673"/>
      <c r="AC69" s="673"/>
      <c r="AD69" s="107">
        <f>SUM(AD57:AD68)</f>
        <v>0</v>
      </c>
      <c r="AE69" s="107">
        <f>SUM(AE57:AE68)</f>
        <v>0</v>
      </c>
      <c r="AF69" s="48">
        <f t="shared" si="6"/>
        <v>-28.0979473061318</v>
      </c>
      <c r="AG69" s="459">
        <f t="shared" si="7"/>
        <v>0.98126803512924543</v>
      </c>
      <c r="AH69" s="688"/>
    </row>
    <row r="70" spans="1:34" ht="19.2" customHeight="1">
      <c r="A70" s="703" t="s">
        <v>413</v>
      </c>
      <c r="B70" s="455" t="s">
        <v>127</v>
      </c>
      <c r="C70" s="97"/>
      <c r="D70" s="42" t="s">
        <v>138</v>
      </c>
      <c r="E70" s="43"/>
      <c r="F70" s="343">
        <v>54.09</v>
      </c>
      <c r="G70" s="57">
        <v>486</v>
      </c>
      <c r="H70" s="45">
        <f>F70*G70</f>
        <v>26287.74</v>
      </c>
      <c r="I70" s="455"/>
      <c r="J70" s="46">
        <v>16</v>
      </c>
      <c r="K70" s="44">
        <v>1500</v>
      </c>
      <c r="L70" s="47">
        <v>93.75</v>
      </c>
      <c r="M70" s="453">
        <v>17</v>
      </c>
      <c r="N70" s="44">
        <f t="shared" ref="N70:N75" si="45">G70/W70*60</f>
        <v>1388.5714285714282</v>
      </c>
      <c r="O70" s="47">
        <f t="shared" ref="O70:O75" si="46">N70/M70</f>
        <v>81.680672268907543</v>
      </c>
      <c r="P70" s="48">
        <f t="shared" ref="P70:P75" si="47">M70-J70</f>
        <v>1</v>
      </c>
      <c r="Q70" s="49">
        <f t="shared" ref="Q70:Q75" si="48">O70-L70</f>
        <v>-12.069327731092457</v>
      </c>
      <c r="R70" s="459">
        <f t="shared" si="44"/>
        <v>0.87126050420168044</v>
      </c>
      <c r="S70" s="688">
        <f>R82</f>
        <v>0.89387393049763642</v>
      </c>
      <c r="T70" s="50">
        <v>0.25</v>
      </c>
      <c r="U70" s="50">
        <v>0.26458333333333334</v>
      </c>
      <c r="V70" s="455">
        <v>5</v>
      </c>
      <c r="W70" s="452">
        <f>(U70-T70)*24*60</f>
        <v>21.000000000000007</v>
      </c>
      <c r="X70" s="455"/>
      <c r="Y70" s="455"/>
      <c r="Z70" s="54"/>
      <c r="AA70" s="54"/>
      <c r="AB70" s="673"/>
      <c r="AC70" s="673"/>
      <c r="AD70" s="469"/>
      <c r="AE70" s="469"/>
      <c r="AF70" s="48">
        <f t="shared" si="6"/>
        <v>-111.42857142857179</v>
      </c>
      <c r="AG70" s="459">
        <f t="shared" si="7"/>
        <v>0.92571428571428549</v>
      </c>
      <c r="AH70" s="688">
        <f>AG82</f>
        <v>0.90228983343291835</v>
      </c>
    </row>
    <row r="71" spans="1:34" ht="19.2" customHeight="1">
      <c r="A71" s="703"/>
      <c r="B71" s="455" t="s">
        <v>123</v>
      </c>
      <c r="C71" s="41"/>
      <c r="D71" s="173" t="s">
        <v>69</v>
      </c>
      <c r="E71" s="43"/>
      <c r="F71" s="343">
        <v>53.36</v>
      </c>
      <c r="G71" s="44">
        <v>3028.9799999999996</v>
      </c>
      <c r="H71" s="45">
        <f>F71*G71</f>
        <v>161626.37279999998</v>
      </c>
      <c r="I71" s="455"/>
      <c r="J71" s="46">
        <v>19</v>
      </c>
      <c r="K71" s="174">
        <v>1636</v>
      </c>
      <c r="L71" s="47">
        <v>86.10526315789474</v>
      </c>
      <c r="M71" s="458">
        <v>19</v>
      </c>
      <c r="N71" s="44">
        <f t="shared" si="45"/>
        <v>1453.9104000000002</v>
      </c>
      <c r="O71" s="47">
        <f t="shared" si="46"/>
        <v>76.521600000000007</v>
      </c>
      <c r="P71" s="48">
        <f t="shared" si="47"/>
        <v>0</v>
      </c>
      <c r="Q71" s="49">
        <f t="shared" si="48"/>
        <v>-9.5836631578947333</v>
      </c>
      <c r="R71" s="459">
        <f t="shared" si="44"/>
        <v>0.88869828850855748</v>
      </c>
      <c r="S71" s="688"/>
      <c r="T71" s="50">
        <v>0.26944444444444443</v>
      </c>
      <c r="U71" s="50">
        <v>0.35624999999999996</v>
      </c>
      <c r="V71" s="455">
        <v>7</v>
      </c>
      <c r="W71" s="452">
        <f t="shared" ref="W71:W81" si="49">(U71-T71)*24*60</f>
        <v>124.99999999999996</v>
      </c>
      <c r="X71" s="53"/>
      <c r="Y71" s="53"/>
      <c r="Z71" s="54"/>
      <c r="AA71" s="54"/>
      <c r="AB71" s="673"/>
      <c r="AC71" s="673"/>
      <c r="AD71" s="469"/>
      <c r="AE71" s="469"/>
      <c r="AF71" s="48">
        <f>N71-K71</f>
        <v>-182.08959999999979</v>
      </c>
      <c r="AG71" s="459">
        <f>N71/K71</f>
        <v>0.88869828850855759</v>
      </c>
      <c r="AH71" s="688"/>
    </row>
    <row r="72" spans="1:34" ht="19.2" customHeight="1">
      <c r="A72" s="703"/>
      <c r="B72" s="455" t="s">
        <v>123</v>
      </c>
      <c r="C72" s="66"/>
      <c r="D72" s="173" t="s">
        <v>69</v>
      </c>
      <c r="E72" s="43"/>
      <c r="F72" s="343">
        <v>53.36</v>
      </c>
      <c r="G72" s="44">
        <v>2285.02</v>
      </c>
      <c r="H72" s="45">
        <f t="shared" ref="H72:H80" si="50">F72*G72</f>
        <v>121928.6672</v>
      </c>
      <c r="I72" s="455"/>
      <c r="J72" s="87">
        <v>19</v>
      </c>
      <c r="K72" s="57">
        <v>1636</v>
      </c>
      <c r="L72" s="86">
        <v>86.10526315789474</v>
      </c>
      <c r="M72" s="453">
        <v>19</v>
      </c>
      <c r="N72" s="44">
        <f t="shared" si="45"/>
        <v>1458.5234042553193</v>
      </c>
      <c r="O72" s="47">
        <f t="shared" si="46"/>
        <v>76.764389697648383</v>
      </c>
      <c r="P72" s="48">
        <f t="shared" si="47"/>
        <v>0</v>
      </c>
      <c r="Q72" s="49">
        <f t="shared" si="48"/>
        <v>-9.3408734602463568</v>
      </c>
      <c r="R72" s="459">
        <f t="shared" si="44"/>
        <v>0.89151797326119753</v>
      </c>
      <c r="S72" s="688"/>
      <c r="T72" s="50">
        <v>0.37222222222222218</v>
      </c>
      <c r="U72" s="50">
        <v>0.43749999999999994</v>
      </c>
      <c r="V72" s="455">
        <v>23</v>
      </c>
      <c r="W72" s="452">
        <f t="shared" si="49"/>
        <v>93.999999999999986</v>
      </c>
      <c r="X72" s="53">
        <v>0.3611111111111111</v>
      </c>
      <c r="Y72" s="53">
        <v>0.37152777777777773</v>
      </c>
      <c r="Z72" s="54"/>
      <c r="AA72" s="54"/>
      <c r="AB72" s="673"/>
      <c r="AC72" s="673"/>
      <c r="AD72" s="469"/>
      <c r="AE72" s="469"/>
      <c r="AF72" s="48">
        <f>N72-K72</f>
        <v>-177.47659574468071</v>
      </c>
      <c r="AG72" s="459">
        <f>N72/K72</f>
        <v>0.89151797326119764</v>
      </c>
      <c r="AH72" s="688"/>
    </row>
    <row r="73" spans="1:34" ht="19.2" customHeight="1">
      <c r="A73" s="703"/>
      <c r="B73" s="455" t="s">
        <v>127</v>
      </c>
      <c r="C73" s="175"/>
      <c r="D73" s="176" t="s">
        <v>76</v>
      </c>
      <c r="E73" s="177"/>
      <c r="F73" s="343">
        <v>56.43</v>
      </c>
      <c r="G73" s="44">
        <v>903</v>
      </c>
      <c r="H73" s="45">
        <f t="shared" si="50"/>
        <v>50956.29</v>
      </c>
      <c r="I73" s="469"/>
      <c r="J73" s="178">
        <v>18</v>
      </c>
      <c r="K73" s="179">
        <v>1500</v>
      </c>
      <c r="L73" s="86">
        <v>83.333333333333329</v>
      </c>
      <c r="M73" s="458">
        <v>18</v>
      </c>
      <c r="N73" s="44">
        <f t="shared" si="45"/>
        <v>1289.9999999999995</v>
      </c>
      <c r="O73" s="47">
        <f t="shared" si="46"/>
        <v>71.666666666666643</v>
      </c>
      <c r="P73" s="48">
        <f t="shared" si="47"/>
        <v>0</v>
      </c>
      <c r="Q73" s="49">
        <f t="shared" si="48"/>
        <v>-11.666666666666686</v>
      </c>
      <c r="R73" s="459">
        <f t="shared" si="44"/>
        <v>0.85999999999999976</v>
      </c>
      <c r="S73" s="688"/>
      <c r="T73" s="50">
        <v>0.44236111111111104</v>
      </c>
      <c r="U73" s="50">
        <v>0.47152777777777771</v>
      </c>
      <c r="V73" s="455">
        <v>7</v>
      </c>
      <c r="W73" s="452">
        <f t="shared" si="49"/>
        <v>42.000000000000014</v>
      </c>
      <c r="X73" s="180"/>
      <c r="Y73" s="180"/>
      <c r="Z73" s="124"/>
      <c r="AA73" s="124"/>
      <c r="AB73" s="673"/>
      <c r="AC73" s="673"/>
      <c r="AD73" s="469"/>
      <c r="AE73" s="469"/>
      <c r="AF73" s="48">
        <f>N73-K73</f>
        <v>-210.00000000000045</v>
      </c>
      <c r="AG73" s="459">
        <f>N73/K73</f>
        <v>0.85999999999999965</v>
      </c>
      <c r="AH73" s="688"/>
    </row>
    <row r="74" spans="1:34" ht="19.2" customHeight="1">
      <c r="A74" s="703"/>
      <c r="B74" s="455" t="s">
        <v>123</v>
      </c>
      <c r="C74" s="175"/>
      <c r="D74" s="176" t="s">
        <v>70</v>
      </c>
      <c r="E74" s="177"/>
      <c r="F74" s="343">
        <v>53.76</v>
      </c>
      <c r="G74" s="44">
        <v>2327</v>
      </c>
      <c r="H74" s="45">
        <f t="shared" si="50"/>
        <v>125099.51999999999</v>
      </c>
      <c r="I74" s="455"/>
      <c r="J74" s="46">
        <v>16</v>
      </c>
      <c r="K74" s="174">
        <v>1440</v>
      </c>
      <c r="L74" s="47">
        <v>90</v>
      </c>
      <c r="M74" s="453">
        <v>16</v>
      </c>
      <c r="N74" s="44">
        <f t="shared" si="45"/>
        <v>1329.7142857142865</v>
      </c>
      <c r="O74" s="47">
        <f t="shared" si="46"/>
        <v>83.107142857142904</v>
      </c>
      <c r="P74" s="48">
        <f t="shared" si="47"/>
        <v>0</v>
      </c>
      <c r="Q74" s="49">
        <f t="shared" si="48"/>
        <v>-6.8928571428570962</v>
      </c>
      <c r="R74" s="459">
        <f t="shared" si="44"/>
        <v>0.92341269841269891</v>
      </c>
      <c r="S74" s="688"/>
      <c r="T74" s="50">
        <v>0.51180555555555551</v>
      </c>
      <c r="U74" s="50">
        <v>0.58472222222222214</v>
      </c>
      <c r="V74" s="455">
        <v>5</v>
      </c>
      <c r="W74" s="452">
        <f t="shared" si="49"/>
        <v>104.99999999999994</v>
      </c>
      <c r="X74" s="180"/>
      <c r="Y74" s="180"/>
      <c r="Z74" s="124"/>
      <c r="AA74" s="124"/>
      <c r="AB74" s="673"/>
      <c r="AC74" s="673"/>
      <c r="AD74" s="469">
        <v>1</v>
      </c>
      <c r="AE74" s="469"/>
      <c r="AF74" s="48">
        <f t="shared" ref="AF74:AF80" si="51">N74-K74</f>
        <v>-110.28571428571354</v>
      </c>
      <c r="AG74" s="459">
        <f t="shared" ref="AG74:AG80" si="52">N74/K74</f>
        <v>0.92341269841269891</v>
      </c>
      <c r="AH74" s="688"/>
    </row>
    <row r="75" spans="1:34" ht="19.2" customHeight="1">
      <c r="A75" s="703"/>
      <c r="B75" s="455" t="s">
        <v>123</v>
      </c>
      <c r="C75" s="66"/>
      <c r="D75" s="173" t="s">
        <v>71</v>
      </c>
      <c r="E75" s="43"/>
      <c r="F75" s="343">
        <v>47.51</v>
      </c>
      <c r="G75" s="57">
        <v>1805</v>
      </c>
      <c r="H75" s="45">
        <f t="shared" si="50"/>
        <v>85755.55</v>
      </c>
      <c r="I75" s="455"/>
      <c r="J75" s="87">
        <v>17</v>
      </c>
      <c r="K75" s="57">
        <v>1440</v>
      </c>
      <c r="L75" s="86">
        <v>84.705882352941174</v>
      </c>
      <c r="M75" s="453">
        <v>17</v>
      </c>
      <c r="N75" s="44">
        <f t="shared" si="45"/>
        <v>1337.0370370370365</v>
      </c>
      <c r="O75" s="47">
        <f t="shared" si="46"/>
        <v>78.649237472766856</v>
      </c>
      <c r="P75" s="48">
        <f t="shared" si="47"/>
        <v>0</v>
      </c>
      <c r="Q75" s="49">
        <f t="shared" si="48"/>
        <v>-6.0566448801743178</v>
      </c>
      <c r="R75" s="459">
        <f t="shared" si="44"/>
        <v>0.92849794238683092</v>
      </c>
      <c r="S75" s="688"/>
      <c r="T75" s="50">
        <v>0.59999999999999987</v>
      </c>
      <c r="U75" s="50">
        <v>0.65624999999999989</v>
      </c>
      <c r="V75" s="455">
        <v>22</v>
      </c>
      <c r="W75" s="452">
        <f t="shared" si="49"/>
        <v>81.000000000000028</v>
      </c>
      <c r="X75" s="180">
        <v>0.58888888888888891</v>
      </c>
      <c r="Y75" s="180">
        <v>0.59861111111111109</v>
      </c>
      <c r="Z75" s="124"/>
      <c r="AA75" s="124"/>
      <c r="AB75" s="673"/>
      <c r="AC75" s="673"/>
      <c r="AD75" s="469"/>
      <c r="AE75" s="469"/>
      <c r="AF75" s="48">
        <f t="shared" si="51"/>
        <v>-102.9629629629635</v>
      </c>
      <c r="AG75" s="459">
        <f t="shared" si="52"/>
        <v>0.92849794238683092</v>
      </c>
      <c r="AH75" s="688"/>
    </row>
    <row r="76" spans="1:34" ht="19.2" customHeight="1">
      <c r="A76" s="703"/>
      <c r="B76" s="455">
        <v>0</v>
      </c>
      <c r="C76" s="175"/>
      <c r="D76" s="176"/>
      <c r="E76" s="177"/>
      <c r="F76" s="343" t="s">
        <v>128</v>
      </c>
      <c r="G76" s="174"/>
      <c r="H76" s="45">
        <f t="shared" si="50"/>
        <v>0</v>
      </c>
      <c r="I76" s="455"/>
      <c r="J76" s="87"/>
      <c r="K76" s="57"/>
      <c r="L76" s="86"/>
      <c r="M76" s="458"/>
      <c r="N76" s="44"/>
      <c r="O76" s="47"/>
      <c r="P76" s="48"/>
      <c r="Q76" s="49"/>
      <c r="R76" s="459"/>
      <c r="S76" s="688"/>
      <c r="T76" s="50"/>
      <c r="U76" s="50"/>
      <c r="V76" s="455"/>
      <c r="W76" s="452">
        <f t="shared" si="49"/>
        <v>0</v>
      </c>
      <c r="X76" s="180"/>
      <c r="Y76" s="180"/>
      <c r="Z76" s="124"/>
      <c r="AA76" s="124"/>
      <c r="AB76" s="673"/>
      <c r="AC76" s="673"/>
      <c r="AD76" s="469"/>
      <c r="AE76" s="469"/>
      <c r="AF76" s="48">
        <f t="shared" si="51"/>
        <v>0</v>
      </c>
      <c r="AG76" s="459" t="e">
        <f t="shared" si="52"/>
        <v>#DIV/0!</v>
      </c>
      <c r="AH76" s="688"/>
    </row>
    <row r="77" spans="1:34" ht="19.2" customHeight="1">
      <c r="A77" s="703"/>
      <c r="B77" s="455">
        <v>0</v>
      </c>
      <c r="C77" s="465"/>
      <c r="D77" s="42"/>
      <c r="E77" s="43"/>
      <c r="F77" s="343" t="s">
        <v>128</v>
      </c>
      <c r="G77" s="174"/>
      <c r="H77" s="45">
        <f t="shared" si="50"/>
        <v>0</v>
      </c>
      <c r="I77" s="469"/>
      <c r="J77" s="46"/>
      <c r="K77" s="174"/>
      <c r="L77" s="47"/>
      <c r="M77" s="458"/>
      <c r="N77" s="44"/>
      <c r="O77" s="47"/>
      <c r="P77" s="48"/>
      <c r="Q77" s="49"/>
      <c r="R77" s="459"/>
      <c r="S77" s="688"/>
      <c r="T77" s="50"/>
      <c r="U77" s="50"/>
      <c r="V77" s="455"/>
      <c r="W77" s="452">
        <f t="shared" si="49"/>
        <v>0</v>
      </c>
      <c r="X77" s="180"/>
      <c r="Y77" s="180"/>
      <c r="Z77" s="124"/>
      <c r="AA77" s="124"/>
      <c r="AB77" s="673"/>
      <c r="AC77" s="673"/>
      <c r="AD77" s="469"/>
      <c r="AE77" s="469"/>
      <c r="AF77" s="48">
        <f t="shared" si="51"/>
        <v>0</v>
      </c>
      <c r="AG77" s="459" t="e">
        <f t="shared" si="52"/>
        <v>#DIV/0!</v>
      </c>
      <c r="AH77" s="688"/>
    </row>
    <row r="78" spans="1:34" ht="19.2" customHeight="1">
      <c r="A78" s="703"/>
      <c r="B78" s="455">
        <v>0</v>
      </c>
      <c r="C78" s="465"/>
      <c r="D78" s="42"/>
      <c r="E78" s="43"/>
      <c r="F78" s="343" t="s">
        <v>128</v>
      </c>
      <c r="G78" s="57"/>
      <c r="H78" s="45">
        <f t="shared" si="50"/>
        <v>0</v>
      </c>
      <c r="I78" s="469"/>
      <c r="J78" s="87"/>
      <c r="K78" s="57"/>
      <c r="L78" s="86"/>
      <c r="M78" s="458"/>
      <c r="N78" s="44"/>
      <c r="O78" s="47"/>
      <c r="P78" s="48"/>
      <c r="Q78" s="49"/>
      <c r="R78" s="459"/>
      <c r="S78" s="688"/>
      <c r="T78" s="50"/>
      <c r="U78" s="50"/>
      <c r="V78" s="455"/>
      <c r="W78" s="452">
        <f t="shared" si="49"/>
        <v>0</v>
      </c>
      <c r="X78" s="180"/>
      <c r="Y78" s="180"/>
      <c r="Z78" s="124"/>
      <c r="AA78" s="124"/>
      <c r="AB78" s="673"/>
      <c r="AC78" s="673"/>
      <c r="AD78" s="469"/>
      <c r="AE78" s="469"/>
      <c r="AF78" s="48">
        <f t="shared" si="51"/>
        <v>0</v>
      </c>
      <c r="AG78" s="459" t="e">
        <f t="shared" si="52"/>
        <v>#DIV/0!</v>
      </c>
      <c r="AH78" s="688"/>
    </row>
    <row r="79" spans="1:34" ht="19.2" customHeight="1">
      <c r="A79" s="703"/>
      <c r="B79" s="455">
        <v>0</v>
      </c>
      <c r="C79" s="175"/>
      <c r="D79" s="176"/>
      <c r="E79" s="177"/>
      <c r="F79" s="343" t="s">
        <v>128</v>
      </c>
      <c r="G79" s="57"/>
      <c r="H79" s="45">
        <f t="shared" si="50"/>
        <v>0</v>
      </c>
      <c r="I79" s="469"/>
      <c r="J79" s="87"/>
      <c r="K79" s="57"/>
      <c r="L79" s="86"/>
      <c r="M79" s="458"/>
      <c r="N79" s="57"/>
      <c r="O79" s="181"/>
      <c r="P79" s="108"/>
      <c r="Q79" s="182"/>
      <c r="R79" s="109"/>
      <c r="S79" s="688"/>
      <c r="T79" s="50"/>
      <c r="U79" s="50"/>
      <c r="V79" s="455"/>
      <c r="W79" s="452">
        <f t="shared" si="49"/>
        <v>0</v>
      </c>
      <c r="X79" s="180"/>
      <c r="Y79" s="180"/>
      <c r="Z79" s="124"/>
      <c r="AA79" s="124"/>
      <c r="AB79" s="673"/>
      <c r="AC79" s="673"/>
      <c r="AD79" s="469"/>
      <c r="AE79" s="469"/>
      <c r="AF79" s="48">
        <f t="shared" si="51"/>
        <v>0</v>
      </c>
      <c r="AG79" s="459" t="e">
        <f t="shared" si="52"/>
        <v>#DIV/0!</v>
      </c>
      <c r="AH79" s="688"/>
    </row>
    <row r="80" spans="1:34" ht="19.2" customHeight="1">
      <c r="A80" s="703"/>
      <c r="B80" s="455">
        <v>0</v>
      </c>
      <c r="C80" s="465"/>
      <c r="D80" s="42"/>
      <c r="E80" s="43"/>
      <c r="F80" s="343"/>
      <c r="G80" s="57"/>
      <c r="H80" s="45">
        <f t="shared" si="50"/>
        <v>0</v>
      </c>
      <c r="I80" s="469"/>
      <c r="J80" s="87"/>
      <c r="K80" s="57"/>
      <c r="L80" s="86"/>
      <c r="M80" s="458"/>
      <c r="N80" s="57"/>
      <c r="O80" s="183"/>
      <c r="P80" s="54"/>
      <c r="Q80" s="88"/>
      <c r="R80" s="468"/>
      <c r="S80" s="688"/>
      <c r="T80" s="50"/>
      <c r="U80" s="50"/>
      <c r="V80" s="455"/>
      <c r="W80" s="452">
        <f t="shared" si="49"/>
        <v>0</v>
      </c>
      <c r="X80" s="180"/>
      <c r="Y80" s="180"/>
      <c r="Z80" s="124"/>
      <c r="AA80" s="124"/>
      <c r="AB80" s="673"/>
      <c r="AC80" s="673"/>
      <c r="AD80" s="469"/>
      <c r="AE80" s="469"/>
      <c r="AF80" s="48">
        <f t="shared" si="51"/>
        <v>0</v>
      </c>
      <c r="AG80" s="459" t="e">
        <f t="shared" si="52"/>
        <v>#DIV/0!</v>
      </c>
      <c r="AH80" s="688"/>
    </row>
    <row r="81" spans="1:34" ht="19.2" customHeight="1">
      <c r="A81" s="703"/>
      <c r="B81" s="455">
        <v>0</v>
      </c>
      <c r="C81" s="465"/>
      <c r="D81" s="42"/>
      <c r="E81" s="43"/>
      <c r="F81" s="350"/>
      <c r="G81" s="57"/>
      <c r="H81" s="84"/>
      <c r="I81" s="469"/>
      <c r="J81" s="87"/>
      <c r="K81" s="57"/>
      <c r="L81" s="86"/>
      <c r="M81" s="458"/>
      <c r="N81" s="57"/>
      <c r="O81" s="183"/>
      <c r="P81" s="54"/>
      <c r="Q81" s="88"/>
      <c r="R81" s="468"/>
      <c r="S81" s="688"/>
      <c r="T81" s="50"/>
      <c r="U81" s="50"/>
      <c r="V81" s="455"/>
      <c r="W81" s="452">
        <f t="shared" si="49"/>
        <v>0</v>
      </c>
      <c r="X81" s="180"/>
      <c r="Y81" s="180"/>
      <c r="Z81" s="124"/>
      <c r="AA81" s="124"/>
      <c r="AB81" s="673"/>
      <c r="AC81" s="673"/>
      <c r="AD81" s="469"/>
      <c r="AE81" s="469"/>
      <c r="AF81" s="48"/>
      <c r="AG81" s="125"/>
      <c r="AH81" s="688"/>
    </row>
    <row r="82" spans="1:34" ht="19.2" customHeight="1">
      <c r="A82" s="704"/>
      <c r="B82" s="168">
        <v>0</v>
      </c>
      <c r="C82" s="100" t="s">
        <v>414</v>
      </c>
      <c r="D82" s="669" t="s">
        <v>353</v>
      </c>
      <c r="E82" s="669"/>
      <c r="F82" s="353"/>
      <c r="G82" s="101"/>
      <c r="H82" s="102"/>
      <c r="I82" s="103"/>
      <c r="J82" s="101">
        <v>17.5</v>
      </c>
      <c r="K82" s="101">
        <v>1525.3333333333333</v>
      </c>
      <c r="L82" s="104">
        <v>87.333290333677326</v>
      </c>
      <c r="M82" s="101">
        <f t="shared" ref="M82:O82" si="53">AVERAGE(M70:M81)</f>
        <v>17.666666666666668</v>
      </c>
      <c r="N82" s="101">
        <f t="shared" si="53"/>
        <v>1376.2927592630115</v>
      </c>
      <c r="O82" s="184">
        <f t="shared" si="53"/>
        <v>78.064951493855389</v>
      </c>
      <c r="P82" s="116">
        <f>M82-J82</f>
        <v>0.16666666666666785</v>
      </c>
      <c r="Q82" s="117">
        <f>N82-K82</f>
        <v>-149.04057407032178</v>
      </c>
      <c r="R82" s="172">
        <f>O82/L82</f>
        <v>0.89387393049763642</v>
      </c>
      <c r="S82" s="688"/>
      <c r="T82" s="50"/>
      <c r="U82" s="50"/>
      <c r="V82" s="455"/>
      <c r="W82" s="44"/>
      <c r="X82" s="47"/>
      <c r="Y82" s="47"/>
      <c r="Z82" s="106">
        <f>SUM(Z70:Z81)</f>
        <v>0</v>
      </c>
      <c r="AA82" s="106">
        <f>SUM(AA70:AA81)</f>
        <v>0</v>
      </c>
      <c r="AB82" s="673"/>
      <c r="AC82" s="673"/>
      <c r="AD82" s="107">
        <f>SUM(AD70:AD81)</f>
        <v>1</v>
      </c>
      <c r="AE82" s="107">
        <f>SUM(AE70:AE81)</f>
        <v>0</v>
      </c>
      <c r="AF82" s="48">
        <f>N82-K82</f>
        <v>-149.04057407032178</v>
      </c>
      <c r="AG82" s="459">
        <f>N82/K82</f>
        <v>0.90228983343291835</v>
      </c>
      <c r="AH82" s="688"/>
    </row>
    <row r="83" spans="1:34" ht="19.2" customHeight="1">
      <c r="A83" s="696" t="s">
        <v>415</v>
      </c>
      <c r="B83" s="110" t="s">
        <v>123</v>
      </c>
      <c r="C83" s="66"/>
      <c r="D83" s="358" t="s">
        <v>179</v>
      </c>
      <c r="E83" s="43"/>
      <c r="F83" s="350">
        <v>61.02</v>
      </c>
      <c r="G83" s="57">
        <v>1363.05</v>
      </c>
      <c r="H83" s="84">
        <f t="shared" ref="H83:H94" si="54">F83*G83</f>
        <v>83173.311000000002</v>
      </c>
      <c r="I83" s="469"/>
      <c r="J83" s="87">
        <v>17</v>
      </c>
      <c r="K83" s="57">
        <v>1440</v>
      </c>
      <c r="L83" s="86">
        <v>84.705882352941174</v>
      </c>
      <c r="M83" s="458">
        <v>17</v>
      </c>
      <c r="N83" s="57">
        <f t="shared" ref="N83:N89" si="55">G83/W83*60</f>
        <v>1363.0499999999993</v>
      </c>
      <c r="O83" s="183">
        <f t="shared" ref="O83:O89" si="56">N83/M83</f>
        <v>80.179411764705833</v>
      </c>
      <c r="P83" s="54">
        <f t="shared" ref="P83:P89" si="57">M83-J83</f>
        <v>0</v>
      </c>
      <c r="Q83" s="88">
        <f t="shared" ref="Q83:Q89" si="58">O83-L83</f>
        <v>-4.5264705882353411</v>
      </c>
      <c r="R83" s="185">
        <f t="shared" ref="R83:R89" si="59">O83/L83</f>
        <v>0.94656249999999942</v>
      </c>
      <c r="S83" s="688">
        <f>R95</f>
        <v>0.8865236653132893</v>
      </c>
      <c r="T83" s="50">
        <v>0.33333333333333331</v>
      </c>
      <c r="U83" s="50">
        <v>0.375</v>
      </c>
      <c r="V83" s="455">
        <v>5</v>
      </c>
      <c r="W83" s="452">
        <f t="shared" ref="W83:W93" si="60">(U83-T83)*24*60</f>
        <v>60.000000000000028</v>
      </c>
      <c r="X83" s="53"/>
      <c r="Y83" s="53"/>
      <c r="Z83" s="54"/>
      <c r="AA83" s="54"/>
      <c r="AB83" s="673"/>
      <c r="AC83" s="673"/>
      <c r="AD83" s="469"/>
      <c r="AE83" s="469"/>
      <c r="AF83" s="48">
        <f t="shared" ref="AF83:AF173" si="61">N83-K83</f>
        <v>-76.950000000000728</v>
      </c>
      <c r="AG83" s="459">
        <f t="shared" ref="AG83:AG173" si="62">N83/K83</f>
        <v>0.94656249999999953</v>
      </c>
      <c r="AH83" s="688">
        <f>AG95</f>
        <v>0.88486241504279306</v>
      </c>
    </row>
    <row r="84" spans="1:34" ht="19.2" customHeight="1">
      <c r="A84" s="697"/>
      <c r="B84" s="110" t="s">
        <v>124</v>
      </c>
      <c r="C84" s="465"/>
      <c r="D84" s="186" t="s">
        <v>195</v>
      </c>
      <c r="E84" s="43"/>
      <c r="F84" s="350">
        <v>50.67</v>
      </c>
      <c r="G84" s="44">
        <v>3216.04</v>
      </c>
      <c r="H84" s="84">
        <f t="shared" si="54"/>
        <v>162956.74679999999</v>
      </c>
      <c r="I84" s="455"/>
      <c r="J84" s="87">
        <v>19</v>
      </c>
      <c r="K84" s="57">
        <v>1500</v>
      </c>
      <c r="L84" s="86">
        <v>78.94736842105263</v>
      </c>
      <c r="M84" s="458">
        <v>19</v>
      </c>
      <c r="N84" s="57">
        <f t="shared" si="55"/>
        <v>1349.3874125874129</v>
      </c>
      <c r="O84" s="183">
        <f t="shared" si="56"/>
        <v>71.020390136179628</v>
      </c>
      <c r="P84" s="54">
        <f t="shared" si="57"/>
        <v>0</v>
      </c>
      <c r="Q84" s="88">
        <f t="shared" si="58"/>
        <v>-7.9269782848730017</v>
      </c>
      <c r="R84" s="185">
        <f t="shared" si="59"/>
        <v>0.89959160839160868</v>
      </c>
      <c r="S84" s="688"/>
      <c r="T84" s="50">
        <v>0.39027777777777778</v>
      </c>
      <c r="U84" s="50">
        <v>0.48958333333333331</v>
      </c>
      <c r="V84" s="455">
        <v>22</v>
      </c>
      <c r="W84" s="452">
        <f t="shared" si="60"/>
        <v>142.99999999999997</v>
      </c>
      <c r="X84" s="53">
        <v>0.37916666666666665</v>
      </c>
      <c r="Y84" s="53">
        <v>0.3888888888888889</v>
      </c>
      <c r="Z84" s="54"/>
      <c r="AA84" s="54"/>
      <c r="AB84" s="673"/>
      <c r="AC84" s="673"/>
      <c r="AD84" s="469"/>
      <c r="AE84" s="469"/>
      <c r="AF84" s="48">
        <f t="shared" si="61"/>
        <v>-150.61258741258712</v>
      </c>
      <c r="AG84" s="459">
        <f t="shared" si="62"/>
        <v>0.89959160839160857</v>
      </c>
      <c r="AH84" s="688"/>
    </row>
    <row r="85" spans="1:34" ht="19.2" customHeight="1">
      <c r="A85" s="697"/>
      <c r="B85" s="110" t="s">
        <v>123</v>
      </c>
      <c r="C85" s="122"/>
      <c r="D85" s="186" t="s">
        <v>192</v>
      </c>
      <c r="E85" s="43"/>
      <c r="F85" s="350">
        <v>61.09</v>
      </c>
      <c r="G85" s="44">
        <v>1512</v>
      </c>
      <c r="H85" s="84">
        <f t="shared" si="54"/>
        <v>92368.08</v>
      </c>
      <c r="I85" s="455"/>
      <c r="J85" s="87">
        <v>17</v>
      </c>
      <c r="K85" s="57">
        <v>1440</v>
      </c>
      <c r="L85" s="86">
        <v>84.705882352941174</v>
      </c>
      <c r="M85" s="458">
        <v>17</v>
      </c>
      <c r="N85" s="57">
        <f t="shared" si="55"/>
        <v>1259.9999999999989</v>
      </c>
      <c r="O85" s="183">
        <f t="shared" si="56"/>
        <v>74.117647058823465</v>
      </c>
      <c r="P85" s="54">
        <f t="shared" si="57"/>
        <v>0</v>
      </c>
      <c r="Q85" s="88">
        <f t="shared" si="58"/>
        <v>-10.588235294117709</v>
      </c>
      <c r="R85" s="185">
        <f t="shared" si="59"/>
        <v>0.87499999999999922</v>
      </c>
      <c r="S85" s="688"/>
      <c r="T85" s="50">
        <v>0.52986111111111101</v>
      </c>
      <c r="U85" s="50">
        <v>0.57986111111111105</v>
      </c>
      <c r="V85" s="455">
        <v>5</v>
      </c>
      <c r="W85" s="452">
        <f t="shared" si="60"/>
        <v>72.000000000000057</v>
      </c>
      <c r="X85" s="53"/>
      <c r="Y85" s="53"/>
      <c r="Z85" s="54"/>
      <c r="AA85" s="54"/>
      <c r="AB85" s="673"/>
      <c r="AC85" s="673"/>
      <c r="AD85" s="469"/>
      <c r="AE85" s="469"/>
      <c r="AF85" s="48">
        <f t="shared" si="61"/>
        <v>-180.00000000000114</v>
      </c>
      <c r="AG85" s="459">
        <f t="shared" si="62"/>
        <v>0.87499999999999922</v>
      </c>
      <c r="AH85" s="688"/>
    </row>
    <row r="86" spans="1:34" ht="19.2" customHeight="1">
      <c r="A86" s="697"/>
      <c r="B86" s="110" t="s">
        <v>123</v>
      </c>
      <c r="C86" s="97"/>
      <c r="D86" s="186" t="s">
        <v>179</v>
      </c>
      <c r="E86" s="43"/>
      <c r="F86" s="350">
        <v>61.02</v>
      </c>
      <c r="G86" s="44">
        <v>733.94999999999993</v>
      </c>
      <c r="H86" s="84">
        <f t="shared" si="54"/>
        <v>44785.629000000001</v>
      </c>
      <c r="I86" s="455">
        <v>1</v>
      </c>
      <c r="J86" s="87">
        <v>17</v>
      </c>
      <c r="K86" s="57">
        <v>1440</v>
      </c>
      <c r="L86" s="86">
        <v>84.705882352941174</v>
      </c>
      <c r="M86" s="458">
        <v>17</v>
      </c>
      <c r="N86" s="57">
        <f t="shared" si="55"/>
        <v>1334.4545454545437</v>
      </c>
      <c r="O86" s="183">
        <f t="shared" si="56"/>
        <v>78.497326203208445</v>
      </c>
      <c r="P86" s="54">
        <f t="shared" si="57"/>
        <v>0</v>
      </c>
      <c r="Q86" s="88">
        <f t="shared" si="58"/>
        <v>-6.2085561497327291</v>
      </c>
      <c r="R86" s="185">
        <f t="shared" si="59"/>
        <v>0.92670454545454417</v>
      </c>
      <c r="S86" s="688"/>
      <c r="T86" s="50">
        <v>0.58472222222222214</v>
      </c>
      <c r="U86" s="50">
        <v>0.60763888888888884</v>
      </c>
      <c r="V86" s="455">
        <v>7</v>
      </c>
      <c r="W86" s="452">
        <f t="shared" si="60"/>
        <v>33.000000000000043</v>
      </c>
      <c r="X86" s="53"/>
      <c r="Y86" s="53"/>
      <c r="Z86" s="54"/>
      <c r="AA86" s="54"/>
      <c r="AB86" s="673"/>
      <c r="AC86" s="673"/>
      <c r="AD86" s="469"/>
      <c r="AE86" s="469"/>
      <c r="AF86" s="48">
        <f t="shared" si="61"/>
        <v>-105.54545454545632</v>
      </c>
      <c r="AG86" s="459">
        <f t="shared" si="62"/>
        <v>0.92670454545454417</v>
      </c>
      <c r="AH86" s="688"/>
    </row>
    <row r="87" spans="1:34" ht="19.2" customHeight="1">
      <c r="A87" s="697"/>
      <c r="B87" s="110" t="s">
        <v>124</v>
      </c>
      <c r="C87" s="97"/>
      <c r="D87" s="186" t="s">
        <v>173</v>
      </c>
      <c r="E87" s="43"/>
      <c r="F87" s="350">
        <v>49.91</v>
      </c>
      <c r="G87" s="44">
        <v>1074.75</v>
      </c>
      <c r="H87" s="84">
        <f t="shared" si="54"/>
        <v>53640.772499999999</v>
      </c>
      <c r="I87" s="455">
        <v>1</v>
      </c>
      <c r="J87" s="87">
        <v>17</v>
      </c>
      <c r="K87" s="57">
        <v>1565</v>
      </c>
      <c r="L87" s="86">
        <v>92.058823529411768</v>
      </c>
      <c r="M87" s="458">
        <v>17</v>
      </c>
      <c r="N87" s="57">
        <f t="shared" si="55"/>
        <v>1372.0212765957449</v>
      </c>
      <c r="O87" s="183">
        <f t="shared" si="56"/>
        <v>80.70713391739676</v>
      </c>
      <c r="P87" s="54">
        <f t="shared" si="57"/>
        <v>0</v>
      </c>
      <c r="Q87" s="88">
        <f t="shared" si="58"/>
        <v>-11.351689612015008</v>
      </c>
      <c r="R87" s="185">
        <f t="shared" si="59"/>
        <v>0.87669091156277623</v>
      </c>
      <c r="S87" s="688"/>
      <c r="T87" s="50">
        <v>0.61249999999999993</v>
      </c>
      <c r="U87" s="50">
        <v>0.64513888888888882</v>
      </c>
      <c r="V87" s="455">
        <v>7</v>
      </c>
      <c r="W87" s="452">
        <f t="shared" si="60"/>
        <v>46.999999999999993</v>
      </c>
      <c r="X87" s="53"/>
      <c r="Y87" s="53"/>
      <c r="Z87" s="54"/>
      <c r="AA87" s="54"/>
      <c r="AB87" s="673"/>
      <c r="AC87" s="673"/>
      <c r="AD87" s="469"/>
      <c r="AE87" s="469"/>
      <c r="AF87" s="48">
        <f t="shared" si="61"/>
        <v>-192.97872340425511</v>
      </c>
      <c r="AG87" s="459">
        <f t="shared" si="62"/>
        <v>0.87669091156277634</v>
      </c>
      <c r="AH87" s="688"/>
    </row>
    <row r="88" spans="1:34" ht="19.2" customHeight="1">
      <c r="A88" s="697"/>
      <c r="B88" s="110" t="s">
        <v>122</v>
      </c>
      <c r="C88" s="465"/>
      <c r="D88" s="186" t="s">
        <v>52</v>
      </c>
      <c r="E88" s="43"/>
      <c r="F88" s="350">
        <v>37.83</v>
      </c>
      <c r="G88" s="57">
        <v>2048.1</v>
      </c>
      <c r="H88" s="84">
        <f t="shared" si="54"/>
        <v>77479.622999999992</v>
      </c>
      <c r="I88" s="455">
        <v>1</v>
      </c>
      <c r="J88" s="87">
        <v>20</v>
      </c>
      <c r="K88" s="57">
        <v>2400</v>
      </c>
      <c r="L88" s="86">
        <v>120</v>
      </c>
      <c r="M88" s="458">
        <v>20</v>
      </c>
      <c r="N88" s="57">
        <f t="shared" si="55"/>
        <v>2275.6666666666679</v>
      </c>
      <c r="O88" s="183">
        <f t="shared" si="56"/>
        <v>113.78333333333339</v>
      </c>
      <c r="P88" s="54">
        <f t="shared" si="57"/>
        <v>0</v>
      </c>
      <c r="Q88" s="88">
        <f t="shared" si="58"/>
        <v>-6.2166666666666117</v>
      </c>
      <c r="R88" s="185">
        <f t="shared" si="59"/>
        <v>0.94819444444444489</v>
      </c>
      <c r="S88" s="688"/>
      <c r="T88" s="50">
        <v>0.66041666666666654</v>
      </c>
      <c r="U88" s="50">
        <v>0.69791666666666652</v>
      </c>
      <c r="V88" s="455">
        <v>22</v>
      </c>
      <c r="W88" s="452">
        <f t="shared" si="60"/>
        <v>53.999999999999972</v>
      </c>
      <c r="X88" s="53">
        <v>0.64930555555555558</v>
      </c>
      <c r="Y88" s="53">
        <v>0.65972222222222221</v>
      </c>
      <c r="Z88" s="54"/>
      <c r="AA88" s="54"/>
      <c r="AB88" s="673"/>
      <c r="AC88" s="673"/>
      <c r="AD88" s="469"/>
      <c r="AE88" s="469"/>
      <c r="AF88" s="48">
        <f t="shared" si="61"/>
        <v>-124.33333333333212</v>
      </c>
      <c r="AG88" s="459">
        <f t="shared" si="62"/>
        <v>0.94819444444444489</v>
      </c>
      <c r="AH88" s="688"/>
    </row>
    <row r="89" spans="1:34" ht="19.2" customHeight="1">
      <c r="A89" s="697"/>
      <c r="B89" s="110" t="s">
        <v>122</v>
      </c>
      <c r="C89" s="465"/>
      <c r="D89" s="42" t="s">
        <v>55</v>
      </c>
      <c r="E89" s="43"/>
      <c r="F89" s="350">
        <v>37.799999999999997</v>
      </c>
      <c r="G89" s="114">
        <v>2512.98</v>
      </c>
      <c r="H89" s="84">
        <f t="shared" si="54"/>
        <v>94990.644</v>
      </c>
      <c r="I89" s="455">
        <v>1</v>
      </c>
      <c r="J89" s="87">
        <v>20</v>
      </c>
      <c r="K89" s="57">
        <v>2769</v>
      </c>
      <c r="L89" s="86">
        <v>138.44999999999999</v>
      </c>
      <c r="M89" s="458">
        <v>20</v>
      </c>
      <c r="N89" s="57">
        <f t="shared" si="55"/>
        <v>2153.9828571428548</v>
      </c>
      <c r="O89" s="183">
        <f t="shared" si="56"/>
        <v>107.69914285714273</v>
      </c>
      <c r="P89" s="54">
        <f t="shared" si="57"/>
        <v>0</v>
      </c>
      <c r="Q89" s="88">
        <f t="shared" si="58"/>
        <v>-30.750857142857257</v>
      </c>
      <c r="R89" s="185">
        <f t="shared" si="59"/>
        <v>0.77789196718774101</v>
      </c>
      <c r="S89" s="688"/>
      <c r="T89" s="50">
        <v>0.70277777777777761</v>
      </c>
      <c r="U89" s="50">
        <v>0.75138888888888877</v>
      </c>
      <c r="V89" s="455">
        <v>7</v>
      </c>
      <c r="W89" s="452">
        <f t="shared" si="60"/>
        <v>70.000000000000071</v>
      </c>
      <c r="X89" s="53"/>
      <c r="Y89" s="53"/>
      <c r="Z89" s="54"/>
      <c r="AA89" s="54"/>
      <c r="AB89" s="673"/>
      <c r="AC89" s="673"/>
      <c r="AD89" s="469"/>
      <c r="AE89" s="469"/>
      <c r="AF89" s="48">
        <f t="shared" si="61"/>
        <v>-615.01714285714525</v>
      </c>
      <c r="AG89" s="459">
        <f t="shared" si="62"/>
        <v>0.77789196718774101</v>
      </c>
      <c r="AH89" s="688"/>
    </row>
    <row r="90" spans="1:34" ht="19.2" customHeight="1">
      <c r="A90" s="697"/>
      <c r="B90" s="110">
        <v>0</v>
      </c>
      <c r="C90" s="465"/>
      <c r="D90" s="42"/>
      <c r="E90" s="43"/>
      <c r="F90" s="350" t="s">
        <v>128</v>
      </c>
      <c r="G90" s="127"/>
      <c r="H90" s="84">
        <f t="shared" si="54"/>
        <v>0</v>
      </c>
      <c r="I90" s="187"/>
      <c r="J90" s="87"/>
      <c r="K90" s="57"/>
      <c r="L90" s="86"/>
      <c r="M90" s="458"/>
      <c r="N90" s="57"/>
      <c r="O90" s="183"/>
      <c r="P90" s="54"/>
      <c r="Q90" s="88"/>
      <c r="R90" s="185"/>
      <c r="S90" s="688"/>
      <c r="T90" s="50"/>
      <c r="U90" s="50"/>
      <c r="V90" s="455"/>
      <c r="W90" s="452">
        <f t="shared" si="60"/>
        <v>0</v>
      </c>
      <c r="X90" s="188"/>
      <c r="Y90" s="188"/>
      <c r="Z90" s="54"/>
      <c r="AA90" s="54"/>
      <c r="AB90" s="673"/>
      <c r="AC90" s="673"/>
      <c r="AD90" s="469"/>
      <c r="AE90" s="469"/>
      <c r="AF90" s="48">
        <f t="shared" si="61"/>
        <v>0</v>
      </c>
      <c r="AG90" s="459" t="e">
        <f t="shared" si="62"/>
        <v>#DIV/0!</v>
      </c>
      <c r="AH90" s="688"/>
    </row>
    <row r="91" spans="1:34" ht="19.2" customHeight="1">
      <c r="A91" s="697"/>
      <c r="B91" s="110">
        <v>0</v>
      </c>
      <c r="C91" s="465"/>
      <c r="D91" s="42"/>
      <c r="E91" s="43"/>
      <c r="F91" s="350" t="s">
        <v>128</v>
      </c>
      <c r="G91" s="44"/>
      <c r="H91" s="84">
        <f t="shared" si="54"/>
        <v>0</v>
      </c>
      <c r="I91" s="189"/>
      <c r="J91" s="87"/>
      <c r="K91" s="57"/>
      <c r="L91" s="86"/>
      <c r="M91" s="458"/>
      <c r="N91" s="57"/>
      <c r="O91" s="183"/>
      <c r="P91" s="54"/>
      <c r="Q91" s="88"/>
      <c r="R91" s="185"/>
      <c r="S91" s="689"/>
      <c r="T91" s="50"/>
      <c r="U91" s="50"/>
      <c r="V91" s="455"/>
      <c r="W91" s="452">
        <f t="shared" si="60"/>
        <v>0</v>
      </c>
      <c r="X91" s="115"/>
      <c r="Y91" s="115"/>
      <c r="Z91" s="54"/>
      <c r="AA91" s="54"/>
      <c r="AB91" s="673"/>
      <c r="AC91" s="673"/>
      <c r="AD91" s="469"/>
      <c r="AE91" s="469"/>
      <c r="AF91" s="48">
        <f t="shared" si="61"/>
        <v>0</v>
      </c>
      <c r="AG91" s="459" t="e">
        <f t="shared" si="62"/>
        <v>#DIV/0!</v>
      </c>
      <c r="AH91" s="689"/>
    </row>
    <row r="92" spans="1:34" ht="19.2" customHeight="1">
      <c r="A92" s="697"/>
      <c r="B92" s="110">
        <v>0</v>
      </c>
      <c r="C92" s="465"/>
      <c r="D92" s="42"/>
      <c r="E92" s="43"/>
      <c r="F92" s="350" t="s">
        <v>128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67"/>
      <c r="S92" s="689"/>
      <c r="T92" s="50"/>
      <c r="U92" s="50"/>
      <c r="V92" s="455"/>
      <c r="W92" s="452">
        <f t="shared" si="60"/>
        <v>0</v>
      </c>
      <c r="X92" s="180"/>
      <c r="Y92" s="180"/>
      <c r="Z92" s="124"/>
      <c r="AA92" s="124"/>
      <c r="AB92" s="673"/>
      <c r="AC92" s="673"/>
      <c r="AD92" s="469"/>
      <c r="AE92" s="469"/>
      <c r="AF92" s="48">
        <f t="shared" si="61"/>
        <v>0</v>
      </c>
      <c r="AG92" s="459" t="e">
        <f t="shared" si="62"/>
        <v>#DIV/0!</v>
      </c>
      <c r="AH92" s="689"/>
    </row>
    <row r="93" spans="1:34" ht="19.2" customHeight="1">
      <c r="A93" s="697"/>
      <c r="B93" s="456">
        <v>0</v>
      </c>
      <c r="C93" s="195"/>
      <c r="D93" s="59"/>
      <c r="E93" s="60"/>
      <c r="F93" s="350" t="s">
        <v>128</v>
      </c>
      <c r="G93" s="44"/>
      <c r="H93" s="84">
        <f t="shared" si="54"/>
        <v>0</v>
      </c>
      <c r="I93" s="196"/>
      <c r="J93" s="87"/>
      <c r="K93" s="57"/>
      <c r="L93" s="192"/>
      <c r="M93" s="458"/>
      <c r="N93" s="57"/>
      <c r="O93" s="86"/>
      <c r="P93" s="54"/>
      <c r="Q93" s="88"/>
      <c r="R93" s="462"/>
      <c r="S93" s="698"/>
      <c r="T93" s="63"/>
      <c r="U93" s="63"/>
      <c r="V93" s="456"/>
      <c r="W93" s="452">
        <f t="shared" si="60"/>
        <v>0</v>
      </c>
      <c r="X93" s="197"/>
      <c r="Y93" s="197"/>
      <c r="Z93" s="124"/>
      <c r="AA93" s="124"/>
      <c r="AB93" s="673"/>
      <c r="AC93" s="673"/>
      <c r="AD93" s="469"/>
      <c r="AE93" s="469"/>
      <c r="AF93" s="48">
        <f t="shared" si="61"/>
        <v>0</v>
      </c>
      <c r="AG93" s="459" t="e">
        <f t="shared" si="62"/>
        <v>#DIV/0!</v>
      </c>
      <c r="AH93" s="689"/>
    </row>
    <row r="94" spans="1:34" ht="19.2" customHeight="1">
      <c r="A94" s="697"/>
      <c r="B94" s="456">
        <v>0</v>
      </c>
      <c r="C94" s="195"/>
      <c r="D94" s="42"/>
      <c r="E94" s="43"/>
      <c r="F94" s="350" t="s">
        <v>128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62"/>
      <c r="S94" s="698"/>
      <c r="T94" s="63"/>
      <c r="U94" s="63"/>
      <c r="V94" s="456"/>
      <c r="W94" s="452">
        <f>(U94-T94)*24*60</f>
        <v>0</v>
      </c>
      <c r="X94" s="197"/>
      <c r="Y94" s="197"/>
      <c r="Z94" s="124"/>
      <c r="AA94" s="124"/>
      <c r="AB94" s="673"/>
      <c r="AC94" s="673"/>
      <c r="AD94" s="469"/>
      <c r="AE94" s="469"/>
      <c r="AF94" s="48">
        <f t="shared" si="61"/>
        <v>0</v>
      </c>
      <c r="AG94" s="459" t="e">
        <f t="shared" si="62"/>
        <v>#DIV/0!</v>
      </c>
      <c r="AH94" s="689"/>
    </row>
    <row r="95" spans="1:34" ht="19.2" customHeight="1">
      <c r="A95" s="697"/>
      <c r="B95" s="200">
        <v>0</v>
      </c>
      <c r="C95" s="100" t="s">
        <v>416</v>
      </c>
      <c r="D95" s="669" t="s">
        <v>417</v>
      </c>
      <c r="E95" s="669"/>
      <c r="F95" s="344"/>
      <c r="G95" s="70"/>
      <c r="H95" s="201"/>
      <c r="I95" s="103"/>
      <c r="J95" s="202">
        <v>18.142857142857142</v>
      </c>
      <c r="K95" s="202">
        <v>1793.4285714285713</v>
      </c>
      <c r="L95" s="203">
        <v>97.653405572755418</v>
      </c>
      <c r="M95" s="202">
        <f t="shared" ref="M95:O95" si="63">AVERAGE(M83:M94)</f>
        <v>18.142857142857142</v>
      </c>
      <c r="N95" s="202">
        <f t="shared" si="63"/>
        <v>1586.937536921032</v>
      </c>
      <c r="O95" s="203">
        <f t="shared" si="63"/>
        <v>86.572055038684326</v>
      </c>
      <c r="P95" s="204">
        <f>M95-J95</f>
        <v>0</v>
      </c>
      <c r="Q95" s="205">
        <f t="shared" ref="Q95:Q103" si="64">O95-L95</f>
        <v>-11.081350534071092</v>
      </c>
      <c r="R95" s="206">
        <f>O95/L95</f>
        <v>0.8865236653132893</v>
      </c>
      <c r="S95" s="689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673"/>
      <c r="AC95" s="673"/>
      <c r="AD95" s="107">
        <f>SUM(AD83:AD94)</f>
        <v>0</v>
      </c>
      <c r="AE95" s="107">
        <f>SUM(AE83:AE94)</f>
        <v>0</v>
      </c>
      <c r="AF95" s="65">
        <f t="shared" si="61"/>
        <v>-206.49103450753933</v>
      </c>
      <c r="AG95" s="460">
        <f t="shared" si="62"/>
        <v>0.88486241504279306</v>
      </c>
      <c r="AH95" s="689"/>
    </row>
    <row r="96" spans="1:34" ht="19.2" customHeight="1">
      <c r="A96" s="699" t="s">
        <v>418</v>
      </c>
      <c r="B96" s="455" t="s">
        <v>125</v>
      </c>
      <c r="C96" s="97"/>
      <c r="D96" s="42" t="s">
        <v>200</v>
      </c>
      <c r="E96" s="43"/>
      <c r="F96" s="343">
        <v>29.46</v>
      </c>
      <c r="G96" s="44">
        <v>1499</v>
      </c>
      <c r="H96" s="45">
        <f t="shared" ref="H96:H105" si="65">F96*G96</f>
        <v>44160.54</v>
      </c>
      <c r="I96" s="455"/>
      <c r="J96" s="46">
        <v>16</v>
      </c>
      <c r="K96" s="44">
        <v>1385</v>
      </c>
      <c r="L96" s="47">
        <v>86.5625</v>
      </c>
      <c r="M96" s="453">
        <v>16</v>
      </c>
      <c r="N96" s="44">
        <f t="shared" ref="N96:N103" si="66">G96/W96*60</f>
        <v>1138.4810126582286</v>
      </c>
      <c r="O96" s="47">
        <f t="shared" ref="O96:O103" si="67">N96/M96</f>
        <v>71.155063291139285</v>
      </c>
      <c r="P96" s="48">
        <f t="shared" ref="P96:P103" si="68">M96-J96</f>
        <v>0</v>
      </c>
      <c r="Q96" s="49">
        <f t="shared" si="64"/>
        <v>-15.407436708860715</v>
      </c>
      <c r="R96" s="459">
        <f t="shared" ref="R96:R103" si="69">O96/L96</f>
        <v>0.82200795137778238</v>
      </c>
      <c r="S96" s="688">
        <f>R108</f>
        <v>0.86593554716728649</v>
      </c>
      <c r="T96" s="89">
        <v>0.33333333333333331</v>
      </c>
      <c r="U96" s="89">
        <v>0.3881944444444444</v>
      </c>
      <c r="V96" s="469">
        <v>5</v>
      </c>
      <c r="W96" s="90">
        <f t="shared" ref="W96:W133" si="70">(U96-T96)*24*60</f>
        <v>78.999999999999957</v>
      </c>
      <c r="X96" s="96"/>
      <c r="Y96" s="96"/>
      <c r="Z96" s="54"/>
      <c r="AA96" s="54"/>
      <c r="AB96" s="673"/>
      <c r="AC96" s="673"/>
      <c r="AD96" s="469"/>
      <c r="AE96" s="469">
        <v>2</v>
      </c>
      <c r="AF96" s="54">
        <f t="shared" si="61"/>
        <v>-246.51898734177144</v>
      </c>
      <c r="AG96" s="462">
        <f t="shared" si="62"/>
        <v>0.82200795137778238</v>
      </c>
      <c r="AH96" s="672">
        <f>AG108</f>
        <v>0.86235986891945693</v>
      </c>
    </row>
    <row r="97" spans="1:34" s="215" customFormat="1" ht="19.2" customHeight="1">
      <c r="A97" s="699"/>
      <c r="B97" s="455" t="s">
        <v>125</v>
      </c>
      <c r="C97" s="207"/>
      <c r="D97" s="208" t="s">
        <v>63</v>
      </c>
      <c r="E97" s="56"/>
      <c r="F97" s="354">
        <v>29.113149847094796</v>
      </c>
      <c r="G97" s="209">
        <v>2560.2199999999998</v>
      </c>
      <c r="H97" s="210">
        <f t="shared" si="65"/>
        <v>74536.068501529036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1290.8672268907565</v>
      </c>
      <c r="O97" s="47">
        <f t="shared" si="67"/>
        <v>64.543361344537828</v>
      </c>
      <c r="P97" s="48">
        <f t="shared" si="68"/>
        <v>0</v>
      </c>
      <c r="Q97" s="49">
        <f t="shared" si="64"/>
        <v>-4.7066386554621715</v>
      </c>
      <c r="R97" s="459">
        <f t="shared" si="69"/>
        <v>0.93203409883809141</v>
      </c>
      <c r="S97" s="688"/>
      <c r="T97" s="211">
        <v>0.40416666666666662</v>
      </c>
      <c r="U97" s="211">
        <v>0.48680555555555549</v>
      </c>
      <c r="V97" s="212">
        <v>23</v>
      </c>
      <c r="W97" s="90">
        <f t="shared" si="70"/>
        <v>118.99999999999997</v>
      </c>
      <c r="X97" s="53">
        <v>0.3923611111111111</v>
      </c>
      <c r="Y97" s="53">
        <v>0.40277777777777773</v>
      </c>
      <c r="Z97" s="54"/>
      <c r="AA97" s="54"/>
      <c r="AB97" s="673"/>
      <c r="AC97" s="673"/>
      <c r="AD97" s="212"/>
      <c r="AE97" s="212"/>
      <c r="AF97" s="213">
        <f t="shared" si="61"/>
        <v>-94.132773109243544</v>
      </c>
      <c r="AG97" s="214">
        <f t="shared" si="62"/>
        <v>0.9320340988380913</v>
      </c>
      <c r="AH97" s="672"/>
    </row>
    <row r="98" spans="1:34" s="218" customFormat="1" ht="19.2" customHeight="1">
      <c r="A98" s="699"/>
      <c r="B98" s="455" t="s">
        <v>123</v>
      </c>
      <c r="C98" s="55"/>
      <c r="D98" s="42" t="s">
        <v>171</v>
      </c>
      <c r="E98" s="83"/>
      <c r="F98" s="354">
        <v>77.349999999999994</v>
      </c>
      <c r="G98" s="57">
        <v>298</v>
      </c>
      <c r="H98" s="210">
        <f t="shared" si="65"/>
        <v>23050.3</v>
      </c>
      <c r="I98" s="469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1051.7647058823566</v>
      </c>
      <c r="O98" s="47">
        <f t="shared" si="67"/>
        <v>58.431372549019812</v>
      </c>
      <c r="P98" s="48">
        <f t="shared" si="68"/>
        <v>-1</v>
      </c>
      <c r="Q98" s="49">
        <f t="shared" si="64"/>
        <v>-17.358101135190708</v>
      </c>
      <c r="R98" s="459">
        <f t="shared" si="69"/>
        <v>0.77096949891067812</v>
      </c>
      <c r="S98" s="688"/>
      <c r="T98" s="89">
        <v>0.52708333333333324</v>
      </c>
      <c r="U98" s="89">
        <v>0.53888888888888875</v>
      </c>
      <c r="V98" s="469">
        <v>5</v>
      </c>
      <c r="W98" s="90">
        <f t="shared" si="70"/>
        <v>16.99999999999994</v>
      </c>
      <c r="X98" s="216"/>
      <c r="Y98" s="216"/>
      <c r="Z98" s="217"/>
      <c r="AA98" s="217"/>
      <c r="AB98" s="673"/>
      <c r="AC98" s="673"/>
      <c r="AD98" s="469"/>
      <c r="AE98" s="469"/>
      <c r="AF98" s="54">
        <f t="shared" si="61"/>
        <v>-388.23529411764343</v>
      </c>
      <c r="AG98" s="462">
        <f t="shared" si="62"/>
        <v>0.73039215686274761</v>
      </c>
      <c r="AH98" s="672"/>
    </row>
    <row r="99" spans="1:34" ht="19.2" customHeight="1">
      <c r="A99" s="699"/>
      <c r="B99" s="455" t="s">
        <v>123</v>
      </c>
      <c r="C99" s="81"/>
      <c r="D99" s="82" t="s">
        <v>57</v>
      </c>
      <c r="E99" s="83"/>
      <c r="F99" s="354">
        <v>77.34</v>
      </c>
      <c r="G99" s="57">
        <v>821</v>
      </c>
      <c r="H99" s="210">
        <f t="shared" si="65"/>
        <v>63496.14</v>
      </c>
      <c r="I99" s="469"/>
      <c r="J99" s="46">
        <v>18</v>
      </c>
      <c r="K99" s="44">
        <v>1440</v>
      </c>
      <c r="L99" s="47">
        <v>80</v>
      </c>
      <c r="M99" s="453">
        <v>18</v>
      </c>
      <c r="N99" s="44">
        <f t="shared" si="66"/>
        <v>1263.0769230769224</v>
      </c>
      <c r="O99" s="47">
        <f t="shared" si="67"/>
        <v>70.170940170940128</v>
      </c>
      <c r="P99" s="48">
        <f t="shared" si="68"/>
        <v>0</v>
      </c>
      <c r="Q99" s="49">
        <f t="shared" si="64"/>
        <v>-9.8290598290598723</v>
      </c>
      <c r="R99" s="459">
        <f t="shared" si="69"/>
        <v>0.87713675213675157</v>
      </c>
      <c r="S99" s="688"/>
      <c r="T99" s="89">
        <v>0.5430555555555554</v>
      </c>
      <c r="U99" s="89">
        <v>0.57013888888888875</v>
      </c>
      <c r="V99" s="469">
        <v>6</v>
      </c>
      <c r="W99" s="90">
        <f t="shared" si="70"/>
        <v>39.000000000000021</v>
      </c>
      <c r="X99" s="180"/>
      <c r="Y99" s="180"/>
      <c r="Z99" s="124"/>
      <c r="AA99" s="124"/>
      <c r="AB99" s="673"/>
      <c r="AC99" s="673"/>
      <c r="AD99" s="469"/>
      <c r="AE99" s="469">
        <v>1</v>
      </c>
      <c r="AF99" s="213">
        <f t="shared" si="61"/>
        <v>-176.92307692307759</v>
      </c>
      <c r="AG99" s="214">
        <f t="shared" si="62"/>
        <v>0.87713675213675169</v>
      </c>
      <c r="AH99" s="672"/>
    </row>
    <row r="100" spans="1:34" s="218" customFormat="1" ht="19.2" customHeight="1">
      <c r="A100" s="699"/>
      <c r="B100" s="455" t="s">
        <v>127</v>
      </c>
      <c r="C100" s="55"/>
      <c r="D100" s="42" t="s">
        <v>209</v>
      </c>
      <c r="E100" s="83"/>
      <c r="F100" s="354">
        <v>51.44</v>
      </c>
      <c r="G100" s="57">
        <v>1590</v>
      </c>
      <c r="H100" s="210">
        <f t="shared" si="65"/>
        <v>81789.599999999991</v>
      </c>
      <c r="I100" s="469"/>
      <c r="J100" s="46">
        <v>20</v>
      </c>
      <c r="K100" s="44">
        <v>1440</v>
      </c>
      <c r="L100" s="47">
        <v>72</v>
      </c>
      <c r="M100" s="87">
        <v>20</v>
      </c>
      <c r="N100" s="44">
        <f t="shared" si="66"/>
        <v>1271.9999999999991</v>
      </c>
      <c r="O100" s="47">
        <f t="shared" si="67"/>
        <v>63.599999999999952</v>
      </c>
      <c r="P100" s="48">
        <f t="shared" si="68"/>
        <v>0</v>
      </c>
      <c r="Q100" s="49">
        <f t="shared" si="64"/>
        <v>-8.4000000000000483</v>
      </c>
      <c r="R100" s="459">
        <f t="shared" si="69"/>
        <v>0.88333333333333264</v>
      </c>
      <c r="S100" s="688"/>
      <c r="T100" s="211">
        <v>0.57499999999999984</v>
      </c>
      <c r="U100" s="211">
        <v>0.62708333333333321</v>
      </c>
      <c r="V100" s="212">
        <v>7</v>
      </c>
      <c r="W100" s="90">
        <f t="shared" si="70"/>
        <v>75.000000000000057</v>
      </c>
      <c r="X100" s="219"/>
      <c r="Y100" s="219"/>
      <c r="Z100" s="217"/>
      <c r="AA100" s="217"/>
      <c r="AB100" s="673"/>
      <c r="AC100" s="673"/>
      <c r="AD100" s="469"/>
      <c r="AE100" s="469"/>
      <c r="AF100" s="54">
        <f t="shared" si="61"/>
        <v>-168.00000000000091</v>
      </c>
      <c r="AG100" s="462">
        <f t="shared" si="62"/>
        <v>0.88333333333333275</v>
      </c>
      <c r="AH100" s="672"/>
    </row>
    <row r="101" spans="1:34" s="218" customFormat="1" ht="19.2" customHeight="1">
      <c r="A101" s="699"/>
      <c r="B101" s="455" t="s">
        <v>125</v>
      </c>
      <c r="C101" s="55"/>
      <c r="D101" s="82" t="s">
        <v>63</v>
      </c>
      <c r="E101" s="83"/>
      <c r="F101" s="354">
        <v>29.113149847094796</v>
      </c>
      <c r="G101" s="57">
        <v>416.78000000000003</v>
      </c>
      <c r="H101" s="210">
        <f t="shared" si="65"/>
        <v>12133.778593272171</v>
      </c>
      <c r="I101" s="469">
        <v>1</v>
      </c>
      <c r="J101" s="46">
        <v>20</v>
      </c>
      <c r="K101" s="44">
        <v>1385</v>
      </c>
      <c r="L101" s="47">
        <v>69.25</v>
      </c>
      <c r="M101" s="87">
        <v>20</v>
      </c>
      <c r="N101" s="44">
        <f t="shared" si="66"/>
        <v>1250.3400000000047</v>
      </c>
      <c r="O101" s="47">
        <f t="shared" si="67"/>
        <v>62.517000000000237</v>
      </c>
      <c r="P101" s="48">
        <f t="shared" si="68"/>
        <v>0</v>
      </c>
      <c r="Q101" s="49">
        <f t="shared" si="64"/>
        <v>-6.7329999999997625</v>
      </c>
      <c r="R101" s="459">
        <f t="shared" si="69"/>
        <v>0.90277256317689869</v>
      </c>
      <c r="S101" s="688"/>
      <c r="T101" s="211">
        <v>0.64236111111111094</v>
      </c>
      <c r="U101" s="89">
        <v>0.65624999999999978</v>
      </c>
      <c r="V101" s="212">
        <v>22</v>
      </c>
      <c r="W101" s="90">
        <f t="shared" si="70"/>
        <v>19.999999999999929</v>
      </c>
      <c r="X101" s="220">
        <v>0.63194444444444442</v>
      </c>
      <c r="Y101" s="220">
        <v>0.64166666666666672</v>
      </c>
      <c r="Z101" s="217"/>
      <c r="AA101" s="217"/>
      <c r="AB101" s="673"/>
      <c r="AC101" s="673"/>
      <c r="AD101" s="469"/>
      <c r="AE101" s="469"/>
      <c r="AF101" s="213">
        <f t="shared" si="61"/>
        <v>-134.65999999999531</v>
      </c>
      <c r="AG101" s="214">
        <f t="shared" si="62"/>
        <v>0.90277256317689869</v>
      </c>
      <c r="AH101" s="672"/>
    </row>
    <row r="102" spans="1:34" s="218" customFormat="1" ht="19.2" customHeight="1">
      <c r="A102" s="699"/>
      <c r="B102" s="455" t="s">
        <v>124</v>
      </c>
      <c r="C102" s="175"/>
      <c r="D102" s="176" t="s">
        <v>195</v>
      </c>
      <c r="E102" s="177"/>
      <c r="F102" s="354">
        <v>50.67</v>
      </c>
      <c r="G102" s="57">
        <v>705.95999999999992</v>
      </c>
      <c r="H102" s="210">
        <f t="shared" si="65"/>
        <v>35770.993199999997</v>
      </c>
      <c r="I102" s="455">
        <v>1</v>
      </c>
      <c r="J102" s="46">
        <v>19</v>
      </c>
      <c r="K102" s="44">
        <v>1500</v>
      </c>
      <c r="L102" s="47">
        <v>78.94736842105263</v>
      </c>
      <c r="M102" s="87">
        <v>19</v>
      </c>
      <c r="N102" s="44">
        <f t="shared" si="66"/>
        <v>1323.6749999999981</v>
      </c>
      <c r="O102" s="47">
        <f t="shared" si="67"/>
        <v>69.667105263157794</v>
      </c>
      <c r="P102" s="48">
        <f t="shared" si="68"/>
        <v>0</v>
      </c>
      <c r="Q102" s="49">
        <f t="shared" si="64"/>
        <v>-9.2802631578948365</v>
      </c>
      <c r="R102" s="459">
        <f t="shared" si="69"/>
        <v>0.88244999999999874</v>
      </c>
      <c r="S102" s="688"/>
      <c r="T102" s="211">
        <v>0.66111111111111087</v>
      </c>
      <c r="U102" s="211">
        <v>0.68333333333333313</v>
      </c>
      <c r="V102" s="212">
        <v>7</v>
      </c>
      <c r="W102" s="90">
        <f t="shared" si="70"/>
        <v>32.000000000000043</v>
      </c>
      <c r="X102" s="220"/>
      <c r="Y102" s="220"/>
      <c r="Z102" s="217"/>
      <c r="AA102" s="217"/>
      <c r="AB102" s="673"/>
      <c r="AC102" s="673"/>
      <c r="AD102" s="469"/>
      <c r="AE102" s="469"/>
      <c r="AF102" s="54">
        <f t="shared" si="61"/>
        <v>-176.32500000000186</v>
      </c>
      <c r="AG102" s="462">
        <f t="shared" si="62"/>
        <v>0.88244999999999874</v>
      </c>
      <c r="AH102" s="672"/>
    </row>
    <row r="103" spans="1:34" s="218" customFormat="1" ht="19.2" customHeight="1">
      <c r="A103" s="699"/>
      <c r="B103" s="455" t="s">
        <v>126</v>
      </c>
      <c r="C103" s="221"/>
      <c r="D103" s="82" t="s">
        <v>206</v>
      </c>
      <c r="E103" s="83"/>
      <c r="F103" s="354">
        <v>30.13</v>
      </c>
      <c r="G103" s="57">
        <v>1413</v>
      </c>
      <c r="H103" s="210">
        <f t="shared" si="65"/>
        <v>42573.689999999995</v>
      </c>
      <c r="I103" s="222">
        <v>1</v>
      </c>
      <c r="J103" s="46">
        <v>18</v>
      </c>
      <c r="K103" s="44">
        <v>1200</v>
      </c>
      <c r="L103" s="47">
        <v>66.666666666666671</v>
      </c>
      <c r="M103" s="87">
        <v>18</v>
      </c>
      <c r="N103" s="44">
        <f t="shared" si="66"/>
        <v>1046.6666666666663</v>
      </c>
      <c r="O103" s="47">
        <f t="shared" si="67"/>
        <v>58.148148148148124</v>
      </c>
      <c r="P103" s="48">
        <f t="shared" si="68"/>
        <v>0</v>
      </c>
      <c r="Q103" s="49">
        <f t="shared" si="64"/>
        <v>-8.5185185185185475</v>
      </c>
      <c r="R103" s="459">
        <f t="shared" si="69"/>
        <v>0.87222222222222179</v>
      </c>
      <c r="S103" s="688"/>
      <c r="T103" s="211">
        <v>0.68819444444444422</v>
      </c>
      <c r="U103" s="211">
        <v>0.74444444444444424</v>
      </c>
      <c r="V103" s="212">
        <v>7</v>
      </c>
      <c r="W103" s="90">
        <f t="shared" si="70"/>
        <v>81.000000000000028</v>
      </c>
      <c r="X103" s="220"/>
      <c r="Y103" s="220"/>
      <c r="Z103" s="217"/>
      <c r="AA103" s="217"/>
      <c r="AB103" s="673"/>
      <c r="AC103" s="673"/>
      <c r="AD103" s="469">
        <v>1</v>
      </c>
      <c r="AE103" s="469"/>
      <c r="AF103" s="54">
        <f t="shared" si="61"/>
        <v>-153.33333333333371</v>
      </c>
      <c r="AG103" s="462">
        <f t="shared" si="62"/>
        <v>0.8722222222222219</v>
      </c>
      <c r="AH103" s="672"/>
    </row>
    <row r="104" spans="1:34" s="218" customFormat="1" ht="19.2" customHeight="1">
      <c r="A104" s="699"/>
      <c r="B104" s="455">
        <v>0</v>
      </c>
      <c r="C104" s="223"/>
      <c r="D104" s="82"/>
      <c r="E104" s="83"/>
      <c r="F104" s="354" t="s">
        <v>128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459"/>
      <c r="S104" s="689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673"/>
      <c r="AC104" s="673"/>
      <c r="AD104" s="469"/>
      <c r="AE104" s="469"/>
      <c r="AF104" s="213">
        <f t="shared" si="61"/>
        <v>0</v>
      </c>
      <c r="AG104" s="214" t="e">
        <f t="shared" si="62"/>
        <v>#DIV/0!</v>
      </c>
      <c r="AH104" s="672"/>
    </row>
    <row r="105" spans="1:34" s="218" customFormat="1" ht="19.2" customHeight="1">
      <c r="A105" s="699"/>
      <c r="B105" s="455">
        <v>0</v>
      </c>
      <c r="C105" s="223"/>
      <c r="D105" s="82"/>
      <c r="E105" s="83"/>
      <c r="F105" s="354" t="s">
        <v>128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59"/>
      <c r="S105" s="689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673"/>
      <c r="AC105" s="673"/>
      <c r="AD105" s="469"/>
      <c r="AE105" s="469"/>
      <c r="AF105" s="54">
        <f t="shared" si="61"/>
        <v>0</v>
      </c>
      <c r="AG105" s="462" t="e">
        <f t="shared" si="62"/>
        <v>#DIV/0!</v>
      </c>
      <c r="AH105" s="672"/>
    </row>
    <row r="106" spans="1:34" s="218" customFormat="1" ht="19.2" customHeight="1">
      <c r="A106" s="699"/>
      <c r="B106" s="221">
        <v>0</v>
      </c>
      <c r="C106" s="223"/>
      <c r="D106" s="82"/>
      <c r="E106" s="83"/>
      <c r="F106" s="343" t="s">
        <v>128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459"/>
      <c r="S106" s="698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673"/>
      <c r="AC106" s="673"/>
      <c r="AD106" s="469"/>
      <c r="AE106" s="469"/>
      <c r="AF106" s="54">
        <f t="shared" si="61"/>
        <v>0</v>
      </c>
      <c r="AG106" s="462" t="e">
        <f t="shared" si="62"/>
        <v>#DIV/0!</v>
      </c>
      <c r="AH106" s="672"/>
    </row>
    <row r="107" spans="1:34" s="218" customFormat="1" ht="19.2" customHeight="1">
      <c r="A107" s="699"/>
      <c r="B107" s="221">
        <v>0</v>
      </c>
      <c r="C107" s="223"/>
      <c r="D107" s="82"/>
      <c r="E107" s="83"/>
      <c r="F107" s="343" t="s">
        <v>128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62"/>
      <c r="S107" s="698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673"/>
      <c r="AC107" s="673"/>
      <c r="AD107" s="469"/>
      <c r="AE107" s="469"/>
      <c r="AF107" s="217"/>
      <c r="AG107" s="462"/>
      <c r="AH107" s="672"/>
    </row>
    <row r="108" spans="1:34" ht="19.2" customHeight="1">
      <c r="A108" s="699"/>
      <c r="B108" s="110">
        <v>0</v>
      </c>
      <c r="C108" s="100" t="s">
        <v>419</v>
      </c>
      <c r="D108" s="669" t="s">
        <v>353</v>
      </c>
      <c r="E108" s="669"/>
      <c r="F108" s="355"/>
      <c r="G108" s="101"/>
      <c r="H108" s="102"/>
      <c r="I108" s="103"/>
      <c r="J108" s="101">
        <v>18.75</v>
      </c>
      <c r="K108" s="101">
        <v>1396.875</v>
      </c>
      <c r="L108" s="104">
        <v>74.808251096491219</v>
      </c>
      <c r="M108" s="101">
        <f t="shared" ref="M108:O108" si="71">AVERAGE(M96:M107)</f>
        <v>18.625</v>
      </c>
      <c r="N108" s="101">
        <f t="shared" si="71"/>
        <v>1204.6089418968663</v>
      </c>
      <c r="O108" s="104">
        <f t="shared" si="71"/>
        <v>64.779123845867886</v>
      </c>
      <c r="P108" s="54">
        <f t="shared" ref="P108:P118" si="72">M108-J108</f>
        <v>-0.125</v>
      </c>
      <c r="Q108" s="88">
        <f t="shared" ref="Q108:Q118" si="73">O108-L108</f>
        <v>-10.029127250623333</v>
      </c>
      <c r="R108" s="105">
        <f t="shared" ref="R108:R118" si="74">O108/L108</f>
        <v>0.86593554716728649</v>
      </c>
      <c r="S108" s="689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673"/>
      <c r="AC108" s="673"/>
      <c r="AD108" s="107">
        <f>SUM(AD96:AD107)</f>
        <v>1</v>
      </c>
      <c r="AE108" s="107">
        <f>SUM(AE96:AE107)</f>
        <v>3</v>
      </c>
      <c r="AF108" s="54">
        <f t="shared" si="61"/>
        <v>-192.26605810313367</v>
      </c>
      <c r="AG108" s="462">
        <f t="shared" si="62"/>
        <v>0.86235986891945693</v>
      </c>
      <c r="AH108" s="672"/>
    </row>
    <row r="109" spans="1:34" ht="19.2" customHeight="1">
      <c r="A109" s="690" t="s">
        <v>420</v>
      </c>
      <c r="B109" s="455" t="s">
        <v>126</v>
      </c>
      <c r="C109" s="465"/>
      <c r="D109" s="390" t="s">
        <v>207</v>
      </c>
      <c r="E109" s="43"/>
      <c r="F109" s="343">
        <v>29.965493443754308</v>
      </c>
      <c r="G109" s="44">
        <v>1767</v>
      </c>
      <c r="H109" s="45">
        <f t="shared" ref="H109:H119" si="75">F109*G109</f>
        <v>52949.026915113864</v>
      </c>
      <c r="I109" s="455"/>
      <c r="J109" s="46">
        <v>18</v>
      </c>
      <c r="K109" s="44">
        <v>1200</v>
      </c>
      <c r="L109" s="47">
        <v>66.666666666666671</v>
      </c>
      <c r="M109" s="453">
        <v>18</v>
      </c>
      <c r="N109" s="44">
        <f t="shared" ref="N109:N118" si="76">G109/W109*60</f>
        <v>1191.2359550561798</v>
      </c>
      <c r="O109" s="47">
        <f t="shared" ref="O109:O118" si="77">N109/M109</f>
        <v>66.17977528089888</v>
      </c>
      <c r="P109" s="48">
        <f t="shared" si="72"/>
        <v>0</v>
      </c>
      <c r="Q109" s="49">
        <f t="shared" si="73"/>
        <v>-0.48689138576779101</v>
      </c>
      <c r="R109" s="459">
        <f t="shared" si="74"/>
        <v>0.99269662921348312</v>
      </c>
      <c r="S109" s="693">
        <f>R121</f>
        <v>0.8876593869539362</v>
      </c>
      <c r="T109" s="226">
        <v>0.5</v>
      </c>
      <c r="U109" s="226">
        <v>0.56180555555555556</v>
      </c>
      <c r="V109" s="227">
        <v>5</v>
      </c>
      <c r="W109" s="452">
        <f t="shared" si="70"/>
        <v>89</v>
      </c>
      <c r="X109" s="53"/>
      <c r="Y109" s="53"/>
      <c r="Z109" s="54"/>
      <c r="AA109" s="54"/>
      <c r="AB109" s="673"/>
      <c r="AC109" s="673"/>
      <c r="AD109" s="469">
        <v>1</v>
      </c>
      <c r="AE109" s="469"/>
      <c r="AF109" s="48">
        <f t="shared" si="61"/>
        <v>-8.7640449438201813</v>
      </c>
      <c r="AG109" s="125">
        <f t="shared" si="62"/>
        <v>0.99269662921348323</v>
      </c>
      <c r="AH109" s="672">
        <f>AG121</f>
        <v>0.88539110155470968</v>
      </c>
    </row>
    <row r="110" spans="1:34" ht="19.2" customHeight="1">
      <c r="A110" s="691"/>
      <c r="B110" s="455" t="s">
        <v>123</v>
      </c>
      <c r="C110" s="175"/>
      <c r="D110" s="42" t="s">
        <v>56</v>
      </c>
      <c r="E110" s="177"/>
      <c r="F110" s="343">
        <v>71.55</v>
      </c>
      <c r="G110" s="174">
        <v>768</v>
      </c>
      <c r="H110" s="45">
        <f t="shared" si="75"/>
        <v>54950.399999999994</v>
      </c>
      <c r="I110" s="455"/>
      <c r="J110" s="46">
        <v>18</v>
      </c>
      <c r="K110" s="44">
        <v>1385</v>
      </c>
      <c r="L110" s="47">
        <v>76.944444444444443</v>
      </c>
      <c r="M110" s="453">
        <v>18</v>
      </c>
      <c r="N110" s="44">
        <f t="shared" si="76"/>
        <v>1245.4054054054045</v>
      </c>
      <c r="O110" s="47">
        <f t="shared" si="77"/>
        <v>69.189189189189136</v>
      </c>
      <c r="P110" s="48">
        <f t="shared" si="72"/>
        <v>0</v>
      </c>
      <c r="Q110" s="49">
        <f t="shared" si="73"/>
        <v>-7.7552552552553067</v>
      </c>
      <c r="R110" s="459">
        <f t="shared" si="74"/>
        <v>0.8992096789930718</v>
      </c>
      <c r="S110" s="679"/>
      <c r="T110" s="226">
        <v>0.56736111111111109</v>
      </c>
      <c r="U110" s="226">
        <v>0.59305555555555556</v>
      </c>
      <c r="V110" s="227">
        <v>8</v>
      </c>
      <c r="W110" s="452">
        <f t="shared" si="70"/>
        <v>37.000000000000028</v>
      </c>
      <c r="X110" s="188"/>
      <c r="Y110" s="188"/>
      <c r="Z110" s="54"/>
      <c r="AA110" s="54"/>
      <c r="AB110" s="673"/>
      <c r="AC110" s="673"/>
      <c r="AD110" s="469"/>
      <c r="AE110" s="469"/>
      <c r="AF110" s="48">
        <f t="shared" si="61"/>
        <v>-139.59459459459549</v>
      </c>
      <c r="AG110" s="125">
        <f t="shared" si="62"/>
        <v>0.8992096789930718</v>
      </c>
      <c r="AH110" s="672"/>
    </row>
    <row r="111" spans="1:34" ht="19.2" customHeight="1">
      <c r="A111" s="691"/>
      <c r="B111" s="455" t="s">
        <v>123</v>
      </c>
      <c r="C111" s="175"/>
      <c r="D111" s="176" t="s">
        <v>58</v>
      </c>
      <c r="E111" s="177"/>
      <c r="F111" s="343">
        <v>59.54</v>
      </c>
      <c r="G111" s="57">
        <v>1246</v>
      </c>
      <c r="H111" s="45">
        <f t="shared" si="75"/>
        <v>74186.84</v>
      </c>
      <c r="I111" s="469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1267.1186440677975</v>
      </c>
      <c r="O111" s="47">
        <f t="shared" si="77"/>
        <v>70.395480225988749</v>
      </c>
      <c r="P111" s="48">
        <f t="shared" si="72"/>
        <v>0</v>
      </c>
      <c r="Q111" s="49">
        <f t="shared" si="73"/>
        <v>-6.5489642184556942</v>
      </c>
      <c r="R111" s="459">
        <f t="shared" si="74"/>
        <v>0.91488710763017866</v>
      </c>
      <c r="S111" s="679"/>
      <c r="T111" s="226">
        <v>0.60902777777777772</v>
      </c>
      <c r="U111" s="226">
        <v>0.64999999999999991</v>
      </c>
      <c r="V111" s="227">
        <v>23</v>
      </c>
      <c r="W111" s="452">
        <f t="shared" si="70"/>
        <v>58.99999999999995</v>
      </c>
      <c r="X111" s="53">
        <v>0.59722222222222221</v>
      </c>
      <c r="Y111" s="53">
        <v>0.60833333333333328</v>
      </c>
      <c r="Z111" s="54"/>
      <c r="AA111" s="54"/>
      <c r="AB111" s="673"/>
      <c r="AC111" s="673"/>
      <c r="AD111" s="469"/>
      <c r="AE111" s="469"/>
      <c r="AF111" s="48">
        <f t="shared" si="61"/>
        <v>-117.8813559322025</v>
      </c>
      <c r="AG111" s="125">
        <f t="shared" si="62"/>
        <v>0.91488710763017866</v>
      </c>
      <c r="AH111" s="672"/>
    </row>
    <row r="112" spans="1:34" ht="19.2" customHeight="1">
      <c r="A112" s="691"/>
      <c r="B112" s="455" t="s">
        <v>127</v>
      </c>
      <c r="C112" s="175"/>
      <c r="D112" s="176" t="s">
        <v>77</v>
      </c>
      <c r="E112" s="83"/>
      <c r="F112" s="343">
        <v>55.56</v>
      </c>
      <c r="G112" s="57">
        <v>844</v>
      </c>
      <c r="H112" s="45">
        <f t="shared" si="75"/>
        <v>46892.639999999999</v>
      </c>
      <c r="I112" s="469"/>
      <c r="J112" s="46">
        <v>16</v>
      </c>
      <c r="K112" s="44">
        <v>1440</v>
      </c>
      <c r="L112" s="47">
        <v>90</v>
      </c>
      <c r="M112" s="453">
        <v>16</v>
      </c>
      <c r="N112" s="44">
        <f t="shared" si="76"/>
        <v>1332.6315789473674</v>
      </c>
      <c r="O112" s="47">
        <f t="shared" si="77"/>
        <v>83.289473684210463</v>
      </c>
      <c r="P112" s="48">
        <f t="shared" si="72"/>
        <v>0</v>
      </c>
      <c r="Q112" s="49">
        <f t="shared" si="73"/>
        <v>-6.7105263157895365</v>
      </c>
      <c r="R112" s="459">
        <f t="shared" si="74"/>
        <v>0.92543859649122739</v>
      </c>
      <c r="S112" s="679"/>
      <c r="T112" s="226">
        <v>0.70833333333333337</v>
      </c>
      <c r="U112" s="226">
        <v>0.73472222222222228</v>
      </c>
      <c r="V112" s="227">
        <v>5</v>
      </c>
      <c r="W112" s="452">
        <f t="shared" si="70"/>
        <v>38.000000000000028</v>
      </c>
      <c r="X112" s="216"/>
      <c r="Y112" s="216"/>
      <c r="Z112" s="54"/>
      <c r="AA112" s="54"/>
      <c r="AB112" s="673"/>
      <c r="AC112" s="673"/>
      <c r="AD112" s="469"/>
      <c r="AE112" s="469"/>
      <c r="AF112" s="48">
        <f t="shared" si="61"/>
        <v>-107.36842105263258</v>
      </c>
      <c r="AG112" s="125">
        <f t="shared" si="62"/>
        <v>0.92543859649122739</v>
      </c>
      <c r="AH112" s="672"/>
    </row>
    <row r="113" spans="1:34" s="218" customFormat="1" ht="19.2" customHeight="1">
      <c r="A113" s="691"/>
      <c r="B113" s="455" t="s">
        <v>127</v>
      </c>
      <c r="C113" s="175"/>
      <c r="D113" s="176" t="s">
        <v>203</v>
      </c>
      <c r="E113" s="83"/>
      <c r="F113" s="343">
        <v>54.09</v>
      </c>
      <c r="G113" s="57">
        <v>804</v>
      </c>
      <c r="H113" s="45">
        <f t="shared" si="75"/>
        <v>43488.36</v>
      </c>
      <c r="I113" s="469"/>
      <c r="J113" s="46">
        <v>16</v>
      </c>
      <c r="K113" s="44">
        <v>1440</v>
      </c>
      <c r="L113" s="47">
        <v>90</v>
      </c>
      <c r="M113" s="458">
        <v>16</v>
      </c>
      <c r="N113" s="44">
        <f t="shared" si="76"/>
        <v>1303.7837837837828</v>
      </c>
      <c r="O113" s="47">
        <f t="shared" si="77"/>
        <v>81.486486486486427</v>
      </c>
      <c r="P113" s="48">
        <f t="shared" si="72"/>
        <v>0</v>
      </c>
      <c r="Q113" s="49">
        <f t="shared" si="73"/>
        <v>-8.5135135135135727</v>
      </c>
      <c r="R113" s="459">
        <f t="shared" si="74"/>
        <v>0.90540540540540471</v>
      </c>
      <c r="S113" s="679"/>
      <c r="T113" s="226">
        <v>0.73888888888888893</v>
      </c>
      <c r="U113" s="226">
        <v>0.76458333333333339</v>
      </c>
      <c r="V113" s="227">
        <v>6</v>
      </c>
      <c r="W113" s="452">
        <f t="shared" si="70"/>
        <v>37.000000000000028</v>
      </c>
      <c r="X113" s="216"/>
      <c r="Y113" s="216"/>
      <c r="Z113" s="217"/>
      <c r="AA113" s="217"/>
      <c r="AB113" s="673"/>
      <c r="AC113" s="673"/>
      <c r="AD113" s="221"/>
      <c r="AE113" s="221"/>
      <c r="AF113" s="48">
        <f t="shared" si="61"/>
        <v>-136.21621621621716</v>
      </c>
      <c r="AG113" s="125">
        <f t="shared" si="62"/>
        <v>0.90540540540540471</v>
      </c>
      <c r="AH113" s="672"/>
    </row>
    <row r="114" spans="1:34" s="218" customFormat="1" ht="19.2" customHeight="1">
      <c r="A114" s="691"/>
      <c r="B114" s="455" t="s">
        <v>127</v>
      </c>
      <c r="C114" s="175"/>
      <c r="D114" s="176" t="s">
        <v>208</v>
      </c>
      <c r="E114" s="43"/>
      <c r="F114" s="343">
        <v>52.21</v>
      </c>
      <c r="G114" s="44">
        <v>930</v>
      </c>
      <c r="H114" s="45">
        <f t="shared" si="75"/>
        <v>48555.3</v>
      </c>
      <c r="I114" s="469"/>
      <c r="J114" s="46">
        <v>17</v>
      </c>
      <c r="K114" s="44">
        <v>1440</v>
      </c>
      <c r="L114" s="47">
        <v>84.705882352941174</v>
      </c>
      <c r="M114" s="458">
        <v>17</v>
      </c>
      <c r="N114" s="44">
        <f t="shared" si="76"/>
        <v>1297.674418604651</v>
      </c>
      <c r="O114" s="47">
        <f t="shared" si="77"/>
        <v>76.333789329685359</v>
      </c>
      <c r="P114" s="48">
        <f t="shared" si="72"/>
        <v>0</v>
      </c>
      <c r="Q114" s="49">
        <f t="shared" si="73"/>
        <v>-8.3720930232558146</v>
      </c>
      <c r="R114" s="459">
        <f t="shared" si="74"/>
        <v>0.90116279069767435</v>
      </c>
      <c r="S114" s="679"/>
      <c r="T114" s="226">
        <v>0.76944444444444449</v>
      </c>
      <c r="U114" s="226">
        <v>0.7993055555555556</v>
      </c>
      <c r="V114" s="227">
        <v>7</v>
      </c>
      <c r="W114" s="452">
        <f t="shared" si="70"/>
        <v>43.000000000000007</v>
      </c>
      <c r="X114" s="216"/>
      <c r="Y114" s="216"/>
      <c r="Z114" s="217"/>
      <c r="AA114" s="217"/>
      <c r="AB114" s="673"/>
      <c r="AC114" s="673"/>
      <c r="AD114" s="221"/>
      <c r="AE114" s="221"/>
      <c r="AF114" s="48">
        <f t="shared" si="61"/>
        <v>-142.32558139534899</v>
      </c>
      <c r="AG114" s="125">
        <f t="shared" si="62"/>
        <v>0.90116279069767435</v>
      </c>
      <c r="AH114" s="672"/>
    </row>
    <row r="115" spans="1:34" s="218" customFormat="1" ht="19.2" customHeight="1">
      <c r="A115" s="691"/>
      <c r="B115" s="455" t="s">
        <v>127</v>
      </c>
      <c r="C115" s="175"/>
      <c r="D115" s="82" t="s">
        <v>188</v>
      </c>
      <c r="E115" s="83"/>
      <c r="F115" s="343">
        <v>58.17</v>
      </c>
      <c r="G115" s="229">
        <v>1007</v>
      </c>
      <c r="H115" s="45">
        <f t="shared" si="75"/>
        <v>58577.19</v>
      </c>
      <c r="I115" s="469"/>
      <c r="J115" s="46">
        <v>16</v>
      </c>
      <c r="K115" s="44">
        <v>1636</v>
      </c>
      <c r="L115" s="47">
        <v>102.25</v>
      </c>
      <c r="M115" s="458">
        <v>16</v>
      </c>
      <c r="N115" s="44">
        <f t="shared" si="76"/>
        <v>1405.1162790697672</v>
      </c>
      <c r="O115" s="47">
        <f t="shared" si="77"/>
        <v>87.819767441860449</v>
      </c>
      <c r="P115" s="48">
        <f t="shared" si="72"/>
        <v>0</v>
      </c>
      <c r="Q115" s="49">
        <f t="shared" si="73"/>
        <v>-14.430232558139551</v>
      </c>
      <c r="R115" s="459">
        <f t="shared" si="74"/>
        <v>0.85887303121623915</v>
      </c>
      <c r="S115" s="679"/>
      <c r="T115" s="226">
        <v>0.8041666666666667</v>
      </c>
      <c r="U115" s="226">
        <v>0.83402777777777781</v>
      </c>
      <c r="V115" s="227">
        <v>7</v>
      </c>
      <c r="W115" s="452">
        <f t="shared" si="70"/>
        <v>43.000000000000007</v>
      </c>
      <c r="X115" s="216"/>
      <c r="Y115" s="216"/>
      <c r="Z115" s="217"/>
      <c r="AA115" s="217"/>
      <c r="AB115" s="673"/>
      <c r="AC115" s="673"/>
      <c r="AD115" s="221"/>
      <c r="AE115" s="221"/>
      <c r="AF115" s="48">
        <f t="shared" si="61"/>
        <v>-230.88372093023281</v>
      </c>
      <c r="AG115" s="125">
        <f t="shared" si="62"/>
        <v>0.85887303121623915</v>
      </c>
      <c r="AH115" s="672"/>
    </row>
    <row r="116" spans="1:34" s="218" customFormat="1" ht="19.2" customHeight="1">
      <c r="A116" s="691"/>
      <c r="B116" s="455" t="s">
        <v>127</v>
      </c>
      <c r="C116" s="55"/>
      <c r="D116" s="82" t="s">
        <v>210</v>
      </c>
      <c r="E116" s="83"/>
      <c r="F116" s="343">
        <v>57.3</v>
      </c>
      <c r="G116" s="229">
        <v>1254</v>
      </c>
      <c r="H116" s="45">
        <f t="shared" si="75"/>
        <v>71854.2</v>
      </c>
      <c r="I116" s="469"/>
      <c r="J116" s="46">
        <v>19</v>
      </c>
      <c r="K116" s="44">
        <v>1440</v>
      </c>
      <c r="L116" s="47">
        <v>75.78947368421052</v>
      </c>
      <c r="M116" s="458">
        <v>19</v>
      </c>
      <c r="N116" s="44">
        <f t="shared" si="76"/>
        <v>1320.0000000000011</v>
      </c>
      <c r="O116" s="47">
        <f t="shared" si="77"/>
        <v>69.473684210526372</v>
      </c>
      <c r="P116" s="48">
        <f t="shared" si="72"/>
        <v>0</v>
      </c>
      <c r="Q116" s="49">
        <f t="shared" si="73"/>
        <v>-6.3157894736841484</v>
      </c>
      <c r="R116" s="459">
        <f t="shared" si="74"/>
        <v>0.91666666666666752</v>
      </c>
      <c r="S116" s="679"/>
      <c r="T116" s="226">
        <v>0.84930555555555554</v>
      </c>
      <c r="U116" s="226">
        <v>0.88888888888888884</v>
      </c>
      <c r="V116" s="227">
        <v>22</v>
      </c>
      <c r="W116" s="452">
        <f t="shared" si="70"/>
        <v>56.999999999999957</v>
      </c>
      <c r="X116" s="216">
        <v>0.83888888888888891</v>
      </c>
      <c r="Y116" s="216">
        <v>0.84861111111111109</v>
      </c>
      <c r="Z116" s="217"/>
      <c r="AA116" s="217"/>
      <c r="AB116" s="673"/>
      <c r="AC116" s="673"/>
      <c r="AD116" s="221"/>
      <c r="AE116" s="221"/>
      <c r="AF116" s="48">
        <f t="shared" si="61"/>
        <v>-119.99999999999886</v>
      </c>
      <c r="AG116" s="125">
        <f t="shared" si="62"/>
        <v>0.91666666666666741</v>
      </c>
      <c r="AH116" s="672"/>
    </row>
    <row r="117" spans="1:34" s="218" customFormat="1" ht="19.2" customHeight="1">
      <c r="A117" s="691"/>
      <c r="B117" s="455" t="s">
        <v>127</v>
      </c>
      <c r="C117" s="55"/>
      <c r="D117" s="82" t="s">
        <v>193</v>
      </c>
      <c r="E117" s="83"/>
      <c r="F117" s="343">
        <v>51.06</v>
      </c>
      <c r="G117" s="229">
        <v>1415</v>
      </c>
      <c r="H117" s="45">
        <f t="shared" si="75"/>
        <v>72249.900000000009</v>
      </c>
      <c r="I117" s="469"/>
      <c r="J117" s="46">
        <v>16</v>
      </c>
      <c r="K117" s="44">
        <v>1500</v>
      </c>
      <c r="L117" s="47">
        <v>93.75</v>
      </c>
      <c r="M117" s="458">
        <v>16</v>
      </c>
      <c r="N117" s="44">
        <f t="shared" si="76"/>
        <v>1326.5625000000016</v>
      </c>
      <c r="O117" s="47">
        <f t="shared" si="77"/>
        <v>82.910156250000099</v>
      </c>
      <c r="P117" s="48">
        <f t="shared" si="72"/>
        <v>0</v>
      </c>
      <c r="Q117" s="49">
        <f t="shared" si="73"/>
        <v>-10.839843749999901</v>
      </c>
      <c r="R117" s="459">
        <f t="shared" si="74"/>
        <v>0.88437500000000102</v>
      </c>
      <c r="S117" s="679"/>
      <c r="T117" s="226">
        <v>0.89374999999999993</v>
      </c>
      <c r="U117" s="226">
        <v>0.93819444444444433</v>
      </c>
      <c r="V117" s="227">
        <v>7</v>
      </c>
      <c r="W117" s="452">
        <f t="shared" si="70"/>
        <v>63.999999999999929</v>
      </c>
      <c r="X117" s="216"/>
      <c r="Y117" s="216"/>
      <c r="Z117" s="217"/>
      <c r="AA117" s="217"/>
      <c r="AB117" s="673"/>
      <c r="AC117" s="673"/>
      <c r="AD117" s="221"/>
      <c r="AE117" s="221"/>
      <c r="AF117" s="48">
        <f t="shared" si="61"/>
        <v>-173.43749999999841</v>
      </c>
      <c r="AG117" s="125">
        <f t="shared" si="62"/>
        <v>0.88437500000000102</v>
      </c>
      <c r="AH117" s="672"/>
    </row>
    <row r="118" spans="1:34" s="218" customFormat="1" ht="19.2" customHeight="1">
      <c r="A118" s="691"/>
      <c r="B118" s="455" t="s">
        <v>127</v>
      </c>
      <c r="C118" s="163"/>
      <c r="D118" s="176" t="s">
        <v>72</v>
      </c>
      <c r="E118" s="43"/>
      <c r="F118" s="343">
        <v>53.68</v>
      </c>
      <c r="G118" s="44">
        <v>206</v>
      </c>
      <c r="H118" s="45">
        <f t="shared" si="75"/>
        <v>11058.08</v>
      </c>
      <c r="I118" s="469"/>
      <c r="J118" s="46">
        <v>20</v>
      </c>
      <c r="K118" s="44">
        <v>1500</v>
      </c>
      <c r="L118" s="47">
        <v>75</v>
      </c>
      <c r="M118" s="458">
        <v>20</v>
      </c>
      <c r="N118" s="44">
        <f t="shared" si="76"/>
        <v>1030.0000000000036</v>
      </c>
      <c r="O118" s="47">
        <f t="shared" si="77"/>
        <v>51.500000000000185</v>
      </c>
      <c r="P118" s="48">
        <f t="shared" si="72"/>
        <v>0</v>
      </c>
      <c r="Q118" s="49">
        <f t="shared" si="73"/>
        <v>-23.499999999999815</v>
      </c>
      <c r="R118" s="459">
        <f t="shared" si="74"/>
        <v>0.68666666666666909</v>
      </c>
      <c r="S118" s="679"/>
      <c r="T118" s="226">
        <v>0.94236111111111098</v>
      </c>
      <c r="U118" s="226">
        <v>0.95069444444444429</v>
      </c>
      <c r="V118" s="227">
        <v>6</v>
      </c>
      <c r="W118" s="452">
        <f t="shared" si="70"/>
        <v>11.999999999999957</v>
      </c>
      <c r="X118" s="216"/>
      <c r="Y118" s="216"/>
      <c r="Z118" s="217"/>
      <c r="AA118" s="217"/>
      <c r="AB118" s="673"/>
      <c r="AC118" s="673"/>
      <c r="AD118" s="221"/>
      <c r="AE118" s="221"/>
      <c r="AF118" s="48">
        <f t="shared" si="61"/>
        <v>-469.99999999999636</v>
      </c>
      <c r="AG118" s="125">
        <f t="shared" si="62"/>
        <v>0.68666666666666909</v>
      </c>
      <c r="AH118" s="672"/>
    </row>
    <row r="119" spans="1:34" s="218" customFormat="1" ht="19.2" customHeight="1">
      <c r="A119" s="691"/>
      <c r="B119" s="455">
        <v>0</v>
      </c>
      <c r="C119" s="223"/>
      <c r="D119" s="82"/>
      <c r="E119" s="83"/>
      <c r="F119" s="343" t="s">
        <v>128</v>
      </c>
      <c r="G119" s="229"/>
      <c r="H119" s="45">
        <f t="shared" si="75"/>
        <v>0</v>
      </c>
      <c r="I119" s="469"/>
      <c r="J119" s="178"/>
      <c r="K119" s="231"/>
      <c r="L119" s="47"/>
      <c r="M119" s="458"/>
      <c r="N119" s="179"/>
      <c r="O119" s="224"/>
      <c r="P119" s="165"/>
      <c r="Q119" s="49"/>
      <c r="R119" s="459"/>
      <c r="S119" s="679"/>
      <c r="T119" s="226"/>
      <c r="U119" s="226"/>
      <c r="V119" s="227"/>
      <c r="W119" s="452">
        <f t="shared" si="70"/>
        <v>0</v>
      </c>
      <c r="X119" s="216"/>
      <c r="Y119" s="216"/>
      <c r="Z119" s="217"/>
      <c r="AA119" s="217"/>
      <c r="AB119" s="673"/>
      <c r="AC119" s="673"/>
      <c r="AD119" s="221"/>
      <c r="AE119" s="221"/>
      <c r="AF119" s="48">
        <f t="shared" si="61"/>
        <v>0</v>
      </c>
      <c r="AG119" s="125" t="e">
        <f t="shared" si="62"/>
        <v>#DIV/0!</v>
      </c>
      <c r="AH119" s="672"/>
    </row>
    <row r="120" spans="1:34" s="218" customFormat="1" ht="19.2" customHeight="1">
      <c r="A120" s="691"/>
      <c r="B120" s="455">
        <v>0</v>
      </c>
      <c r="C120" s="223"/>
      <c r="D120" s="82"/>
      <c r="E120" s="83"/>
      <c r="F120" s="350" t="s">
        <v>128</v>
      </c>
      <c r="G120" s="229"/>
      <c r="H120" s="230">
        <f>F120*G120</f>
        <v>0</v>
      </c>
      <c r="I120" s="469"/>
      <c r="J120" s="178"/>
      <c r="K120" s="231"/>
      <c r="L120" s="47"/>
      <c r="M120" s="458"/>
      <c r="N120" s="179"/>
      <c r="O120" s="224"/>
      <c r="P120" s="165"/>
      <c r="Q120" s="49"/>
      <c r="R120" s="459"/>
      <c r="S120" s="679"/>
      <c r="T120" s="226"/>
      <c r="U120" s="226"/>
      <c r="V120" s="227"/>
      <c r="W120" s="452">
        <f t="shared" si="70"/>
        <v>0</v>
      </c>
      <c r="X120" s="216"/>
      <c r="Y120" s="216"/>
      <c r="Z120" s="217"/>
      <c r="AA120" s="217"/>
      <c r="AB120" s="673"/>
      <c r="AC120" s="673"/>
      <c r="AD120" s="221"/>
      <c r="AE120" s="221"/>
      <c r="AF120" s="48">
        <f t="shared" si="61"/>
        <v>0</v>
      </c>
      <c r="AG120" s="125" t="e">
        <f t="shared" si="62"/>
        <v>#DIV/0!</v>
      </c>
      <c r="AH120" s="672"/>
    </row>
    <row r="121" spans="1:34" ht="19.2" customHeight="1">
      <c r="A121" s="692"/>
      <c r="B121" s="121">
        <v>0</v>
      </c>
      <c r="C121" s="100" t="s">
        <v>421</v>
      </c>
      <c r="D121" s="232" t="s">
        <v>353</v>
      </c>
      <c r="E121" s="233"/>
      <c r="F121" s="352"/>
      <c r="G121" s="234"/>
      <c r="H121" s="235"/>
      <c r="I121" s="236"/>
      <c r="J121" s="202">
        <v>17.399999999999999</v>
      </c>
      <c r="K121" s="202">
        <v>1436.6</v>
      </c>
      <c r="L121" s="203">
        <v>83.205091159270722</v>
      </c>
      <c r="M121" s="202">
        <f t="shared" ref="M121:O121" si="78">AVERAGE(M109:M120)</f>
        <v>17.399999999999999</v>
      </c>
      <c r="N121" s="202">
        <f t="shared" si="78"/>
        <v>1271.9528564934958</v>
      </c>
      <c r="O121" s="203">
        <f t="shared" si="78"/>
        <v>73.857780209884623</v>
      </c>
      <c r="P121" s="48">
        <f t="shared" ref="P121:P130" si="79">M121-J121</f>
        <v>0</v>
      </c>
      <c r="Q121" s="49">
        <f t="shared" ref="Q121:Q130" si="80">O121-L121</f>
        <v>-9.3473109493860989</v>
      </c>
      <c r="R121" s="172">
        <f t="shared" ref="R121:R130" si="81">O121/L121</f>
        <v>0.8876593869539362</v>
      </c>
      <c r="S121" s="687"/>
      <c r="T121" s="50"/>
      <c r="U121" s="50"/>
      <c r="V121" s="44"/>
      <c r="W121" s="452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673"/>
      <c r="AC121" s="673"/>
      <c r="AD121" s="107">
        <f>SUM(AD109:AD120)</f>
        <v>1</v>
      </c>
      <c r="AE121" s="107">
        <f>SUM(AE109:AE120)</f>
        <v>0</v>
      </c>
      <c r="AF121" s="48">
        <f>N121-K121</f>
        <v>-164.64714350650411</v>
      </c>
      <c r="AG121" s="125">
        <f>N121/K121</f>
        <v>0.88539110155470968</v>
      </c>
      <c r="AH121" s="672"/>
    </row>
    <row r="122" spans="1:34" ht="19.2" customHeight="1">
      <c r="A122" s="694" t="s">
        <v>422</v>
      </c>
      <c r="B122" s="130" t="s">
        <v>123</v>
      </c>
      <c r="C122" s="163"/>
      <c r="D122" s="176" t="s">
        <v>79</v>
      </c>
      <c r="E122" s="43"/>
      <c r="F122" s="343">
        <v>58.67</v>
      </c>
      <c r="G122" s="44">
        <v>1801</v>
      </c>
      <c r="H122" s="45">
        <f t="shared" ref="H122:H132" si="82">F122*G122</f>
        <v>105664.67</v>
      </c>
      <c r="I122" s="455"/>
      <c r="J122" s="46">
        <v>19</v>
      </c>
      <c r="K122" s="44">
        <v>1440</v>
      </c>
      <c r="L122" s="47">
        <v>75.78947368421052</v>
      </c>
      <c r="M122" s="453">
        <v>19</v>
      </c>
      <c r="N122" s="174">
        <f t="shared" ref="N122:N130" si="83">G122/W122*60</f>
        <v>1334.0740740740735</v>
      </c>
      <c r="O122" s="237">
        <f t="shared" ref="O122:O130" si="84">N122/M122</f>
        <v>70.21442495126702</v>
      </c>
      <c r="P122" s="108">
        <f t="shared" si="79"/>
        <v>0</v>
      </c>
      <c r="Q122" s="182">
        <f t="shared" si="80"/>
        <v>-5.5750487329435003</v>
      </c>
      <c r="R122" s="109">
        <f t="shared" si="81"/>
        <v>0.9264403292181066</v>
      </c>
      <c r="S122" s="688">
        <f>R134</f>
        <v>0.90015424982523995</v>
      </c>
      <c r="T122" s="50">
        <v>0.5</v>
      </c>
      <c r="U122" s="50">
        <v>0.55625000000000002</v>
      </c>
      <c r="V122" s="227">
        <v>5</v>
      </c>
      <c r="W122" s="452">
        <f t="shared" si="70"/>
        <v>81.000000000000028</v>
      </c>
      <c r="X122" s="53"/>
      <c r="Y122" s="53"/>
      <c r="Z122" s="54"/>
      <c r="AA122" s="54"/>
      <c r="AB122" s="673"/>
      <c r="AC122" s="673"/>
      <c r="AD122" s="469"/>
      <c r="AE122" s="469"/>
      <c r="AF122" s="48">
        <f t="shared" si="61"/>
        <v>-105.92592592592655</v>
      </c>
      <c r="AG122" s="459">
        <f t="shared" si="62"/>
        <v>0.9264403292181066</v>
      </c>
      <c r="AH122" s="687">
        <f>AG134</f>
        <v>0.90729944048056743</v>
      </c>
    </row>
    <row r="123" spans="1:34" ht="19.2" customHeight="1">
      <c r="A123" s="694"/>
      <c r="B123" s="130" t="s">
        <v>123</v>
      </c>
      <c r="C123" s="97"/>
      <c r="D123" s="42" t="s">
        <v>78</v>
      </c>
      <c r="E123" s="177"/>
      <c r="F123" s="343">
        <v>59.52</v>
      </c>
      <c r="G123" s="44">
        <v>1799</v>
      </c>
      <c r="H123" s="45">
        <f t="shared" si="82"/>
        <v>107076.48000000001</v>
      </c>
      <c r="I123" s="469"/>
      <c r="J123" s="46">
        <v>21</v>
      </c>
      <c r="K123" s="44">
        <v>1385</v>
      </c>
      <c r="L123" s="47">
        <v>65.952380952380949</v>
      </c>
      <c r="M123" s="458">
        <v>21</v>
      </c>
      <c r="N123" s="57">
        <f t="shared" si="83"/>
        <v>1269.8823529411761</v>
      </c>
      <c r="O123" s="86">
        <f t="shared" si="84"/>
        <v>60.470588235294102</v>
      </c>
      <c r="P123" s="54">
        <f t="shared" si="79"/>
        <v>0</v>
      </c>
      <c r="Q123" s="88">
        <f t="shared" si="80"/>
        <v>-5.4817927170868472</v>
      </c>
      <c r="R123" s="462">
        <f t="shared" si="81"/>
        <v>0.91688256530048828</v>
      </c>
      <c r="S123" s="688"/>
      <c r="T123" s="50">
        <v>0.56111111111111112</v>
      </c>
      <c r="U123" s="50">
        <v>0.62013888888888891</v>
      </c>
      <c r="V123" s="227">
        <v>7</v>
      </c>
      <c r="W123" s="452">
        <f t="shared" si="70"/>
        <v>85.000000000000014</v>
      </c>
      <c r="X123" s="53"/>
      <c r="Y123" s="53"/>
      <c r="Z123" s="54"/>
      <c r="AA123" s="54"/>
      <c r="AB123" s="673"/>
      <c r="AC123" s="673"/>
      <c r="AD123" s="469"/>
      <c r="AE123" s="469"/>
      <c r="AF123" s="48">
        <f t="shared" si="61"/>
        <v>-115.11764705882388</v>
      </c>
      <c r="AG123" s="459">
        <f t="shared" si="62"/>
        <v>0.91688256530048817</v>
      </c>
      <c r="AH123" s="688"/>
    </row>
    <row r="124" spans="1:34" ht="19.2" customHeight="1">
      <c r="A124" s="694"/>
      <c r="B124" s="130" t="s">
        <v>123</v>
      </c>
      <c r="C124" s="175"/>
      <c r="D124" s="176" t="s">
        <v>213</v>
      </c>
      <c r="E124" s="177"/>
      <c r="F124" s="343">
        <v>63.92</v>
      </c>
      <c r="G124" s="174">
        <v>1869</v>
      </c>
      <c r="H124" s="45">
        <f t="shared" si="82"/>
        <v>119466.48</v>
      </c>
      <c r="I124" s="238"/>
      <c r="J124" s="46">
        <v>19</v>
      </c>
      <c r="K124" s="44">
        <v>1440</v>
      </c>
      <c r="L124" s="47">
        <v>75.78947368421052</v>
      </c>
      <c r="M124" s="453">
        <v>19</v>
      </c>
      <c r="N124" s="174">
        <f t="shared" si="83"/>
        <v>1334.9999999999995</v>
      </c>
      <c r="O124" s="237">
        <f t="shared" si="84"/>
        <v>70.263157894736821</v>
      </c>
      <c r="P124" s="108">
        <f t="shared" si="79"/>
        <v>0</v>
      </c>
      <c r="Q124" s="182">
        <f t="shared" si="80"/>
        <v>-5.5263157894736992</v>
      </c>
      <c r="R124" s="109">
        <f t="shared" si="81"/>
        <v>0.92708333333333315</v>
      </c>
      <c r="S124" s="695"/>
      <c r="T124" s="50">
        <v>0.63611111111111107</v>
      </c>
      <c r="U124" s="50">
        <v>0.69444444444444442</v>
      </c>
      <c r="V124" s="227">
        <v>23</v>
      </c>
      <c r="W124" s="452">
        <f t="shared" si="70"/>
        <v>84.000000000000028</v>
      </c>
      <c r="X124" s="188">
        <v>0.625</v>
      </c>
      <c r="Y124" s="188">
        <v>0.63541666666666663</v>
      </c>
      <c r="Z124" s="54"/>
      <c r="AA124" s="54"/>
      <c r="AB124" s="673"/>
      <c r="AC124" s="673"/>
      <c r="AD124" s="469">
        <v>1</v>
      </c>
      <c r="AE124" s="469"/>
      <c r="AF124" s="108">
        <f t="shared" si="61"/>
        <v>-105.00000000000045</v>
      </c>
      <c r="AG124" s="109">
        <f t="shared" si="62"/>
        <v>0.92708333333333304</v>
      </c>
      <c r="AH124" s="688"/>
    </row>
    <row r="125" spans="1:34" ht="19.2" customHeight="1">
      <c r="A125" s="694"/>
      <c r="B125" s="130" t="s">
        <v>127</v>
      </c>
      <c r="C125" s="97"/>
      <c r="D125" s="42" t="s">
        <v>80</v>
      </c>
      <c r="E125" s="43"/>
      <c r="F125" s="343">
        <v>56.79</v>
      </c>
      <c r="G125" s="44">
        <v>1157</v>
      </c>
      <c r="H125" s="45">
        <f t="shared" si="82"/>
        <v>65706.03</v>
      </c>
      <c r="I125" s="455"/>
      <c r="J125" s="46">
        <v>18</v>
      </c>
      <c r="K125" s="44">
        <v>1636</v>
      </c>
      <c r="L125" s="47">
        <v>90.888888888888886</v>
      </c>
      <c r="M125" s="453">
        <v>18</v>
      </c>
      <c r="N125" s="174">
        <f t="shared" si="83"/>
        <v>1446.2500000000005</v>
      </c>
      <c r="O125" s="237">
        <f t="shared" si="84"/>
        <v>80.347222222222243</v>
      </c>
      <c r="P125" s="108">
        <f t="shared" si="79"/>
        <v>0</v>
      </c>
      <c r="Q125" s="182">
        <f t="shared" si="80"/>
        <v>-10.541666666666643</v>
      </c>
      <c r="R125" s="109">
        <f t="shared" si="81"/>
        <v>0.88401589242053813</v>
      </c>
      <c r="S125" s="695"/>
      <c r="T125" s="50">
        <v>0.73472222222222217</v>
      </c>
      <c r="U125" s="50">
        <v>0.76805555555555549</v>
      </c>
      <c r="V125" s="227">
        <v>5</v>
      </c>
      <c r="W125" s="452">
        <f t="shared" si="70"/>
        <v>47.999999999999986</v>
      </c>
      <c r="X125" s="64"/>
      <c r="Y125" s="64"/>
      <c r="Z125" s="54"/>
      <c r="AA125" s="54"/>
      <c r="AB125" s="673"/>
      <c r="AC125" s="673"/>
      <c r="AD125" s="469"/>
      <c r="AE125" s="469"/>
      <c r="AF125" s="48">
        <f t="shared" si="61"/>
        <v>-189.74999999999955</v>
      </c>
      <c r="AG125" s="459">
        <f t="shared" si="62"/>
        <v>0.88401589242053813</v>
      </c>
      <c r="AH125" s="689"/>
    </row>
    <row r="126" spans="1:34" ht="19.2" customHeight="1">
      <c r="A126" s="694"/>
      <c r="B126" s="130" t="s">
        <v>127</v>
      </c>
      <c r="C126" s="469"/>
      <c r="D126" s="391" t="s">
        <v>81</v>
      </c>
      <c r="E126" s="177"/>
      <c r="F126" s="343">
        <v>56.87</v>
      </c>
      <c r="G126" s="57">
        <v>936</v>
      </c>
      <c r="H126" s="45">
        <f t="shared" si="82"/>
        <v>53230.32</v>
      </c>
      <c r="I126" s="469"/>
      <c r="J126" s="46">
        <v>18</v>
      </c>
      <c r="K126" s="44">
        <v>1636</v>
      </c>
      <c r="L126" s="47">
        <v>90.888888888888886</v>
      </c>
      <c r="M126" s="458">
        <v>18</v>
      </c>
      <c r="N126" s="57">
        <f t="shared" si="83"/>
        <v>1403.9999999999995</v>
      </c>
      <c r="O126" s="86">
        <f t="shared" si="84"/>
        <v>77.999999999999972</v>
      </c>
      <c r="P126" s="54">
        <f t="shared" si="79"/>
        <v>0</v>
      </c>
      <c r="Q126" s="88">
        <f t="shared" si="80"/>
        <v>-12.888888888888914</v>
      </c>
      <c r="R126" s="462">
        <f t="shared" si="81"/>
        <v>0.85819070904645445</v>
      </c>
      <c r="S126" s="695"/>
      <c r="T126" s="50">
        <v>0.77291666666666659</v>
      </c>
      <c r="U126" s="50">
        <v>0.80069444444444438</v>
      </c>
      <c r="V126" s="227">
        <v>7</v>
      </c>
      <c r="W126" s="452">
        <f t="shared" si="70"/>
        <v>40.000000000000014</v>
      </c>
      <c r="X126" s="64"/>
      <c r="Y126" s="64"/>
      <c r="Z126" s="54"/>
      <c r="AA126" s="54"/>
      <c r="AB126" s="673"/>
      <c r="AC126" s="673"/>
      <c r="AD126" s="469"/>
      <c r="AE126" s="469"/>
      <c r="AF126" s="108">
        <f t="shared" si="61"/>
        <v>-232.00000000000045</v>
      </c>
      <c r="AG126" s="109">
        <f t="shared" si="62"/>
        <v>0.85819070904645445</v>
      </c>
      <c r="AH126" s="689"/>
    </row>
    <row r="127" spans="1:34" ht="19.2" customHeight="1">
      <c r="A127" s="694"/>
      <c r="B127" s="130" t="s">
        <v>127</v>
      </c>
      <c r="C127" s="223"/>
      <c r="D127" s="392" t="s">
        <v>82</v>
      </c>
      <c r="E127" s="83"/>
      <c r="F127" s="343">
        <v>47.6</v>
      </c>
      <c r="G127" s="209">
        <v>1146</v>
      </c>
      <c r="H127" s="45">
        <f t="shared" si="82"/>
        <v>54549.599999999999</v>
      </c>
      <c r="I127" s="221"/>
      <c r="J127" s="46">
        <v>19</v>
      </c>
      <c r="K127" s="44">
        <v>1440</v>
      </c>
      <c r="L127" s="47">
        <v>75.78947368421052</v>
      </c>
      <c r="M127" s="453">
        <v>19</v>
      </c>
      <c r="N127" s="57">
        <f t="shared" si="83"/>
        <v>1348.2352941176475</v>
      </c>
      <c r="O127" s="86">
        <f t="shared" si="84"/>
        <v>70.959752321981455</v>
      </c>
      <c r="P127" s="54">
        <f t="shared" si="79"/>
        <v>0</v>
      </c>
      <c r="Q127" s="88">
        <f t="shared" si="80"/>
        <v>-4.8297213622290656</v>
      </c>
      <c r="R127" s="462">
        <f t="shared" si="81"/>
        <v>0.93627450980392202</v>
      </c>
      <c r="S127" s="695"/>
      <c r="T127" s="50">
        <v>0.80486111111111103</v>
      </c>
      <c r="U127" s="50">
        <v>0.84027777777777768</v>
      </c>
      <c r="V127" s="455">
        <v>6</v>
      </c>
      <c r="W127" s="452">
        <f t="shared" si="70"/>
        <v>50.999999999999979</v>
      </c>
      <c r="X127" s="64"/>
      <c r="Y127" s="64"/>
      <c r="Z127" s="54"/>
      <c r="AA127" s="54"/>
      <c r="AB127" s="673"/>
      <c r="AC127" s="673"/>
      <c r="AD127" s="469"/>
      <c r="AE127" s="469"/>
      <c r="AF127" s="108">
        <f t="shared" si="61"/>
        <v>-91.764705882352473</v>
      </c>
      <c r="AG127" s="109">
        <f t="shared" si="62"/>
        <v>0.93627450980392191</v>
      </c>
      <c r="AH127" s="689"/>
    </row>
    <row r="128" spans="1:34" ht="19.2" customHeight="1">
      <c r="A128" s="694"/>
      <c r="B128" s="130" t="s">
        <v>123</v>
      </c>
      <c r="C128" s="157"/>
      <c r="D128" s="59" t="s">
        <v>213</v>
      </c>
      <c r="E128" s="83"/>
      <c r="F128" s="343">
        <v>63.92</v>
      </c>
      <c r="G128" s="57">
        <v>231</v>
      </c>
      <c r="H128" s="45">
        <f t="shared" si="82"/>
        <v>14765.52</v>
      </c>
      <c r="I128" s="469">
        <v>1</v>
      </c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3"/>
        <v>1260.0000000000045</v>
      </c>
      <c r="O128" s="86">
        <f t="shared" si="84"/>
        <v>66.315789473684447</v>
      </c>
      <c r="P128" s="54">
        <f t="shared" si="79"/>
        <v>0</v>
      </c>
      <c r="Q128" s="88">
        <f t="shared" si="80"/>
        <v>-9.4736842105260735</v>
      </c>
      <c r="R128" s="462">
        <f t="shared" si="81"/>
        <v>0.87500000000000322</v>
      </c>
      <c r="S128" s="695"/>
      <c r="T128" s="50">
        <v>0.8555555555555554</v>
      </c>
      <c r="U128" s="50">
        <v>0.86319444444444426</v>
      </c>
      <c r="V128" s="455">
        <v>22</v>
      </c>
      <c r="W128" s="452">
        <f t="shared" si="70"/>
        <v>10.999999999999961</v>
      </c>
      <c r="X128" s="64">
        <v>0.84444444444444444</v>
      </c>
      <c r="Y128" s="64">
        <v>0.85416666666666663</v>
      </c>
      <c r="Z128" s="54"/>
      <c r="AA128" s="54"/>
      <c r="AB128" s="673"/>
      <c r="AC128" s="673"/>
      <c r="AD128" s="469"/>
      <c r="AE128" s="469"/>
      <c r="AF128" s="48">
        <f t="shared" si="61"/>
        <v>-179.99999999999545</v>
      </c>
      <c r="AG128" s="459">
        <f t="shared" si="62"/>
        <v>0.87500000000000311</v>
      </c>
      <c r="AH128" s="689"/>
    </row>
    <row r="129" spans="1:34" ht="19.2" customHeight="1">
      <c r="A129" s="694"/>
      <c r="B129" s="130" t="s">
        <v>127</v>
      </c>
      <c r="C129" s="157"/>
      <c r="D129" s="59" t="s">
        <v>136</v>
      </c>
      <c r="E129" s="60"/>
      <c r="F129" s="343">
        <v>50.67</v>
      </c>
      <c r="G129" s="57">
        <v>1048</v>
      </c>
      <c r="H129" s="45">
        <f t="shared" si="82"/>
        <v>53102.16</v>
      </c>
      <c r="I129" s="469"/>
      <c r="J129" s="46">
        <v>18</v>
      </c>
      <c r="K129" s="44">
        <v>1500</v>
      </c>
      <c r="L129" s="47">
        <v>83.333333333333329</v>
      </c>
      <c r="M129" s="87">
        <v>18</v>
      </c>
      <c r="N129" s="57">
        <f t="shared" si="83"/>
        <v>1397.3333333333333</v>
      </c>
      <c r="O129" s="86">
        <f t="shared" si="84"/>
        <v>77.629629629629619</v>
      </c>
      <c r="P129" s="54">
        <f t="shared" si="79"/>
        <v>0</v>
      </c>
      <c r="Q129" s="88">
        <f t="shared" si="80"/>
        <v>-5.7037037037037095</v>
      </c>
      <c r="R129" s="462">
        <f t="shared" si="81"/>
        <v>0.93155555555555547</v>
      </c>
      <c r="S129" s="695"/>
      <c r="T129" s="50">
        <v>0.86805555555555536</v>
      </c>
      <c r="U129" s="50">
        <v>0.89930555555555536</v>
      </c>
      <c r="V129" s="455">
        <v>7</v>
      </c>
      <c r="W129" s="452">
        <f t="shared" si="70"/>
        <v>45</v>
      </c>
      <c r="X129" s="64"/>
      <c r="Y129" s="64"/>
      <c r="Z129" s="54"/>
      <c r="AA129" s="54"/>
      <c r="AB129" s="673"/>
      <c r="AC129" s="673"/>
      <c r="AD129" s="469"/>
      <c r="AE129" s="469"/>
      <c r="AF129" s="108">
        <f t="shared" si="61"/>
        <v>-102.66666666666674</v>
      </c>
      <c r="AG129" s="109">
        <f t="shared" si="62"/>
        <v>0.93155555555555547</v>
      </c>
      <c r="AH129" s="689"/>
    </row>
    <row r="130" spans="1:34" ht="19.2" customHeight="1">
      <c r="A130" s="694"/>
      <c r="B130" s="200" t="s">
        <v>127</v>
      </c>
      <c r="C130" s="157"/>
      <c r="D130" s="59" t="s">
        <v>197</v>
      </c>
      <c r="E130" s="60"/>
      <c r="F130" s="343">
        <v>56.43</v>
      </c>
      <c r="G130" s="57">
        <v>896</v>
      </c>
      <c r="H130" s="45">
        <f t="shared" si="82"/>
        <v>50561.279999999999</v>
      </c>
      <c r="I130" s="469"/>
      <c r="J130" s="46">
        <v>16</v>
      </c>
      <c r="K130" s="44">
        <v>1500</v>
      </c>
      <c r="L130" s="47">
        <v>93.75</v>
      </c>
      <c r="M130" s="458">
        <v>17</v>
      </c>
      <c r="N130" s="57">
        <f t="shared" si="83"/>
        <v>1378.4615384615377</v>
      </c>
      <c r="O130" s="86">
        <f t="shared" si="84"/>
        <v>81.085972850678687</v>
      </c>
      <c r="P130" s="54">
        <f t="shared" si="79"/>
        <v>1</v>
      </c>
      <c r="Q130" s="88">
        <f t="shared" si="80"/>
        <v>-12.664027149321313</v>
      </c>
      <c r="R130" s="462">
        <f t="shared" si="81"/>
        <v>0.86491704374057266</v>
      </c>
      <c r="S130" s="695"/>
      <c r="T130" s="50">
        <v>0.90416666666666645</v>
      </c>
      <c r="U130" s="50">
        <v>0.9312499999999998</v>
      </c>
      <c r="V130" s="455">
        <v>7</v>
      </c>
      <c r="W130" s="452">
        <f t="shared" si="70"/>
        <v>39.000000000000021</v>
      </c>
      <c r="X130" s="64"/>
      <c r="Y130" s="64"/>
      <c r="Z130" s="54"/>
      <c r="AA130" s="54"/>
      <c r="AB130" s="673"/>
      <c r="AC130" s="673"/>
      <c r="AD130" s="469"/>
      <c r="AE130" s="469"/>
      <c r="AF130" s="108">
        <f t="shared" si="61"/>
        <v>-121.53846153846234</v>
      </c>
      <c r="AG130" s="109">
        <f t="shared" si="62"/>
        <v>0.91897435897435842</v>
      </c>
      <c r="AH130" s="689"/>
    </row>
    <row r="131" spans="1:34" ht="19.2" customHeight="1">
      <c r="A131" s="694"/>
      <c r="B131" s="200">
        <v>0</v>
      </c>
      <c r="C131" s="157"/>
      <c r="D131" s="59"/>
      <c r="E131" s="83"/>
      <c r="F131" s="343" t="s">
        <v>128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62"/>
      <c r="S131" s="695"/>
      <c r="T131" s="50"/>
      <c r="U131" s="50"/>
      <c r="V131" s="455"/>
      <c r="W131" s="452">
        <f t="shared" si="70"/>
        <v>0</v>
      </c>
      <c r="X131" s="64"/>
      <c r="Y131" s="64"/>
      <c r="Z131" s="54"/>
      <c r="AA131" s="54"/>
      <c r="AB131" s="673"/>
      <c r="AC131" s="673"/>
      <c r="AD131" s="469"/>
      <c r="AE131" s="469"/>
      <c r="AF131" s="48">
        <f t="shared" si="61"/>
        <v>0</v>
      </c>
      <c r="AG131" s="459" t="e">
        <f t="shared" si="62"/>
        <v>#DIV/0!</v>
      </c>
      <c r="AH131" s="689"/>
    </row>
    <row r="132" spans="1:34" ht="19.2" customHeight="1">
      <c r="A132" s="694"/>
      <c r="B132" s="200">
        <v>0</v>
      </c>
      <c r="C132" s="157"/>
      <c r="D132" s="59"/>
      <c r="E132" s="60"/>
      <c r="F132" s="343" t="s">
        <v>128</v>
      </c>
      <c r="G132" s="57"/>
      <c r="H132" s="45">
        <f t="shared" si="82"/>
        <v>0</v>
      </c>
      <c r="I132" s="469"/>
      <c r="J132" s="87"/>
      <c r="K132" s="57"/>
      <c r="L132" s="86"/>
      <c r="M132" s="458"/>
      <c r="N132" s="57"/>
      <c r="O132" s="86"/>
      <c r="P132" s="54"/>
      <c r="Q132" s="88"/>
      <c r="R132" s="462"/>
      <c r="S132" s="695"/>
      <c r="T132" s="50"/>
      <c r="U132" s="50"/>
      <c r="V132" s="455"/>
      <c r="W132" s="452">
        <f t="shared" si="70"/>
        <v>0</v>
      </c>
      <c r="X132" s="64"/>
      <c r="Y132" s="64"/>
      <c r="Z132" s="54"/>
      <c r="AA132" s="54"/>
      <c r="AB132" s="673"/>
      <c r="AC132" s="673"/>
      <c r="AD132" s="469"/>
      <c r="AE132" s="469"/>
      <c r="AF132" s="65"/>
      <c r="AG132" s="460"/>
      <c r="AH132" s="689"/>
    </row>
    <row r="133" spans="1:34" ht="19.2" customHeight="1">
      <c r="A133" s="694"/>
      <c r="B133" s="200">
        <v>0</v>
      </c>
      <c r="C133" s="157"/>
      <c r="D133" s="59"/>
      <c r="E133" s="60"/>
      <c r="F133" s="356" t="s">
        <v>128</v>
      </c>
      <c r="G133" s="57"/>
      <c r="H133" s="240">
        <f>F133*G133</f>
        <v>0</v>
      </c>
      <c r="I133" s="469"/>
      <c r="J133" s="87"/>
      <c r="K133" s="57"/>
      <c r="L133" s="86"/>
      <c r="M133" s="458"/>
      <c r="N133" s="57"/>
      <c r="O133" s="86"/>
      <c r="P133" s="54"/>
      <c r="Q133" s="88"/>
      <c r="R133" s="462"/>
      <c r="S133" s="695"/>
      <c r="T133" s="50"/>
      <c r="U133" s="50"/>
      <c r="V133" s="455"/>
      <c r="W133" s="239">
        <f t="shared" si="70"/>
        <v>0</v>
      </c>
      <c r="X133" s="64"/>
      <c r="Y133" s="64"/>
      <c r="Z133" s="54"/>
      <c r="AA133" s="54"/>
      <c r="AB133" s="673"/>
      <c r="AC133" s="673"/>
      <c r="AD133" s="469"/>
      <c r="AE133" s="469"/>
      <c r="AF133" s="65"/>
      <c r="AG133" s="460"/>
      <c r="AH133" s="689"/>
    </row>
    <row r="134" spans="1:34" ht="19.2" customHeight="1">
      <c r="A134" s="694"/>
      <c r="B134" s="168">
        <v>0</v>
      </c>
      <c r="C134" s="100" t="s">
        <v>423</v>
      </c>
      <c r="D134" s="669" t="s">
        <v>353</v>
      </c>
      <c r="E134" s="669"/>
      <c r="F134" s="353"/>
      <c r="G134" s="101"/>
      <c r="H134" s="102"/>
      <c r="I134" s="241"/>
      <c r="J134" s="242">
        <v>18.555555555555557</v>
      </c>
      <c r="K134" s="242">
        <v>1490.7777777777778</v>
      </c>
      <c r="L134" s="243">
        <v>80.88570964448158</v>
      </c>
      <c r="M134" s="242">
        <f t="shared" ref="M134:O134" si="85">AVERAGE(M122:M133)</f>
        <v>18.666666666666668</v>
      </c>
      <c r="N134" s="242">
        <f t="shared" si="85"/>
        <v>1352.5818436586414</v>
      </c>
      <c r="O134" s="243">
        <f t="shared" si="85"/>
        <v>72.809615286610494</v>
      </c>
      <c r="P134" s="51">
        <f t="shared" ref="P134:P143" si="86">M134-J134</f>
        <v>0.11111111111111072</v>
      </c>
      <c r="Q134" s="139">
        <f t="shared" ref="Q134:Q143" si="87">O134-L134</f>
        <v>-8.0760943578710851</v>
      </c>
      <c r="R134" s="244">
        <f t="shared" ref="R134:R143" si="88">O134/L134</f>
        <v>0.90015424982523995</v>
      </c>
      <c r="S134" s="688"/>
      <c r="T134" s="50"/>
      <c r="U134" s="50"/>
      <c r="V134" s="455"/>
      <c r="W134" s="455"/>
      <c r="X134" s="53"/>
      <c r="Y134" s="53"/>
      <c r="Z134" s="106">
        <f>SUM(Z122:Z133)</f>
        <v>0</v>
      </c>
      <c r="AA134" s="106">
        <f>SUM(AA122:AA133)</f>
        <v>0</v>
      </c>
      <c r="AB134" s="673"/>
      <c r="AC134" s="673"/>
      <c r="AD134" s="107">
        <f>SUM(AD122:AD133)</f>
        <v>1</v>
      </c>
      <c r="AE134" s="107">
        <f>SUM(AE122:AE133)</f>
        <v>0</v>
      </c>
      <c r="AF134" s="48">
        <f t="shared" si="61"/>
        <v>-138.19593411913638</v>
      </c>
      <c r="AG134" s="459">
        <f t="shared" si="62"/>
        <v>0.90729944048056743</v>
      </c>
      <c r="AH134" s="689"/>
    </row>
    <row r="135" spans="1:34" ht="19.2" customHeight="1">
      <c r="A135" s="675" t="s">
        <v>424</v>
      </c>
      <c r="B135" s="455" t="s">
        <v>127</v>
      </c>
      <c r="C135" s="469"/>
      <c r="D135" s="82" t="s">
        <v>138</v>
      </c>
      <c r="E135" s="83"/>
      <c r="F135" s="343">
        <v>54.09</v>
      </c>
      <c r="G135" s="57">
        <v>1944</v>
      </c>
      <c r="H135" s="245">
        <f t="shared" ref="H135:H146" si="89">F135*G135</f>
        <v>105150.96</v>
      </c>
      <c r="I135" s="469"/>
      <c r="J135" s="46">
        <v>16</v>
      </c>
      <c r="K135" s="57">
        <v>1500</v>
      </c>
      <c r="L135" s="86">
        <v>93.75</v>
      </c>
      <c r="M135" s="228">
        <v>17</v>
      </c>
      <c r="N135" s="57">
        <f t="shared" ref="N135:N143" si="90">G135/W135*60</f>
        <v>1422.4390243902435</v>
      </c>
      <c r="O135" s="115">
        <f t="shared" ref="O135:O143" si="91">N135/M135</f>
        <v>83.672883787661377</v>
      </c>
      <c r="P135" s="54">
        <f t="shared" si="86"/>
        <v>1</v>
      </c>
      <c r="Q135" s="88">
        <f t="shared" si="87"/>
        <v>-10.077116212338623</v>
      </c>
      <c r="R135" s="462">
        <f t="shared" si="88"/>
        <v>0.89251076040172139</v>
      </c>
      <c r="S135" s="679">
        <f>R147</f>
        <v>0.91055039460673914</v>
      </c>
      <c r="T135" s="246">
        <v>0.5</v>
      </c>
      <c r="U135" s="50">
        <v>0.55694444444444446</v>
      </c>
      <c r="V135" s="142">
        <v>5</v>
      </c>
      <c r="W135" s="247">
        <f t="shared" ref="W135:W147" si="92">(U135-T135)*24*60</f>
        <v>82.000000000000028</v>
      </c>
      <c r="X135" s="53"/>
      <c r="Y135" s="53"/>
      <c r="Z135" s="54"/>
      <c r="AA135" s="54"/>
      <c r="AB135" s="673"/>
      <c r="AC135" s="673"/>
      <c r="AD135" s="469"/>
      <c r="AE135" s="469"/>
      <c r="AF135" s="116">
        <f t="shared" si="61"/>
        <v>-77.560975609756497</v>
      </c>
      <c r="AG135" s="120">
        <f t="shared" si="62"/>
        <v>0.948292682926829</v>
      </c>
      <c r="AH135" s="672">
        <f>AG147</f>
        <v>0.92525548266132229</v>
      </c>
    </row>
    <row r="136" spans="1:34" ht="19.2" customHeight="1">
      <c r="A136" s="676"/>
      <c r="B136" s="455" t="s">
        <v>127</v>
      </c>
      <c r="C136" s="469"/>
      <c r="D136" s="82" t="s">
        <v>191</v>
      </c>
      <c r="E136" s="83"/>
      <c r="F136" s="343">
        <v>53.27</v>
      </c>
      <c r="G136" s="57">
        <v>960.80000000000007</v>
      </c>
      <c r="H136" s="84">
        <f t="shared" si="89"/>
        <v>51181.816000000006</v>
      </c>
      <c r="I136" s="469"/>
      <c r="J136" s="46">
        <v>16</v>
      </c>
      <c r="K136" s="57">
        <v>1500</v>
      </c>
      <c r="L136" s="86">
        <v>93.75</v>
      </c>
      <c r="M136" s="458">
        <v>16</v>
      </c>
      <c r="N136" s="57">
        <f t="shared" si="90"/>
        <v>1406.0487804878044</v>
      </c>
      <c r="O136" s="86">
        <f t="shared" si="91"/>
        <v>87.878048780487774</v>
      </c>
      <c r="P136" s="54">
        <f t="shared" si="86"/>
        <v>0</v>
      </c>
      <c r="Q136" s="88">
        <f t="shared" si="87"/>
        <v>-5.8719512195122263</v>
      </c>
      <c r="R136" s="462">
        <f t="shared" si="88"/>
        <v>0.93736585365853631</v>
      </c>
      <c r="S136" s="679"/>
      <c r="T136" s="246">
        <v>0.56180555555555556</v>
      </c>
      <c r="U136" s="50">
        <v>0.59027777777777779</v>
      </c>
      <c r="V136" s="142">
        <v>7</v>
      </c>
      <c r="W136" s="247">
        <f t="shared" si="92"/>
        <v>41.000000000000014</v>
      </c>
      <c r="X136" s="53"/>
      <c r="Y136" s="53"/>
      <c r="Z136" s="54"/>
      <c r="AA136" s="54"/>
      <c r="AB136" s="673"/>
      <c r="AC136" s="673"/>
      <c r="AD136" s="469"/>
      <c r="AE136" s="469"/>
      <c r="AF136" s="48">
        <f t="shared" si="61"/>
        <v>-93.951219512195621</v>
      </c>
      <c r="AG136" s="125">
        <f t="shared" si="62"/>
        <v>0.93736585365853631</v>
      </c>
      <c r="AH136" s="672"/>
    </row>
    <row r="137" spans="1:34" ht="19.2" customHeight="1">
      <c r="A137" s="676"/>
      <c r="B137" s="455" t="s">
        <v>127</v>
      </c>
      <c r="C137" s="469"/>
      <c r="D137" s="82" t="s">
        <v>75</v>
      </c>
      <c r="E137" s="83"/>
      <c r="F137" s="343">
        <v>57.734999999999999</v>
      </c>
      <c r="G137" s="209">
        <v>1490</v>
      </c>
      <c r="H137" s="84">
        <f t="shared" si="89"/>
        <v>86025.15</v>
      </c>
      <c r="I137" s="221"/>
      <c r="J137" s="46">
        <v>16</v>
      </c>
      <c r="K137" s="44">
        <v>1565</v>
      </c>
      <c r="L137" s="47">
        <v>97.8125</v>
      </c>
      <c r="M137" s="87">
        <v>16</v>
      </c>
      <c r="N137" s="57">
        <f t="shared" si="90"/>
        <v>1375.3846153846168</v>
      </c>
      <c r="O137" s="86">
        <f t="shared" si="91"/>
        <v>85.961538461538552</v>
      </c>
      <c r="P137" s="54">
        <f t="shared" si="86"/>
        <v>0</v>
      </c>
      <c r="Q137" s="88">
        <f t="shared" si="87"/>
        <v>-11.850961538461448</v>
      </c>
      <c r="R137" s="462">
        <f t="shared" si="88"/>
        <v>0.87884000983042609</v>
      </c>
      <c r="S137" s="679"/>
      <c r="T137" s="50">
        <v>0.60555555555555551</v>
      </c>
      <c r="U137" s="50">
        <v>0.65069444444444435</v>
      </c>
      <c r="V137" s="249">
        <v>22</v>
      </c>
      <c r="W137" s="247">
        <f t="shared" si="92"/>
        <v>64.999999999999929</v>
      </c>
      <c r="X137" s="53">
        <v>0.59444444444444444</v>
      </c>
      <c r="Y137" s="53">
        <v>0.60416666666666663</v>
      </c>
      <c r="Z137" s="54"/>
      <c r="AA137" s="54"/>
      <c r="AB137" s="673"/>
      <c r="AC137" s="673"/>
      <c r="AD137" s="469"/>
      <c r="AE137" s="469"/>
      <c r="AF137" s="48">
        <f t="shared" si="61"/>
        <v>-189.61538461538316</v>
      </c>
      <c r="AG137" s="125">
        <f t="shared" si="62"/>
        <v>0.87884000983042609</v>
      </c>
      <c r="AH137" s="672"/>
    </row>
    <row r="138" spans="1:34" ht="19.2" customHeight="1">
      <c r="A138" s="676"/>
      <c r="B138" s="455" t="s">
        <v>127</v>
      </c>
      <c r="C138" s="223"/>
      <c r="D138" s="82" t="s">
        <v>169</v>
      </c>
      <c r="E138" s="83"/>
      <c r="F138" s="343">
        <v>50.67</v>
      </c>
      <c r="G138" s="57">
        <v>1201</v>
      </c>
      <c r="H138" s="84">
        <f t="shared" si="89"/>
        <v>60854.670000000006</v>
      </c>
      <c r="I138" s="469"/>
      <c r="J138" s="87">
        <v>18</v>
      </c>
      <c r="K138" s="57">
        <v>1500</v>
      </c>
      <c r="L138" s="86">
        <v>83.333333333333329</v>
      </c>
      <c r="M138" s="228">
        <v>18</v>
      </c>
      <c r="N138" s="57">
        <f t="shared" si="90"/>
        <v>1412.9411764705887</v>
      </c>
      <c r="O138" s="86">
        <f t="shared" si="91"/>
        <v>78.496732026143818</v>
      </c>
      <c r="P138" s="54">
        <f t="shared" si="86"/>
        <v>0</v>
      </c>
      <c r="Q138" s="88">
        <f t="shared" si="87"/>
        <v>-4.8366013071895111</v>
      </c>
      <c r="R138" s="468">
        <f t="shared" si="88"/>
        <v>0.94196078431372587</v>
      </c>
      <c r="S138" s="679"/>
      <c r="T138" s="50">
        <v>0.65555555555555545</v>
      </c>
      <c r="U138" s="50">
        <v>0.6909722222222221</v>
      </c>
      <c r="V138" s="249">
        <v>7</v>
      </c>
      <c r="W138" s="247">
        <f t="shared" si="92"/>
        <v>50.999999999999979</v>
      </c>
      <c r="X138" s="53"/>
      <c r="Y138" s="53"/>
      <c r="Z138" s="54"/>
      <c r="AA138" s="54"/>
      <c r="AB138" s="673"/>
      <c r="AC138" s="673"/>
      <c r="AD138" s="469"/>
      <c r="AE138" s="469">
        <v>1</v>
      </c>
      <c r="AF138" s="48">
        <f t="shared" si="61"/>
        <v>-87.058823529411256</v>
      </c>
      <c r="AG138" s="125">
        <f t="shared" si="62"/>
        <v>0.94196078431372587</v>
      </c>
      <c r="AH138" s="672"/>
    </row>
    <row r="139" spans="1:34" ht="19.2" customHeight="1">
      <c r="A139" s="676"/>
      <c r="B139" s="455" t="s">
        <v>127</v>
      </c>
      <c r="C139" s="465"/>
      <c r="D139" s="42" t="s">
        <v>84</v>
      </c>
      <c r="E139" s="43"/>
      <c r="F139" s="343">
        <v>50.98</v>
      </c>
      <c r="G139" s="57">
        <v>1203</v>
      </c>
      <c r="H139" s="84">
        <f t="shared" si="89"/>
        <v>61328.939999999995</v>
      </c>
      <c r="I139" s="469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1336.6666666666674</v>
      </c>
      <c r="O139" s="86">
        <f t="shared" si="91"/>
        <v>66.833333333333371</v>
      </c>
      <c r="P139" s="54">
        <f t="shared" si="86"/>
        <v>0</v>
      </c>
      <c r="Q139" s="88">
        <f t="shared" si="87"/>
        <v>-5.1666666666666288</v>
      </c>
      <c r="R139" s="462">
        <f t="shared" si="88"/>
        <v>0.92824074074074125</v>
      </c>
      <c r="S139" s="679"/>
      <c r="T139" s="50">
        <v>0.73124999999999984</v>
      </c>
      <c r="U139" s="50">
        <v>0.76874999999999982</v>
      </c>
      <c r="V139" s="250">
        <v>5</v>
      </c>
      <c r="W139" s="247">
        <f t="shared" si="92"/>
        <v>53.999999999999972</v>
      </c>
      <c r="X139" s="53"/>
      <c r="Y139" s="53"/>
      <c r="Z139" s="54"/>
      <c r="AA139" s="54"/>
      <c r="AB139" s="673"/>
      <c r="AC139" s="673"/>
      <c r="AD139" s="469"/>
      <c r="AE139" s="469"/>
      <c r="AF139" s="48">
        <f t="shared" si="61"/>
        <v>-103.33333333333258</v>
      </c>
      <c r="AG139" s="125">
        <f t="shared" si="62"/>
        <v>0.92824074074074125</v>
      </c>
      <c r="AH139" s="672"/>
    </row>
    <row r="140" spans="1:34" ht="19.2" customHeight="1">
      <c r="A140" s="677"/>
      <c r="B140" s="455" t="s">
        <v>127</v>
      </c>
      <c r="C140" s="465"/>
      <c r="D140" s="251" t="s">
        <v>83</v>
      </c>
      <c r="E140" s="83"/>
      <c r="F140" s="343">
        <v>50.67</v>
      </c>
      <c r="G140" s="57">
        <v>819</v>
      </c>
      <c r="H140" s="84">
        <f t="shared" si="89"/>
        <v>41498.730000000003</v>
      </c>
      <c r="I140" s="469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1403.9999999999986</v>
      </c>
      <c r="O140" s="86">
        <f t="shared" si="91"/>
        <v>82.588235294117567</v>
      </c>
      <c r="P140" s="54">
        <f t="shared" si="86"/>
        <v>0</v>
      </c>
      <c r="Q140" s="88">
        <f t="shared" si="87"/>
        <v>-5.6470588235294912</v>
      </c>
      <c r="R140" s="462">
        <f t="shared" si="88"/>
        <v>0.93599999999999905</v>
      </c>
      <c r="S140" s="680"/>
      <c r="T140" s="63">
        <v>0.77361111111111092</v>
      </c>
      <c r="U140" s="252">
        <v>0.7979166666666665</v>
      </c>
      <c r="V140" s="253">
        <v>7</v>
      </c>
      <c r="W140" s="247">
        <f t="shared" si="92"/>
        <v>35.000000000000036</v>
      </c>
      <c r="X140" s="53"/>
      <c r="Y140" s="53"/>
      <c r="Z140" s="54"/>
      <c r="AA140" s="54"/>
      <c r="AB140" s="673"/>
      <c r="AC140" s="673"/>
      <c r="AD140" s="469"/>
      <c r="AE140" s="469"/>
      <c r="AF140" s="48">
        <f t="shared" si="61"/>
        <v>-96.000000000001364</v>
      </c>
      <c r="AG140" s="125">
        <f t="shared" si="62"/>
        <v>0.93599999999999905</v>
      </c>
      <c r="AH140" s="672"/>
    </row>
    <row r="141" spans="1:34" ht="19.2" customHeight="1">
      <c r="A141" s="677"/>
      <c r="B141" s="455" t="s">
        <v>127</v>
      </c>
      <c r="C141" s="465"/>
      <c r="D141" s="42" t="s">
        <v>85</v>
      </c>
      <c r="E141" s="254"/>
      <c r="F141" s="343">
        <v>50.92</v>
      </c>
      <c r="G141" s="57">
        <v>1412</v>
      </c>
      <c r="H141" s="84">
        <f t="shared" si="89"/>
        <v>71899.040000000008</v>
      </c>
      <c r="I141" s="469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1323.7500000000016</v>
      </c>
      <c r="O141" s="86">
        <f t="shared" si="91"/>
        <v>69.67105263157903</v>
      </c>
      <c r="P141" s="54">
        <f t="shared" si="86"/>
        <v>0</v>
      </c>
      <c r="Q141" s="88">
        <f t="shared" si="87"/>
        <v>-6.1184210526314899</v>
      </c>
      <c r="R141" s="462">
        <f t="shared" si="88"/>
        <v>0.91927083333333448</v>
      </c>
      <c r="S141" s="680"/>
      <c r="T141" s="63">
        <v>0.80208333333333315</v>
      </c>
      <c r="U141" s="252">
        <v>0.84652777777777755</v>
      </c>
      <c r="V141" s="55">
        <v>6</v>
      </c>
      <c r="W141" s="247">
        <f t="shared" si="92"/>
        <v>63.999999999999929</v>
      </c>
      <c r="X141" s="53"/>
      <c r="Y141" s="53"/>
      <c r="Z141" s="54"/>
      <c r="AA141" s="54"/>
      <c r="AB141" s="673"/>
      <c r="AC141" s="673"/>
      <c r="AD141" s="469"/>
      <c r="AE141" s="469"/>
      <c r="AF141" s="48">
        <f t="shared" si="61"/>
        <v>-116.24999999999841</v>
      </c>
      <c r="AG141" s="125">
        <f t="shared" si="62"/>
        <v>0.91927083333333448</v>
      </c>
      <c r="AH141" s="672"/>
    </row>
    <row r="142" spans="1:34" ht="19.2" customHeight="1">
      <c r="A142" s="677"/>
      <c r="B142" s="455" t="s">
        <v>127</v>
      </c>
      <c r="C142" s="465"/>
      <c r="D142" s="42" t="s">
        <v>86</v>
      </c>
      <c r="E142" s="254"/>
      <c r="F142" s="343">
        <v>50.67</v>
      </c>
      <c r="G142" s="57">
        <v>719</v>
      </c>
      <c r="H142" s="84">
        <f t="shared" si="89"/>
        <v>36431.730000000003</v>
      </c>
      <c r="I142" s="469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1307.2727272727257</v>
      </c>
      <c r="O142" s="86">
        <f t="shared" si="91"/>
        <v>76.898395721925041</v>
      </c>
      <c r="P142" s="54">
        <f t="shared" si="86"/>
        <v>0</v>
      </c>
      <c r="Q142" s="88">
        <f t="shared" si="87"/>
        <v>-7.8074866310161326</v>
      </c>
      <c r="R142" s="462">
        <f t="shared" si="88"/>
        <v>0.90782828282828176</v>
      </c>
      <c r="S142" s="680"/>
      <c r="T142" s="63">
        <v>0.86666666666666636</v>
      </c>
      <c r="U142" s="252">
        <v>0.88958333333333306</v>
      </c>
      <c r="V142" s="55">
        <v>7</v>
      </c>
      <c r="W142" s="247">
        <f t="shared" si="92"/>
        <v>33.000000000000043</v>
      </c>
      <c r="X142" s="53"/>
      <c r="Y142" s="53"/>
      <c r="Z142" s="54"/>
      <c r="AA142" s="54"/>
      <c r="AB142" s="673"/>
      <c r="AC142" s="673"/>
      <c r="AD142" s="469"/>
      <c r="AE142" s="469"/>
      <c r="AF142" s="48">
        <f t="shared" si="61"/>
        <v>-132.72727272727434</v>
      </c>
      <c r="AG142" s="125">
        <f t="shared" si="62"/>
        <v>0.90782828282828176</v>
      </c>
      <c r="AH142" s="672"/>
    </row>
    <row r="143" spans="1:34" ht="19.2" customHeight="1">
      <c r="A143" s="677"/>
      <c r="B143" s="455" t="s">
        <v>127</v>
      </c>
      <c r="C143" s="255"/>
      <c r="D143" s="82" t="s">
        <v>87</v>
      </c>
      <c r="E143" s="83"/>
      <c r="F143" s="343">
        <v>50.49</v>
      </c>
      <c r="G143" s="57">
        <v>849</v>
      </c>
      <c r="H143" s="84">
        <f t="shared" si="89"/>
        <v>42866.01</v>
      </c>
      <c r="I143" s="469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1340.5263157894728</v>
      </c>
      <c r="O143" s="86">
        <f t="shared" si="91"/>
        <v>89.368421052631518</v>
      </c>
      <c r="P143" s="54">
        <f t="shared" si="86"/>
        <v>1</v>
      </c>
      <c r="Q143" s="88">
        <f t="shared" si="87"/>
        <v>-13.488721804511343</v>
      </c>
      <c r="R143" s="462">
        <f t="shared" si="88"/>
        <v>0.86885964912280644</v>
      </c>
      <c r="S143" s="680"/>
      <c r="T143" s="63">
        <v>0.89444444444444415</v>
      </c>
      <c r="U143" s="252">
        <v>0.92083333333333306</v>
      </c>
      <c r="V143" s="55">
        <v>7</v>
      </c>
      <c r="W143" s="247">
        <f t="shared" si="92"/>
        <v>38.000000000000028</v>
      </c>
      <c r="X143" s="53"/>
      <c r="Y143" s="53"/>
      <c r="Z143" s="54"/>
      <c r="AA143" s="54"/>
      <c r="AB143" s="673"/>
      <c r="AC143" s="673"/>
      <c r="AD143" s="469"/>
      <c r="AE143" s="469"/>
      <c r="AF143" s="48">
        <f t="shared" si="61"/>
        <v>-99.473684210527153</v>
      </c>
      <c r="AG143" s="125">
        <f t="shared" si="62"/>
        <v>0.93092105263157832</v>
      </c>
      <c r="AH143" s="672"/>
    </row>
    <row r="144" spans="1:34" ht="19.2" customHeight="1">
      <c r="A144" s="677"/>
      <c r="B144" s="455">
        <v>0</v>
      </c>
      <c r="C144" s="465"/>
      <c r="D144" s="42"/>
      <c r="E144" s="254"/>
      <c r="F144" s="343" t="s">
        <v>128</v>
      </c>
      <c r="G144" s="57"/>
      <c r="H144" s="84"/>
      <c r="I144" s="469"/>
      <c r="J144" s="46"/>
      <c r="K144" s="44"/>
      <c r="L144" s="47"/>
      <c r="M144" s="458"/>
      <c r="N144" s="57"/>
      <c r="O144" s="86"/>
      <c r="P144" s="54"/>
      <c r="Q144" s="88"/>
      <c r="R144" s="462"/>
      <c r="S144" s="680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673"/>
      <c r="AC144" s="673"/>
      <c r="AD144" s="469"/>
      <c r="AE144" s="469"/>
      <c r="AF144" s="48">
        <f t="shared" si="61"/>
        <v>0</v>
      </c>
      <c r="AG144" s="125" t="e">
        <f t="shared" si="62"/>
        <v>#DIV/0!</v>
      </c>
      <c r="AH144" s="672"/>
    </row>
    <row r="145" spans="1:34" ht="19.2" customHeight="1">
      <c r="A145" s="677"/>
      <c r="B145" s="455">
        <v>0</v>
      </c>
      <c r="C145" s="465"/>
      <c r="D145" s="42"/>
      <c r="E145" s="254"/>
      <c r="F145" s="343" t="s">
        <v>128</v>
      </c>
      <c r="G145" s="57" t="s">
        <v>15</v>
      </c>
      <c r="H145" s="84"/>
      <c r="I145" s="469"/>
      <c r="J145" s="87"/>
      <c r="K145" s="57"/>
      <c r="L145" s="86"/>
      <c r="M145" s="458"/>
      <c r="N145" s="57"/>
      <c r="O145" s="86"/>
      <c r="P145" s="54"/>
      <c r="Q145" s="88"/>
      <c r="R145" s="462"/>
      <c r="S145" s="680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673"/>
      <c r="AC145" s="673"/>
      <c r="AD145" s="469"/>
      <c r="AE145" s="469"/>
      <c r="AF145" s="48">
        <f t="shared" si="61"/>
        <v>0</v>
      </c>
      <c r="AG145" s="125" t="e">
        <f t="shared" si="62"/>
        <v>#DIV/0!</v>
      </c>
      <c r="AH145" s="672"/>
    </row>
    <row r="146" spans="1:34" ht="19.2" customHeight="1">
      <c r="A146" s="677"/>
      <c r="B146" s="457">
        <v>0</v>
      </c>
      <c r="C146" s="255"/>
      <c r="D146" s="256"/>
      <c r="E146" s="254"/>
      <c r="F146" s="343" t="s">
        <v>128</v>
      </c>
      <c r="G146" s="57"/>
      <c r="H146" s="84">
        <f t="shared" si="89"/>
        <v>0</v>
      </c>
      <c r="I146" s="469"/>
      <c r="J146" s="87"/>
      <c r="K146" s="57"/>
      <c r="L146" s="86"/>
      <c r="M146" s="458"/>
      <c r="N146" s="57"/>
      <c r="O146" s="86"/>
      <c r="P146" s="54"/>
      <c r="Q146" s="88"/>
      <c r="R146" s="462"/>
      <c r="S146" s="680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673"/>
      <c r="AC146" s="673"/>
      <c r="AD146" s="469"/>
      <c r="AE146" s="469"/>
      <c r="AF146" s="54"/>
      <c r="AG146" s="462"/>
      <c r="AH146" s="672"/>
    </row>
    <row r="147" spans="1:34" ht="19.2" customHeight="1">
      <c r="A147" s="678"/>
      <c r="B147" s="257">
        <v>0</v>
      </c>
      <c r="C147" s="100" t="s">
        <v>425</v>
      </c>
      <c r="D147" s="669" t="s">
        <v>353</v>
      </c>
      <c r="E147" s="669"/>
      <c r="F147" s="35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42">
        <f t="shared" ref="M147:O147" si="93">AVERAGE(M135:M146)</f>
        <v>17.222222222222221</v>
      </c>
      <c r="N147" s="242">
        <f t="shared" si="93"/>
        <v>1369.8921451624578</v>
      </c>
      <c r="O147" s="243">
        <f t="shared" si="93"/>
        <v>80.152071232157567</v>
      </c>
      <c r="P147" s="51">
        <f t="shared" ref="P147:P154" si="94">M147-J147</f>
        <v>0.22222222222222143</v>
      </c>
      <c r="Q147" s="139">
        <f t="shared" ref="Q147:Q154" si="95">O147-L147</f>
        <v>-7.8738872506507676</v>
      </c>
      <c r="R147" s="258">
        <f t="shared" ref="R147:R154" si="96">O147/L147</f>
        <v>0.91055039460673914</v>
      </c>
      <c r="S147" s="681"/>
      <c r="T147" s="63"/>
      <c r="U147" s="63"/>
      <c r="V147" s="55"/>
      <c r="W147" s="452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673"/>
      <c r="AC147" s="673"/>
      <c r="AD147" s="107">
        <f>SUM(AD135:AD146)</f>
        <v>0</v>
      </c>
      <c r="AE147" s="107">
        <f>SUM(AE135:AE146)</f>
        <v>1</v>
      </c>
      <c r="AF147" s="204">
        <f t="shared" si="61"/>
        <v>-110.66341039309782</v>
      </c>
      <c r="AG147" s="259">
        <f t="shared" si="62"/>
        <v>0.92525548266132229</v>
      </c>
      <c r="AH147" s="672"/>
    </row>
    <row r="148" spans="1:34" ht="19.2" customHeight="1">
      <c r="A148" s="684" t="s">
        <v>426</v>
      </c>
      <c r="B148" s="469" t="s">
        <v>125</v>
      </c>
      <c r="C148" s="121"/>
      <c r="D148" s="173" t="s">
        <v>137</v>
      </c>
      <c r="E148" s="43"/>
      <c r="F148" s="350">
        <v>36.92</v>
      </c>
      <c r="G148" s="57">
        <v>2703</v>
      </c>
      <c r="H148" s="84">
        <f t="shared" ref="H148:H172" si="97">F148*G148</f>
        <v>99794.760000000009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4" si="98">G148/W148*60</f>
        <v>1448.0357142857144</v>
      </c>
      <c r="O148" s="47">
        <f t="shared" ref="O148:O154" si="99">N148/M148</f>
        <v>120.66964285714288</v>
      </c>
      <c r="P148" s="48">
        <f t="shared" si="94"/>
        <v>0</v>
      </c>
      <c r="Q148" s="49">
        <f t="shared" si="95"/>
        <v>-45.997023809523782</v>
      </c>
      <c r="R148" s="459">
        <f t="shared" si="96"/>
        <v>0.72401785714285727</v>
      </c>
      <c r="S148" s="685">
        <f>R160</f>
        <v>0.84859784581722186</v>
      </c>
      <c r="T148" s="246">
        <v>0.45833333333333331</v>
      </c>
      <c r="U148" s="50">
        <v>0.53611111111111109</v>
      </c>
      <c r="V148" s="455">
        <v>5</v>
      </c>
      <c r="W148" s="452">
        <f>(U148-T148)*24*60</f>
        <v>112</v>
      </c>
      <c r="X148" s="53"/>
      <c r="Y148" s="53"/>
      <c r="Z148" s="54"/>
      <c r="AA148" s="54"/>
      <c r="AB148" s="673"/>
      <c r="AC148" s="673"/>
      <c r="AD148" s="469"/>
      <c r="AE148" s="469"/>
      <c r="AF148" s="48">
        <f t="shared" si="61"/>
        <v>-551.96428571428555</v>
      </c>
      <c r="AG148" s="125">
        <f t="shared" si="62"/>
        <v>0.72401785714285727</v>
      </c>
      <c r="AH148" s="672">
        <f>AG160</f>
        <v>0.81118051161339788</v>
      </c>
    </row>
    <row r="149" spans="1:34" ht="19.2" customHeight="1">
      <c r="A149" s="684"/>
      <c r="B149" s="469" t="s">
        <v>125</v>
      </c>
      <c r="C149" s="221"/>
      <c r="D149" s="251" t="s">
        <v>190</v>
      </c>
      <c r="E149" s="60"/>
      <c r="F149" s="350">
        <v>26.5</v>
      </c>
      <c r="G149" s="57">
        <v>875.69999999999993</v>
      </c>
      <c r="H149" s="84">
        <f t="shared" si="97"/>
        <v>23206.05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1420.0540540540528</v>
      </c>
      <c r="O149" s="47">
        <f t="shared" si="99"/>
        <v>118.33783783783774</v>
      </c>
      <c r="P149" s="48">
        <f t="shared" si="94"/>
        <v>0</v>
      </c>
      <c r="Q149" s="49">
        <f t="shared" si="95"/>
        <v>-48.328828828828918</v>
      </c>
      <c r="R149" s="459">
        <f t="shared" si="96"/>
        <v>0.71002702702702647</v>
      </c>
      <c r="S149" s="686"/>
      <c r="T149" s="246">
        <v>0.5395833333333333</v>
      </c>
      <c r="U149" s="50">
        <v>0.56527777777777777</v>
      </c>
      <c r="V149" s="455">
        <v>5</v>
      </c>
      <c r="W149" s="452">
        <f t="shared" ref="W149:W159" si="100">(U149-T149)*24*60</f>
        <v>37.000000000000028</v>
      </c>
      <c r="X149" s="53"/>
      <c r="Y149" s="53"/>
      <c r="Z149" s="54"/>
      <c r="AA149" s="54"/>
      <c r="AB149" s="673"/>
      <c r="AC149" s="673"/>
      <c r="AD149" s="469"/>
      <c r="AE149" s="469"/>
      <c r="AF149" s="48">
        <f t="shared" si="61"/>
        <v>-579.94594594594719</v>
      </c>
      <c r="AG149" s="125">
        <f t="shared" si="62"/>
        <v>0.71002702702702636</v>
      </c>
      <c r="AH149" s="674"/>
    </row>
    <row r="150" spans="1:34" ht="19.2" customHeight="1">
      <c r="A150" s="684"/>
      <c r="B150" s="469" t="s">
        <v>125</v>
      </c>
      <c r="C150" s="221"/>
      <c r="D150" s="176" t="s">
        <v>196</v>
      </c>
      <c r="E150" s="60"/>
      <c r="F150" s="350">
        <v>55.51</v>
      </c>
      <c r="G150" s="57">
        <v>188</v>
      </c>
      <c r="H150" s="84">
        <f t="shared" si="97"/>
        <v>10435.879999999999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1253.3333333333378</v>
      </c>
      <c r="O150" s="47">
        <f t="shared" si="99"/>
        <v>104.44444444444481</v>
      </c>
      <c r="P150" s="48">
        <f t="shared" si="94"/>
        <v>0</v>
      </c>
      <c r="Q150" s="49">
        <f t="shared" si="95"/>
        <v>-20.555555555555188</v>
      </c>
      <c r="R150" s="459">
        <f t="shared" si="96"/>
        <v>0.83555555555555849</v>
      </c>
      <c r="S150" s="686"/>
      <c r="T150" s="246">
        <v>0.70833333333333337</v>
      </c>
      <c r="U150" s="50">
        <v>0.71458333333333335</v>
      </c>
      <c r="V150" s="455">
        <v>5</v>
      </c>
      <c r="W150" s="452">
        <f t="shared" si="100"/>
        <v>8.999999999999968</v>
      </c>
      <c r="X150" s="216"/>
      <c r="Y150" s="216"/>
      <c r="Z150" s="217"/>
      <c r="AA150" s="217"/>
      <c r="AB150" s="673"/>
      <c r="AC150" s="673"/>
      <c r="AD150" s="469"/>
      <c r="AE150" s="469"/>
      <c r="AF150" s="48">
        <f t="shared" si="61"/>
        <v>-246.66666666666219</v>
      </c>
      <c r="AG150" s="125">
        <f t="shared" si="62"/>
        <v>0.83555555555555849</v>
      </c>
      <c r="AH150" s="674"/>
    </row>
    <row r="151" spans="1:34" s="218" customFormat="1" ht="19.2" customHeight="1">
      <c r="A151" s="684"/>
      <c r="B151" s="469" t="s">
        <v>126</v>
      </c>
      <c r="C151" s="221"/>
      <c r="D151" s="59" t="s">
        <v>182</v>
      </c>
      <c r="E151" s="60"/>
      <c r="F151" s="350">
        <v>28.57</v>
      </c>
      <c r="G151" s="57">
        <v>1411</v>
      </c>
      <c r="H151" s="84">
        <f t="shared" si="97"/>
        <v>40312.269999999997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1434.9152542372894</v>
      </c>
      <c r="O151" s="47">
        <f t="shared" si="99"/>
        <v>119.57627118644079</v>
      </c>
      <c r="P151" s="48">
        <f t="shared" si="94"/>
        <v>0</v>
      </c>
      <c r="Q151" s="49">
        <f t="shared" si="95"/>
        <v>-5.4237288135592081</v>
      </c>
      <c r="R151" s="459">
        <f t="shared" si="96"/>
        <v>0.95661016949152633</v>
      </c>
      <c r="S151" s="686"/>
      <c r="T151" s="246">
        <v>0.71805555555555556</v>
      </c>
      <c r="U151" s="50">
        <v>0.75902777777777775</v>
      </c>
      <c r="V151" s="455">
        <v>5</v>
      </c>
      <c r="W151" s="452">
        <f t="shared" si="100"/>
        <v>58.99999999999995</v>
      </c>
      <c r="X151" s="216"/>
      <c r="Y151" s="216"/>
      <c r="Z151" s="217"/>
      <c r="AA151" s="217"/>
      <c r="AB151" s="673"/>
      <c r="AC151" s="673"/>
      <c r="AD151" s="221"/>
      <c r="AE151" s="221"/>
      <c r="AF151" s="48">
        <f t="shared" si="61"/>
        <v>-65.084745762710554</v>
      </c>
      <c r="AG151" s="125">
        <f t="shared" si="62"/>
        <v>0.95661016949152633</v>
      </c>
      <c r="AH151" s="674"/>
    </row>
    <row r="152" spans="1:34" s="218" customFormat="1" ht="19.2" customHeight="1">
      <c r="A152" s="684"/>
      <c r="B152" s="469" t="s">
        <v>126</v>
      </c>
      <c r="C152" s="221"/>
      <c r="D152" s="59" t="s">
        <v>170</v>
      </c>
      <c r="E152" s="60"/>
      <c r="F152" s="350">
        <v>20.420000000000002</v>
      </c>
      <c r="G152" s="57">
        <v>258</v>
      </c>
      <c r="H152" s="84">
        <f t="shared" si="97"/>
        <v>5268.3600000000006</v>
      </c>
      <c r="I152" s="260"/>
      <c r="J152" s="87">
        <v>12</v>
      </c>
      <c r="K152" s="57">
        <v>1500</v>
      </c>
      <c r="L152" s="86">
        <v>125</v>
      </c>
      <c r="M152" s="228">
        <v>10</v>
      </c>
      <c r="N152" s="44">
        <f t="shared" si="98"/>
        <v>967.50000000000341</v>
      </c>
      <c r="O152" s="47">
        <f t="shared" si="99"/>
        <v>96.750000000000341</v>
      </c>
      <c r="P152" s="48">
        <f t="shared" si="94"/>
        <v>-2</v>
      </c>
      <c r="Q152" s="49">
        <f t="shared" si="95"/>
        <v>-28.249999999999659</v>
      </c>
      <c r="R152" s="459">
        <f t="shared" si="96"/>
        <v>0.77400000000000269</v>
      </c>
      <c r="S152" s="686"/>
      <c r="T152" s="261">
        <v>0.76249999999999996</v>
      </c>
      <c r="U152" s="63">
        <v>0.77361111111111103</v>
      </c>
      <c r="V152" s="456">
        <v>5</v>
      </c>
      <c r="W152" s="452">
        <f t="shared" si="100"/>
        <v>15.999999999999943</v>
      </c>
      <c r="X152" s="219"/>
      <c r="Y152" s="219"/>
      <c r="Z152" s="217"/>
      <c r="AA152" s="217"/>
      <c r="AB152" s="673"/>
      <c r="AC152" s="673"/>
      <c r="AD152" s="221"/>
      <c r="AE152" s="221"/>
      <c r="AF152" s="48">
        <f t="shared" si="61"/>
        <v>-532.49999999999659</v>
      </c>
      <c r="AG152" s="125">
        <f t="shared" si="62"/>
        <v>0.64500000000000224</v>
      </c>
      <c r="AH152" s="674"/>
    </row>
    <row r="153" spans="1:34" s="218" customFormat="1" ht="19.2" customHeight="1">
      <c r="A153" s="684"/>
      <c r="B153" s="469" t="s">
        <v>126</v>
      </c>
      <c r="C153" s="221"/>
      <c r="D153" s="251" t="s">
        <v>211</v>
      </c>
      <c r="E153" s="60"/>
      <c r="F153" s="350">
        <v>18.920000000000002</v>
      </c>
      <c r="G153" s="57">
        <v>1141</v>
      </c>
      <c r="H153" s="84">
        <f t="shared" si="97"/>
        <v>21587.72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1955.999999999998</v>
      </c>
      <c r="O153" s="47">
        <f t="shared" si="99"/>
        <v>391.19999999999959</v>
      </c>
      <c r="P153" s="48">
        <f t="shared" si="94"/>
        <v>0</v>
      </c>
      <c r="Q153" s="49">
        <f t="shared" si="95"/>
        <v>-48.800000000000409</v>
      </c>
      <c r="R153" s="459">
        <f t="shared" si="96"/>
        <v>0.88909090909090815</v>
      </c>
      <c r="S153" s="686"/>
      <c r="T153" s="261">
        <v>0.77708333333333324</v>
      </c>
      <c r="U153" s="63">
        <v>0.80138888888888882</v>
      </c>
      <c r="V153" s="456">
        <v>5</v>
      </c>
      <c r="W153" s="452">
        <f t="shared" si="100"/>
        <v>35.000000000000036</v>
      </c>
      <c r="X153" s="219"/>
      <c r="Y153" s="219"/>
      <c r="Z153" s="217"/>
      <c r="AA153" s="217"/>
      <c r="AB153" s="673"/>
      <c r="AC153" s="673"/>
      <c r="AD153" s="221"/>
      <c r="AE153" s="221"/>
      <c r="AF153" s="48">
        <f t="shared" si="61"/>
        <v>-244.00000000000205</v>
      </c>
      <c r="AG153" s="125">
        <f t="shared" si="62"/>
        <v>0.88909090909090815</v>
      </c>
      <c r="AH153" s="674"/>
    </row>
    <row r="154" spans="1:34" s="218" customFormat="1" ht="19.2" customHeight="1">
      <c r="A154" s="684"/>
      <c r="B154" s="469" t="s">
        <v>126</v>
      </c>
      <c r="C154" s="221"/>
      <c r="D154" s="251" t="s">
        <v>212</v>
      </c>
      <c r="E154" s="60"/>
      <c r="F154" s="350">
        <v>17.71</v>
      </c>
      <c r="G154" s="57">
        <v>2712</v>
      </c>
      <c r="H154" s="84">
        <f t="shared" si="97"/>
        <v>48029.520000000004</v>
      </c>
      <c r="I154" s="260"/>
      <c r="J154" s="87">
        <v>5</v>
      </c>
      <c r="K154" s="57">
        <v>2200</v>
      </c>
      <c r="L154" s="86">
        <v>440</v>
      </c>
      <c r="M154" s="199">
        <v>5</v>
      </c>
      <c r="N154" s="44">
        <f t="shared" si="98"/>
        <v>1984.3902439024384</v>
      </c>
      <c r="O154" s="47">
        <f t="shared" si="99"/>
        <v>396.87804878048769</v>
      </c>
      <c r="P154" s="48">
        <f t="shared" si="94"/>
        <v>0</v>
      </c>
      <c r="Q154" s="49">
        <f t="shared" si="95"/>
        <v>-43.121951219512312</v>
      </c>
      <c r="R154" s="459">
        <f t="shared" si="96"/>
        <v>0.90199556541019932</v>
      </c>
      <c r="S154" s="686"/>
      <c r="T154" s="261">
        <v>0.80486111111111103</v>
      </c>
      <c r="U154" s="63">
        <v>0.86180555555555549</v>
      </c>
      <c r="V154" s="456">
        <v>5</v>
      </c>
      <c r="W154" s="452">
        <f t="shared" si="100"/>
        <v>82.000000000000028</v>
      </c>
      <c r="X154" s="219"/>
      <c r="Y154" s="219"/>
      <c r="Z154" s="217"/>
      <c r="AA154" s="217"/>
      <c r="AB154" s="673"/>
      <c r="AC154" s="673"/>
      <c r="AD154" s="221"/>
      <c r="AE154" s="221"/>
      <c r="AF154" s="48">
        <f t="shared" si="61"/>
        <v>-215.60975609756156</v>
      </c>
      <c r="AG154" s="125">
        <f t="shared" si="62"/>
        <v>0.90199556541019932</v>
      </c>
      <c r="AH154" s="674"/>
    </row>
    <row r="155" spans="1:34" s="218" customFormat="1" ht="19.2" customHeight="1">
      <c r="A155" s="684"/>
      <c r="B155" s="469">
        <v>0</v>
      </c>
      <c r="C155" s="221"/>
      <c r="D155" s="251"/>
      <c r="E155" s="60"/>
      <c r="F155" s="350" t="s">
        <v>128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59"/>
      <c r="S155" s="686"/>
      <c r="T155" s="261"/>
      <c r="U155" s="63"/>
      <c r="V155" s="456"/>
      <c r="W155" s="452">
        <f t="shared" si="100"/>
        <v>0</v>
      </c>
      <c r="X155" s="219"/>
      <c r="Y155" s="219"/>
      <c r="Z155" s="217"/>
      <c r="AA155" s="217"/>
      <c r="AB155" s="673"/>
      <c r="AC155" s="673"/>
      <c r="AD155" s="221"/>
      <c r="AE155" s="221"/>
      <c r="AF155" s="264"/>
      <c r="AG155" s="129"/>
      <c r="AH155" s="674"/>
    </row>
    <row r="156" spans="1:34" s="218" customFormat="1" ht="19.2" customHeight="1">
      <c r="A156" s="684"/>
      <c r="B156" s="221">
        <v>0</v>
      </c>
      <c r="C156" s="221"/>
      <c r="D156" s="251"/>
      <c r="E156" s="60"/>
      <c r="F156" s="350" t="s">
        <v>128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59"/>
      <c r="S156" s="686"/>
      <c r="T156" s="261"/>
      <c r="U156" s="63"/>
      <c r="V156" s="456"/>
      <c r="W156" s="265">
        <f t="shared" si="100"/>
        <v>0</v>
      </c>
      <c r="X156" s="219"/>
      <c r="Y156" s="219"/>
      <c r="Z156" s="217"/>
      <c r="AA156" s="217"/>
      <c r="AB156" s="673"/>
      <c r="AC156" s="673"/>
      <c r="AD156" s="221"/>
      <c r="AE156" s="221"/>
      <c r="AF156" s="264"/>
      <c r="AG156" s="129"/>
      <c r="AH156" s="674"/>
    </row>
    <row r="157" spans="1:34" s="218" customFormat="1" ht="19.2" customHeight="1">
      <c r="A157" s="684"/>
      <c r="B157" s="221">
        <v>0</v>
      </c>
      <c r="C157" s="221"/>
      <c r="D157" s="251"/>
      <c r="E157" s="60"/>
      <c r="F157" s="356" t="s">
        <v>128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686"/>
      <c r="T157" s="261"/>
      <c r="U157" s="63"/>
      <c r="V157" s="456"/>
      <c r="W157" s="265">
        <f t="shared" si="100"/>
        <v>0</v>
      </c>
      <c r="X157" s="219"/>
      <c r="Y157" s="219"/>
      <c r="Z157" s="217"/>
      <c r="AA157" s="217"/>
      <c r="AB157" s="673"/>
      <c r="AC157" s="673"/>
      <c r="AD157" s="221"/>
      <c r="AE157" s="221"/>
      <c r="AF157" s="264"/>
      <c r="AG157" s="129"/>
      <c r="AH157" s="674"/>
    </row>
    <row r="158" spans="1:34" s="218" customFormat="1" ht="19.2" customHeight="1">
      <c r="A158" s="684"/>
      <c r="B158" s="221">
        <v>0</v>
      </c>
      <c r="C158" s="221"/>
      <c r="D158" s="251"/>
      <c r="E158" s="60"/>
      <c r="F158" s="356" t="s">
        <v>128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686"/>
      <c r="T158" s="261"/>
      <c r="U158" s="63"/>
      <c r="V158" s="456"/>
      <c r="W158" s="265">
        <f t="shared" si="100"/>
        <v>0</v>
      </c>
      <c r="X158" s="219"/>
      <c r="Y158" s="219"/>
      <c r="Z158" s="217"/>
      <c r="AA158" s="217"/>
      <c r="AB158" s="673"/>
      <c r="AC158" s="673"/>
      <c r="AD158" s="221"/>
      <c r="AE158" s="221"/>
      <c r="AF158" s="264"/>
      <c r="AG158" s="129"/>
      <c r="AH158" s="674"/>
    </row>
    <row r="159" spans="1:34" s="218" customFormat="1" ht="19.2" customHeight="1">
      <c r="A159" s="684"/>
      <c r="B159" s="221">
        <v>0</v>
      </c>
      <c r="C159" s="221"/>
      <c r="D159" s="251"/>
      <c r="E159" s="60"/>
      <c r="F159" s="356" t="s">
        <v>128</v>
      </c>
      <c r="G159" s="57"/>
      <c r="H159" s="230">
        <f t="shared" si="97"/>
        <v>0</v>
      </c>
      <c r="I159" s="260"/>
      <c r="J159" s="262"/>
      <c r="K159" s="179"/>
      <c r="L159" s="131"/>
      <c r="M159" s="458"/>
      <c r="N159" s="179"/>
      <c r="O159" s="224"/>
      <c r="P159" s="263"/>
      <c r="Q159" s="74"/>
      <c r="R159" s="129"/>
      <c r="S159" s="686"/>
      <c r="T159" s="261"/>
      <c r="U159" s="63"/>
      <c r="V159" s="456"/>
      <c r="W159" s="266">
        <f t="shared" si="100"/>
        <v>0</v>
      </c>
      <c r="X159" s="219"/>
      <c r="Y159" s="219"/>
      <c r="Z159" s="217"/>
      <c r="AA159" s="217"/>
      <c r="AB159" s="673"/>
      <c r="AC159" s="673"/>
      <c r="AD159" s="221"/>
      <c r="AE159" s="221"/>
      <c r="AF159" s="264"/>
      <c r="AG159" s="129"/>
      <c r="AH159" s="674"/>
    </row>
    <row r="160" spans="1:34" ht="19.2" customHeight="1">
      <c r="A160" s="684"/>
      <c r="B160" s="267">
        <v>0</v>
      </c>
      <c r="C160" s="268" t="s">
        <v>427</v>
      </c>
      <c r="D160" s="682" t="s">
        <v>353</v>
      </c>
      <c r="E160" s="683"/>
      <c r="F160" s="344"/>
      <c r="G160" s="202"/>
      <c r="H160" s="201"/>
      <c r="I160" s="72"/>
      <c r="J160" s="269">
        <v>10</v>
      </c>
      <c r="K160" s="269">
        <v>1842.8571428571429</v>
      </c>
      <c r="L160" s="270">
        <v>226.9047619047619</v>
      </c>
      <c r="M160" s="269">
        <f t="shared" ref="M160:O160" si="101">AVERAGE(M148:M159)</f>
        <v>9.7142857142857135</v>
      </c>
      <c r="N160" s="269">
        <f t="shared" si="101"/>
        <v>1494.8897999732619</v>
      </c>
      <c r="O160" s="270">
        <f t="shared" si="101"/>
        <v>192.55089215805057</v>
      </c>
      <c r="P160" s="65">
        <f t="shared" ref="P160:P163" si="102">M160-J160</f>
        <v>-0.28571428571428648</v>
      </c>
      <c r="Q160" s="74">
        <f t="shared" ref="Q160:Q163" si="103">O160-L160</f>
        <v>-34.353869746711325</v>
      </c>
      <c r="R160" s="271">
        <f>O160/L160</f>
        <v>0.84859784581722186</v>
      </c>
      <c r="S160" s="686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673"/>
      <c r="AC160" s="673"/>
      <c r="AD160" s="79">
        <f>SUM(AD148:AD159)</f>
        <v>0</v>
      </c>
      <c r="AE160" s="79">
        <f>SUM(AE148:AE159)</f>
        <v>0</v>
      </c>
      <c r="AF160" s="65">
        <f t="shared" si="61"/>
        <v>-347.96734288388097</v>
      </c>
      <c r="AG160" s="129">
        <f t="shared" si="62"/>
        <v>0.81118051161339788</v>
      </c>
      <c r="AH160" s="674"/>
    </row>
    <row r="161" spans="1:36" ht="19.2" customHeight="1">
      <c r="A161" s="671" t="s">
        <v>428</v>
      </c>
      <c r="B161" s="121" t="s">
        <v>126</v>
      </c>
      <c r="C161" s="121"/>
      <c r="D161" s="82" t="s">
        <v>206</v>
      </c>
      <c r="E161" s="83"/>
      <c r="F161" s="349">
        <v>30.13</v>
      </c>
      <c r="G161" s="57">
        <v>3297</v>
      </c>
      <c r="H161" s="84">
        <f t="shared" ref="H161:H170" si="104">F161*G161</f>
        <v>99338.61</v>
      </c>
      <c r="I161" s="469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5" si="105">G161/W161*60</f>
        <v>1150.1162790697676</v>
      </c>
      <c r="O161" s="86">
        <f t="shared" ref="O161:O165" si="106">N161/M161</f>
        <v>63.895348837209312</v>
      </c>
      <c r="P161" s="54">
        <f t="shared" si="102"/>
        <v>0</v>
      </c>
      <c r="Q161" s="88">
        <f t="shared" si="103"/>
        <v>-2.7713178294573595</v>
      </c>
      <c r="R161" s="462">
        <f t="shared" ref="R161:R163" si="107">O161/L161</f>
        <v>0.95843023255813964</v>
      </c>
      <c r="S161" s="672">
        <f>R173</f>
        <v>0.93323707141793311</v>
      </c>
      <c r="T161" s="89">
        <v>0.16666666666666666</v>
      </c>
      <c r="U161" s="89">
        <v>0.28611111111111109</v>
      </c>
      <c r="V161" s="469">
        <v>5</v>
      </c>
      <c r="W161" s="90">
        <f t="shared" ref="W161:W172" si="108">(U161-T161)*24*60</f>
        <v>171.99999999999997</v>
      </c>
      <c r="X161" s="96"/>
      <c r="Y161" s="96"/>
      <c r="Z161" s="54"/>
      <c r="AA161" s="54"/>
      <c r="AB161" s="673"/>
      <c r="AC161" s="673"/>
      <c r="AD161" s="469"/>
      <c r="AE161" s="469"/>
      <c r="AF161" s="54">
        <f t="shared" si="61"/>
        <v>-49.883720930232357</v>
      </c>
      <c r="AG161" s="462">
        <f t="shared" si="62"/>
        <v>0.95843023255813975</v>
      </c>
      <c r="AH161" s="672">
        <f>AG173</f>
        <v>0.93710448422599946</v>
      </c>
    </row>
    <row r="162" spans="1:36" ht="19.2" customHeight="1">
      <c r="A162" s="671"/>
      <c r="B162" s="121" t="s">
        <v>126</v>
      </c>
      <c r="C162" s="121"/>
      <c r="D162" s="82" t="s">
        <v>89</v>
      </c>
      <c r="E162" s="83"/>
      <c r="F162" s="349">
        <v>34.229999999999997</v>
      </c>
      <c r="G162" s="57">
        <v>2989</v>
      </c>
      <c r="H162" s="84">
        <f t="shared" si="104"/>
        <v>102313.46999999999</v>
      </c>
      <c r="I162" s="469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2160.722891566264</v>
      </c>
      <c r="O162" s="86">
        <f t="shared" si="106"/>
        <v>166.20945319740491</v>
      </c>
      <c r="P162" s="54">
        <f t="shared" si="102"/>
        <v>0</v>
      </c>
      <c r="Q162" s="88">
        <f t="shared" si="103"/>
        <v>-6.8674698795181541</v>
      </c>
      <c r="R162" s="462">
        <f t="shared" si="107"/>
        <v>0.96032128514056181</v>
      </c>
      <c r="S162" s="672"/>
      <c r="T162" s="89">
        <v>0.30208333333333331</v>
      </c>
      <c r="U162" s="89">
        <v>0.35972222222222222</v>
      </c>
      <c r="V162" s="469">
        <v>23</v>
      </c>
      <c r="W162" s="90">
        <f t="shared" si="108"/>
        <v>83.000000000000028</v>
      </c>
      <c r="X162" s="96">
        <v>0.2902777777777778</v>
      </c>
      <c r="Y162" s="96">
        <v>0.30138888888888887</v>
      </c>
      <c r="Z162" s="54"/>
      <c r="AA162" s="54"/>
      <c r="AB162" s="673"/>
      <c r="AC162" s="673"/>
      <c r="AD162" s="469">
        <v>1</v>
      </c>
      <c r="AE162" s="469"/>
      <c r="AF162" s="54">
        <f t="shared" si="61"/>
        <v>-89.277108433735975</v>
      </c>
      <c r="AG162" s="462">
        <f t="shared" si="62"/>
        <v>0.96032128514056181</v>
      </c>
      <c r="AH162" s="672"/>
    </row>
    <row r="163" spans="1:36" ht="19.2" customHeight="1">
      <c r="A163" s="671"/>
      <c r="B163" s="121" t="s">
        <v>126</v>
      </c>
      <c r="C163" s="121"/>
      <c r="D163" s="248" t="s">
        <v>62</v>
      </c>
      <c r="E163" s="248"/>
      <c r="F163" s="349">
        <v>36.409999999999997</v>
      </c>
      <c r="G163" s="57">
        <v>5500</v>
      </c>
      <c r="H163" s="84">
        <f t="shared" si="104"/>
        <v>200254.99999999997</v>
      </c>
      <c r="I163" s="469"/>
      <c r="J163" s="87">
        <v>10</v>
      </c>
      <c r="K163" s="57">
        <v>2769</v>
      </c>
      <c r="L163" s="86">
        <v>276.89999999999998</v>
      </c>
      <c r="M163" s="87">
        <v>10</v>
      </c>
      <c r="N163" s="57">
        <f t="shared" si="105"/>
        <v>2426.4705882352937</v>
      </c>
      <c r="O163" s="86">
        <f t="shared" si="106"/>
        <v>242.64705882352936</v>
      </c>
      <c r="P163" s="54">
        <f t="shared" si="102"/>
        <v>0</v>
      </c>
      <c r="Q163" s="88">
        <f t="shared" si="103"/>
        <v>-34.252941176470614</v>
      </c>
      <c r="R163" s="462">
        <f t="shared" si="107"/>
        <v>0.87629851507233436</v>
      </c>
      <c r="S163" s="672"/>
      <c r="T163" s="89">
        <v>0.36458333333333331</v>
      </c>
      <c r="U163" s="89">
        <v>0.45902777777777776</v>
      </c>
      <c r="V163" s="469">
        <v>7</v>
      </c>
      <c r="W163" s="90">
        <f t="shared" si="108"/>
        <v>136</v>
      </c>
      <c r="X163" s="96"/>
      <c r="Y163" s="96"/>
      <c r="Z163" s="54"/>
      <c r="AA163" s="54"/>
      <c r="AB163" s="673"/>
      <c r="AC163" s="673"/>
      <c r="AD163" s="469">
        <v>1</v>
      </c>
      <c r="AE163" s="469"/>
      <c r="AF163" s="54">
        <f t="shared" si="61"/>
        <v>-342.52941176470631</v>
      </c>
      <c r="AG163" s="462">
        <f t="shared" si="62"/>
        <v>0.87629851507233425</v>
      </c>
      <c r="AH163" s="672"/>
    </row>
    <row r="164" spans="1:36" ht="19.2" customHeight="1">
      <c r="A164" s="671"/>
      <c r="B164" s="121" t="s">
        <v>126</v>
      </c>
      <c r="C164" s="121"/>
      <c r="D164" s="273" t="s">
        <v>90</v>
      </c>
      <c r="E164" s="273"/>
      <c r="F164" s="349">
        <v>35.83</v>
      </c>
      <c r="G164" s="57">
        <v>1924</v>
      </c>
      <c r="H164" s="84">
        <f t="shared" si="104"/>
        <v>68936.92</v>
      </c>
      <c r="I164" s="469"/>
      <c r="J164" s="87">
        <v>11</v>
      </c>
      <c r="K164" s="57">
        <v>2250</v>
      </c>
      <c r="L164" s="86">
        <v>204.54545454545453</v>
      </c>
      <c r="M164" s="87">
        <v>11</v>
      </c>
      <c r="N164" s="57">
        <f t="shared" si="105"/>
        <v>2178.1132075471678</v>
      </c>
      <c r="O164" s="86">
        <f t="shared" si="106"/>
        <v>198.01029159519706</v>
      </c>
      <c r="P164" s="54">
        <f>M164-J164</f>
        <v>0</v>
      </c>
      <c r="Q164" s="88">
        <f>O164-L164</f>
        <v>-6.5351629502574724</v>
      </c>
      <c r="R164" s="462">
        <f>O164/L164</f>
        <v>0.9680503144654079</v>
      </c>
      <c r="S164" s="672"/>
      <c r="T164" s="89">
        <v>0.49861111111111106</v>
      </c>
      <c r="U164" s="89">
        <v>0.53541666666666665</v>
      </c>
      <c r="V164" s="469">
        <v>4</v>
      </c>
      <c r="W164" s="90">
        <f t="shared" si="108"/>
        <v>53.00000000000005</v>
      </c>
      <c r="X164" s="96"/>
      <c r="Y164" s="96"/>
      <c r="Z164" s="54"/>
      <c r="AA164" s="54"/>
      <c r="AB164" s="673"/>
      <c r="AC164" s="673"/>
      <c r="AD164" s="469"/>
      <c r="AE164" s="469"/>
      <c r="AF164" s="54">
        <f>N164-K164</f>
        <v>-71.886792452832196</v>
      </c>
      <c r="AG164" s="462">
        <f>N164/K164</f>
        <v>0.9680503144654079</v>
      </c>
      <c r="AH164" s="672"/>
    </row>
    <row r="165" spans="1:36" ht="19.2" customHeight="1">
      <c r="A165" s="671"/>
      <c r="B165" s="121" t="s">
        <v>126</v>
      </c>
      <c r="C165" s="81"/>
      <c r="D165" s="82" t="s">
        <v>88</v>
      </c>
      <c r="E165" s="83"/>
      <c r="F165" s="346">
        <v>34.229999999999997</v>
      </c>
      <c r="G165" s="57">
        <v>1064.7</v>
      </c>
      <c r="H165" s="84">
        <f t="shared" si="104"/>
        <v>36444.680999999997</v>
      </c>
      <c r="I165" s="469"/>
      <c r="J165" s="87">
        <v>13</v>
      </c>
      <c r="K165" s="57">
        <v>2250</v>
      </c>
      <c r="L165" s="86">
        <v>173.07692307692307</v>
      </c>
      <c r="M165" s="87">
        <v>13</v>
      </c>
      <c r="N165" s="57">
        <f t="shared" si="105"/>
        <v>2129.3999999999965</v>
      </c>
      <c r="O165" s="86">
        <f t="shared" si="106"/>
        <v>163.79999999999973</v>
      </c>
      <c r="P165" s="54">
        <f t="shared" ref="P165" si="109">M165-J165</f>
        <v>0</v>
      </c>
      <c r="Q165" s="88">
        <f t="shared" ref="Q165" si="110">O165-L165</f>
        <v>-9.2769230769233388</v>
      </c>
      <c r="R165" s="462">
        <f t="shared" ref="R165" si="111">O165/L165</f>
        <v>0.94639999999999846</v>
      </c>
      <c r="S165" s="672"/>
      <c r="T165" s="89">
        <v>0.54027777777777775</v>
      </c>
      <c r="U165" s="89">
        <v>0.56111111111111112</v>
      </c>
      <c r="V165" s="469">
        <v>7</v>
      </c>
      <c r="W165" s="90">
        <f t="shared" si="108"/>
        <v>30.000000000000053</v>
      </c>
      <c r="X165" s="96"/>
      <c r="Y165" s="96"/>
      <c r="Z165" s="54"/>
      <c r="AA165" s="54"/>
      <c r="AB165" s="673"/>
      <c r="AC165" s="673"/>
      <c r="AD165" s="469"/>
      <c r="AE165" s="469"/>
      <c r="AF165" s="54">
        <f>N165-K165</f>
        <v>-120.60000000000355</v>
      </c>
      <c r="AG165" s="462">
        <f>N165/K165</f>
        <v>0.94639999999999846</v>
      </c>
      <c r="AH165" s="672"/>
    </row>
    <row r="166" spans="1:36" ht="19.2" customHeight="1">
      <c r="A166" s="671"/>
      <c r="B166" s="121">
        <v>0</v>
      </c>
      <c r="C166" s="121"/>
      <c r="D166" s="82"/>
      <c r="E166" s="83"/>
      <c r="F166" s="349" t="s">
        <v>128</v>
      </c>
      <c r="G166" s="57"/>
      <c r="H166" s="84">
        <f t="shared" si="104"/>
        <v>0</v>
      </c>
      <c r="I166" s="469"/>
      <c r="J166" s="87"/>
      <c r="K166" s="57"/>
      <c r="L166" s="86"/>
      <c r="M166" s="87"/>
      <c r="N166" s="57"/>
      <c r="O166" s="86"/>
      <c r="P166" s="54"/>
      <c r="Q166" s="88"/>
      <c r="R166" s="462"/>
      <c r="S166" s="672"/>
      <c r="T166" s="89"/>
      <c r="U166" s="89"/>
      <c r="V166" s="469"/>
      <c r="W166" s="90">
        <f t="shared" si="108"/>
        <v>0</v>
      </c>
      <c r="X166" s="96"/>
      <c r="Y166" s="96"/>
      <c r="Z166" s="54"/>
      <c r="AA166" s="54"/>
      <c r="AB166" s="673"/>
      <c r="AC166" s="673"/>
      <c r="AD166" s="469"/>
      <c r="AE166" s="469"/>
      <c r="AF166" s="54">
        <f>N166-K166</f>
        <v>0</v>
      </c>
      <c r="AG166" s="462" t="e">
        <f>N166/K166</f>
        <v>#DIV/0!</v>
      </c>
      <c r="AH166" s="672"/>
    </row>
    <row r="167" spans="1:36" ht="19.2" customHeight="1">
      <c r="A167" s="671"/>
      <c r="B167" s="121">
        <v>0</v>
      </c>
      <c r="C167" s="121"/>
      <c r="D167" s="251"/>
      <c r="E167" s="60"/>
      <c r="F167" s="349" t="s">
        <v>128</v>
      </c>
      <c r="G167" s="57"/>
      <c r="H167" s="84">
        <f t="shared" si="104"/>
        <v>0</v>
      </c>
      <c r="I167" s="469"/>
      <c r="J167" s="87"/>
      <c r="K167" s="57"/>
      <c r="L167" s="86"/>
      <c r="M167" s="87"/>
      <c r="N167" s="57"/>
      <c r="O167" s="86"/>
      <c r="P167" s="54"/>
      <c r="Q167" s="88"/>
      <c r="R167" s="462"/>
      <c r="S167" s="672"/>
      <c r="T167" s="89"/>
      <c r="U167" s="89"/>
      <c r="V167" s="469"/>
      <c r="W167" s="90">
        <f t="shared" si="108"/>
        <v>0</v>
      </c>
      <c r="X167" s="96"/>
      <c r="Y167" s="96"/>
      <c r="Z167" s="54"/>
      <c r="AA167" s="54"/>
      <c r="AB167" s="673"/>
      <c r="AC167" s="673"/>
      <c r="AD167" s="469"/>
      <c r="AE167" s="469"/>
      <c r="AF167" s="54">
        <f t="shared" si="61"/>
        <v>0</v>
      </c>
      <c r="AG167" s="462" t="e">
        <f t="shared" si="62"/>
        <v>#DIV/0!</v>
      </c>
      <c r="AH167" s="672"/>
    </row>
    <row r="168" spans="1:36" ht="19.2" customHeight="1">
      <c r="A168" s="671"/>
      <c r="B168" s="121">
        <v>0</v>
      </c>
      <c r="C168" s="121"/>
      <c r="D168" s="251"/>
      <c r="E168" s="60"/>
      <c r="F168" s="349" t="s">
        <v>128</v>
      </c>
      <c r="G168" s="57"/>
      <c r="H168" s="84">
        <f t="shared" si="104"/>
        <v>0</v>
      </c>
      <c r="I168" s="469"/>
      <c r="J168" s="87"/>
      <c r="K168" s="57"/>
      <c r="L168" s="86"/>
      <c r="M168" s="87"/>
      <c r="N168" s="57"/>
      <c r="O168" s="86"/>
      <c r="P168" s="54"/>
      <c r="Q168" s="88"/>
      <c r="R168" s="462"/>
      <c r="S168" s="672"/>
      <c r="T168" s="89"/>
      <c r="U168" s="89"/>
      <c r="V168" s="469"/>
      <c r="W168" s="90">
        <f t="shared" si="108"/>
        <v>0</v>
      </c>
      <c r="X168" s="96"/>
      <c r="Y168" s="96"/>
      <c r="Z168" s="54"/>
      <c r="AA168" s="54"/>
      <c r="AB168" s="673"/>
      <c r="AC168" s="673"/>
      <c r="AD168" s="469"/>
      <c r="AE168" s="469"/>
      <c r="AF168" s="54">
        <f t="shared" si="61"/>
        <v>0</v>
      </c>
      <c r="AG168" s="462" t="e">
        <f t="shared" si="62"/>
        <v>#DIV/0!</v>
      </c>
      <c r="AH168" s="672"/>
    </row>
    <row r="169" spans="1:36" ht="19.2" customHeight="1">
      <c r="A169" s="671"/>
      <c r="B169" s="121">
        <v>0</v>
      </c>
      <c r="C169" s="121"/>
      <c r="D169" s="251"/>
      <c r="E169" s="60"/>
      <c r="F169" s="349" t="s">
        <v>128</v>
      </c>
      <c r="G169" s="57"/>
      <c r="H169" s="84">
        <f t="shared" si="104"/>
        <v>0</v>
      </c>
      <c r="I169" s="469"/>
      <c r="J169" s="87"/>
      <c r="K169" s="57"/>
      <c r="L169" s="86"/>
      <c r="M169" s="87"/>
      <c r="N169" s="57"/>
      <c r="O169" s="86"/>
      <c r="P169" s="54"/>
      <c r="Q169" s="88"/>
      <c r="R169" s="462"/>
      <c r="S169" s="672"/>
      <c r="T169" s="89"/>
      <c r="U169" s="89"/>
      <c r="V169" s="469" t="s">
        <v>15</v>
      </c>
      <c r="W169" s="90">
        <f t="shared" si="108"/>
        <v>0</v>
      </c>
      <c r="X169" s="96"/>
      <c r="Y169" s="96"/>
      <c r="Z169" s="54"/>
      <c r="AA169" s="54"/>
      <c r="AB169" s="673"/>
      <c r="AC169" s="673"/>
      <c r="AD169" s="469"/>
      <c r="AE169" s="469"/>
      <c r="AF169" s="54">
        <f t="shared" si="61"/>
        <v>0</v>
      </c>
      <c r="AG169" s="462" t="e">
        <f t="shared" si="62"/>
        <v>#DIV/0!</v>
      </c>
      <c r="AH169" s="672"/>
    </row>
    <row r="170" spans="1:36" ht="19.2" customHeight="1">
      <c r="A170" s="671"/>
      <c r="B170" s="121">
        <v>0</v>
      </c>
      <c r="C170" s="121"/>
      <c r="D170" s="251"/>
      <c r="E170" s="60"/>
      <c r="F170" s="349" t="s">
        <v>128</v>
      </c>
      <c r="G170" s="57"/>
      <c r="H170" s="84">
        <f t="shared" si="104"/>
        <v>0</v>
      </c>
      <c r="I170" s="469"/>
      <c r="J170" s="87"/>
      <c r="K170" s="57"/>
      <c r="L170" s="86"/>
      <c r="M170" s="87"/>
      <c r="N170" s="57"/>
      <c r="O170" s="86"/>
      <c r="P170" s="54"/>
      <c r="Q170" s="88"/>
      <c r="R170" s="462"/>
      <c r="S170" s="672"/>
      <c r="T170" s="89"/>
      <c r="U170" s="89"/>
      <c r="V170" s="469"/>
      <c r="W170" s="90">
        <f t="shared" si="108"/>
        <v>0</v>
      </c>
      <c r="X170" s="96"/>
      <c r="Y170" s="96"/>
      <c r="Z170" s="54"/>
      <c r="AA170" s="54"/>
      <c r="AB170" s="673"/>
      <c r="AC170" s="673"/>
      <c r="AD170" s="469"/>
      <c r="AE170" s="469"/>
      <c r="AF170" s="54">
        <f t="shared" si="61"/>
        <v>0</v>
      </c>
      <c r="AG170" s="462" t="e">
        <f t="shared" si="62"/>
        <v>#DIV/0!</v>
      </c>
      <c r="AH170" s="672"/>
    </row>
    <row r="171" spans="1:36" ht="19.2" customHeight="1">
      <c r="A171" s="671"/>
      <c r="B171" s="121">
        <v>0</v>
      </c>
      <c r="C171" s="121"/>
      <c r="D171" s="251"/>
      <c r="E171" s="60"/>
      <c r="F171" s="349" t="s">
        <v>128</v>
      </c>
      <c r="G171" s="57"/>
      <c r="H171" s="84">
        <f t="shared" si="97"/>
        <v>0</v>
      </c>
      <c r="I171" s="469"/>
      <c r="J171" s="87"/>
      <c r="K171" s="57"/>
      <c r="L171" s="86"/>
      <c r="M171" s="87"/>
      <c r="N171" s="57"/>
      <c r="O171" s="86"/>
      <c r="P171" s="54"/>
      <c r="Q171" s="88"/>
      <c r="R171" s="462"/>
      <c r="S171" s="672"/>
      <c r="T171" s="89"/>
      <c r="U171" s="89"/>
      <c r="V171" s="469"/>
      <c r="W171" s="90">
        <f t="shared" si="108"/>
        <v>0</v>
      </c>
      <c r="X171" s="96"/>
      <c r="Y171" s="96"/>
      <c r="Z171" s="54"/>
      <c r="AA171" s="54"/>
      <c r="AB171" s="673"/>
      <c r="AC171" s="673"/>
      <c r="AD171" s="469"/>
      <c r="AE171" s="469"/>
      <c r="AF171" s="54"/>
      <c r="AG171" s="462"/>
      <c r="AH171" s="672"/>
    </row>
    <row r="172" spans="1:36" ht="19.2" customHeight="1">
      <c r="A172" s="671"/>
      <c r="B172" s="121">
        <v>0</v>
      </c>
      <c r="C172" s="121"/>
      <c r="D172" s="251"/>
      <c r="E172" s="60"/>
      <c r="F172" s="349" t="s">
        <v>128</v>
      </c>
      <c r="G172" s="57"/>
      <c r="H172" s="84">
        <f t="shared" si="97"/>
        <v>0</v>
      </c>
      <c r="I172" s="469"/>
      <c r="J172" s="87"/>
      <c r="K172" s="57"/>
      <c r="L172" s="86"/>
      <c r="M172" s="87"/>
      <c r="N172" s="57"/>
      <c r="O172" s="86"/>
      <c r="P172" s="54"/>
      <c r="Q172" s="88"/>
      <c r="R172" s="462"/>
      <c r="S172" s="672"/>
      <c r="T172" s="89"/>
      <c r="U172" s="89"/>
      <c r="V172" s="469"/>
      <c r="W172" s="90">
        <f t="shared" si="108"/>
        <v>0</v>
      </c>
      <c r="X172" s="96"/>
      <c r="Y172" s="96"/>
      <c r="Z172" s="54"/>
      <c r="AA172" s="54"/>
      <c r="AB172" s="673"/>
      <c r="AC172" s="673"/>
      <c r="AD172" s="469"/>
      <c r="AE172" s="469"/>
      <c r="AF172" s="54"/>
      <c r="AG172" s="462"/>
      <c r="AH172" s="672"/>
    </row>
    <row r="173" spans="1:36" ht="19.2" customHeight="1">
      <c r="A173" s="671"/>
      <c r="B173" s="121">
        <v>0</v>
      </c>
      <c r="C173" s="100" t="s">
        <v>429</v>
      </c>
      <c r="D173" s="669" t="s">
        <v>353</v>
      </c>
      <c r="E173" s="669"/>
      <c r="F173" s="347"/>
      <c r="G173" s="101"/>
      <c r="H173" s="102"/>
      <c r="I173" s="103"/>
      <c r="J173" s="101">
        <v>13</v>
      </c>
      <c r="K173" s="101">
        <v>2143.8000000000002</v>
      </c>
      <c r="L173" s="104">
        <v>178.85319347319347</v>
      </c>
      <c r="M173" s="101">
        <f t="shared" ref="M173:O173" si="112">AVERAGE(M161:M172)</f>
        <v>13</v>
      </c>
      <c r="N173" s="101">
        <f t="shared" si="112"/>
        <v>2008.9645932836979</v>
      </c>
      <c r="O173" s="104">
        <f t="shared" si="112"/>
        <v>166.91243049066807</v>
      </c>
      <c r="P173" s="54">
        <f>M173-J173</f>
        <v>0</v>
      </c>
      <c r="Q173" s="88">
        <f>O173-L173</f>
        <v>-11.940762982525399</v>
      </c>
      <c r="R173" s="105">
        <f>O173/L173</f>
        <v>0.93323707141793311</v>
      </c>
      <c r="S173" s="672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670"/>
      <c r="AC173" s="670"/>
      <c r="AD173" s="107">
        <f>SUM(AD161:AD172)</f>
        <v>2</v>
      </c>
      <c r="AE173" s="107">
        <f>SUM(AE161:AE172)</f>
        <v>0</v>
      </c>
      <c r="AF173" s="54">
        <f t="shared" si="61"/>
        <v>-134.83540671630226</v>
      </c>
      <c r="AG173" s="462">
        <f t="shared" si="62"/>
        <v>0.93710448422599946</v>
      </c>
      <c r="AH173" s="672"/>
    </row>
    <row r="174" spans="1:36" ht="19.2" customHeight="1">
      <c r="AJ174" s="275" t="s">
        <v>91</v>
      </c>
    </row>
    <row r="175" spans="1:36" ht="19.2" customHeight="1">
      <c r="AJ175" s="275" t="s">
        <v>92</v>
      </c>
    </row>
    <row r="176" spans="1:36" ht="19.2" customHeight="1">
      <c r="AJ176" s="275" t="s">
        <v>430</v>
      </c>
    </row>
    <row r="177" spans="23:36" ht="19.2" customHeight="1">
      <c r="W177" s="33"/>
      <c r="AJ177" s="275" t="s">
        <v>93</v>
      </c>
    </row>
    <row r="178" spans="23:36" ht="19.2" customHeight="1">
      <c r="W178" s="33"/>
      <c r="AJ178" s="275" t="s">
        <v>94</v>
      </c>
    </row>
    <row r="179" spans="23:36">
      <c r="W179" s="33"/>
      <c r="AJ179" s="275" t="s">
        <v>95</v>
      </c>
    </row>
    <row r="180" spans="23:36">
      <c r="W180" s="33"/>
      <c r="AJ180" s="275" t="s">
        <v>96</v>
      </c>
    </row>
    <row r="181" spans="23:36">
      <c r="W181" s="33"/>
      <c r="AJ181" s="275" t="s">
        <v>97</v>
      </c>
    </row>
    <row r="182" spans="23:36">
      <c r="W182" s="33"/>
      <c r="AJ182" s="275" t="s">
        <v>98</v>
      </c>
    </row>
    <row r="183" spans="23:36">
      <c r="W183" s="33"/>
      <c r="AJ183" s="275" t="s">
        <v>99</v>
      </c>
    </row>
    <row r="184" spans="23:36">
      <c r="W184" s="33"/>
      <c r="AJ184" s="275" t="s">
        <v>100</v>
      </c>
    </row>
    <row r="185" spans="23:36">
      <c r="W185" s="33"/>
      <c r="AJ185" s="275" t="s">
        <v>431</v>
      </c>
    </row>
    <row r="186" spans="23:36">
      <c r="W186" s="33"/>
      <c r="AJ186" s="275" t="s">
        <v>432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145" priority="4" operator="greaterThan">
      <formula>0</formula>
    </cfRule>
  </conditionalFormatting>
  <conditionalFormatting sqref="Q5:Q173">
    <cfRule type="cellIs" dxfId="144" priority="7" operator="lessThan">
      <formula>0</formula>
    </cfRule>
  </conditionalFormatting>
  <conditionalFormatting sqref="R5:R173">
    <cfRule type="cellIs" dxfId="143" priority="5" operator="greaterThan">
      <formula>1</formula>
    </cfRule>
    <cfRule type="cellIs" dxfId="142" priority="6" operator="lessThan">
      <formula>0.8</formula>
    </cfRule>
  </conditionalFormatting>
  <conditionalFormatting sqref="S5:S11">
    <cfRule type="cellIs" dxfId="141" priority="20" operator="lessThan">
      <formula>0.8</formula>
    </cfRule>
  </conditionalFormatting>
  <conditionalFormatting sqref="S21:S29 AH21:AH29">
    <cfRule type="cellIs" dxfId="140" priority="13" operator="lessThan">
      <formula>0.8</formula>
    </cfRule>
  </conditionalFormatting>
  <conditionalFormatting sqref="S43:S72">
    <cfRule type="cellIs" dxfId="139" priority="10" operator="lessThan">
      <formula>0.8</formula>
    </cfRule>
  </conditionalFormatting>
  <conditionalFormatting sqref="S82:S91 AH82:AH91">
    <cfRule type="cellIs" dxfId="138" priority="12" operator="lessThan">
      <formula>0.8</formula>
    </cfRule>
  </conditionalFormatting>
  <conditionalFormatting sqref="S95:S104">
    <cfRule type="cellIs" dxfId="137" priority="8" operator="lessThan">
      <formula>0.8</formula>
    </cfRule>
  </conditionalFormatting>
  <conditionalFormatting sqref="S108:S109">
    <cfRule type="cellIs" dxfId="136" priority="9" operator="lessThan">
      <formula>0.8</formula>
    </cfRule>
  </conditionalFormatting>
  <conditionalFormatting sqref="S122:S135 AH135">
    <cfRule type="cellIs" dxfId="135" priority="21" operator="lessThan">
      <formula>0.8</formula>
    </cfRule>
  </conditionalFormatting>
  <conditionalFormatting sqref="S137 AH137">
    <cfRule type="cellIs" dxfId="134" priority="17" operator="lessThan">
      <formula>0.8</formula>
    </cfRule>
  </conditionalFormatting>
  <conditionalFormatting sqref="S139:S146 AH139:AH146">
    <cfRule type="cellIs" dxfId="133" priority="11" operator="lessThan">
      <formula>0.8</formula>
    </cfRule>
  </conditionalFormatting>
  <conditionalFormatting sqref="S148:S150">
    <cfRule type="cellIs" dxfId="132" priority="14" operator="lessThan">
      <formula>0.8</formula>
    </cfRule>
  </conditionalFormatting>
  <conditionalFormatting sqref="S161">
    <cfRule type="cellIs" dxfId="131" priority="25" operator="lessThan">
      <formula>0.8</formula>
    </cfRule>
  </conditionalFormatting>
  <conditionalFormatting sqref="AF5:AF173">
    <cfRule type="cellIs" dxfId="130" priority="3" operator="lessThan">
      <formula>0</formula>
    </cfRule>
  </conditionalFormatting>
  <conditionalFormatting sqref="AG5:AG173">
    <cfRule type="cellIs" dxfId="129" priority="1" operator="greaterThan">
      <formula>1</formula>
    </cfRule>
    <cfRule type="cellIs" dxfId="128" priority="2" operator="lessThan">
      <formula>0.8</formula>
    </cfRule>
  </conditionalFormatting>
  <conditionalFormatting sqref="AH5:AH9 S17:S18 AH17:AH18 AH57 AH95">
    <cfRule type="cellIs" dxfId="127" priority="26" operator="lessThan">
      <formula>0.8</formula>
    </cfRule>
  </conditionalFormatting>
  <conditionalFormatting sqref="AH31 S31:S32">
    <cfRule type="cellIs" dxfId="126" priority="22" operator="lessThan">
      <formula>0.8</formula>
    </cfRule>
  </conditionalFormatting>
  <conditionalFormatting sqref="AH70:AH72">
    <cfRule type="cellIs" dxfId="125" priority="19" operator="lessThan">
      <formula>0.8</formula>
    </cfRule>
  </conditionalFormatting>
  <conditionalFormatting sqref="AH97:AH98">
    <cfRule type="cellIs" dxfId="124" priority="18" operator="lessThan">
      <formula>0.8</formula>
    </cfRule>
  </conditionalFormatting>
  <conditionalFormatting sqref="AH100:AH107">
    <cfRule type="cellIs" dxfId="123" priority="16" operator="lessThan">
      <formula>0.8</formula>
    </cfRule>
  </conditionalFormatting>
  <conditionalFormatting sqref="AH109">
    <cfRule type="cellIs" dxfId="122" priority="24" operator="lessThan">
      <formula>0.8</formula>
    </cfRule>
  </conditionalFormatting>
  <conditionalFormatting sqref="AH148">
    <cfRule type="cellIs" dxfId="121" priority="23" operator="lessThan">
      <formula>0.8</formula>
    </cfRule>
  </conditionalFormatting>
  <conditionalFormatting sqref="AH150">
    <cfRule type="cellIs" dxfId="12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D10" sqref="D10:Q10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601" t="s">
        <v>0</v>
      </c>
      <c r="C1" s="602"/>
      <c r="D1" s="602"/>
      <c r="E1" s="602"/>
      <c r="F1" s="602"/>
      <c r="G1" s="602"/>
      <c r="H1" s="602"/>
      <c r="I1" s="602"/>
      <c r="J1" s="602"/>
      <c r="K1" s="602"/>
      <c r="L1" s="602"/>
      <c r="M1" s="603"/>
      <c r="N1" s="1"/>
      <c r="O1" s="1"/>
    </row>
    <row r="2" spans="2:17" ht="27.75" customHeight="1">
      <c r="B2" s="601"/>
      <c r="C2" s="602"/>
      <c r="D2" s="602"/>
      <c r="E2" s="602"/>
      <c r="F2" s="602"/>
      <c r="G2" s="602"/>
      <c r="H2" s="602"/>
      <c r="I2" s="602"/>
      <c r="J2" s="602"/>
      <c r="K2" s="602"/>
      <c r="L2" s="602"/>
      <c r="M2" s="603"/>
      <c r="N2" s="1"/>
      <c r="O2" s="1"/>
    </row>
    <row r="3" spans="2:17" ht="46.5" customHeight="1">
      <c r="B3" s="594" t="s">
        <v>1</v>
      </c>
      <c r="C3" s="555"/>
      <c r="D3" s="604" t="s">
        <v>556</v>
      </c>
      <c r="E3" s="605"/>
      <c r="F3" s="594" t="s">
        <v>2</v>
      </c>
      <c r="G3" s="555"/>
      <c r="H3" s="606">
        <v>227737.89999999997</v>
      </c>
      <c r="I3" s="607"/>
      <c r="J3" s="594" t="s">
        <v>3</v>
      </c>
      <c r="K3" s="555"/>
      <c r="L3" s="599">
        <v>7344303.5823740438</v>
      </c>
      <c r="M3" s="600"/>
      <c r="N3" s="359"/>
      <c r="O3" s="359"/>
      <c r="P3" s="359"/>
      <c r="Q3" s="359"/>
    </row>
    <row r="4" spans="2:17" ht="24" customHeight="1">
      <c r="B4" s="594" t="s">
        <v>130</v>
      </c>
      <c r="C4" s="555"/>
      <c r="D4" s="586" t="s">
        <v>130</v>
      </c>
      <c r="E4" s="587"/>
      <c r="F4" s="597" t="s">
        <v>131</v>
      </c>
      <c r="G4" s="598"/>
      <c r="H4" s="597" t="s">
        <v>132</v>
      </c>
      <c r="I4" s="598"/>
      <c r="J4" s="597" t="s">
        <v>133</v>
      </c>
      <c r="K4" s="598"/>
      <c r="L4" s="599" t="s">
        <v>134</v>
      </c>
      <c r="M4" s="600"/>
      <c r="N4" s="580" t="s">
        <v>4</v>
      </c>
      <c r="O4" s="581"/>
      <c r="P4" s="581" t="s">
        <v>5</v>
      </c>
      <c r="Q4" s="581"/>
    </row>
    <row r="5" spans="2:17" ht="24" customHeight="1">
      <c r="B5" s="582" t="s">
        <v>35</v>
      </c>
      <c r="C5" s="561"/>
      <c r="D5" s="586" t="s">
        <v>135</v>
      </c>
      <c r="E5" s="587"/>
      <c r="F5" s="586" t="s">
        <v>6</v>
      </c>
      <c r="G5" s="587"/>
      <c r="H5" s="588" t="s">
        <v>7</v>
      </c>
      <c r="I5" s="589"/>
      <c r="J5" s="590" t="s">
        <v>8</v>
      </c>
      <c r="K5" s="591"/>
      <c r="L5" s="592" t="s">
        <v>9</v>
      </c>
      <c r="M5" s="593"/>
      <c r="N5" s="3" t="s">
        <v>175</v>
      </c>
      <c r="O5" s="4" t="s">
        <v>176</v>
      </c>
      <c r="P5" s="3" t="s">
        <v>175</v>
      </c>
      <c r="Q5" s="4" t="s">
        <v>177</v>
      </c>
    </row>
    <row r="6" spans="2:17" ht="39.6" customHeight="1">
      <c r="B6" s="583"/>
      <c r="C6" s="584"/>
      <c r="D6" s="594" t="s">
        <v>10</v>
      </c>
      <c r="E6" s="555"/>
      <c r="F6" s="595">
        <f>AVERAGE(D13:O13,P13:Q13,D30:E30,G30:H30,J30:M30)</f>
        <v>382.41079579937832</v>
      </c>
      <c r="G6" s="596"/>
      <c r="H6" s="574">
        <f>AVERAGE(D13:P13,Q13)</f>
        <v>145.93125054188025</v>
      </c>
      <c r="I6" s="575"/>
      <c r="J6" s="574">
        <f>AVERAGE(D30:E30,G30:H30)</f>
        <v>711.25</v>
      </c>
      <c r="K6" s="575"/>
      <c r="L6" s="576">
        <f>AVERAGE(J30:M30)</f>
        <v>881.25</v>
      </c>
      <c r="M6" s="577"/>
      <c r="N6" s="578">
        <v>0</v>
      </c>
      <c r="O6" s="563">
        <v>0</v>
      </c>
      <c r="P6" s="579">
        <v>6</v>
      </c>
      <c r="Q6" s="563">
        <v>3</v>
      </c>
    </row>
    <row r="7" spans="2:17" s="5" customFormat="1" ht="39.6" customHeight="1">
      <c r="B7" s="583"/>
      <c r="C7" s="584"/>
      <c r="D7" s="564" t="s">
        <v>11</v>
      </c>
      <c r="E7" s="565"/>
      <c r="F7" s="566">
        <f>AVERAGE(D14:O14,P14:Q14,D31:E31,J31:M31,G31:H31)</f>
        <v>365.82827913336439</v>
      </c>
      <c r="G7" s="567"/>
      <c r="H7" s="568">
        <f>AVERAGE(D14:P14,Q14)</f>
        <v>131.36961776421006</v>
      </c>
      <c r="I7" s="569"/>
      <c r="J7" s="568">
        <f>AVERAGE(D31:E31,G31:H31)</f>
        <v>713.15080030591923</v>
      </c>
      <c r="K7" s="569"/>
      <c r="L7" s="570">
        <f>AVERAGE(J31:M31)</f>
        <v>839.11107275284985</v>
      </c>
      <c r="M7" s="571"/>
      <c r="N7" s="578"/>
      <c r="O7" s="563"/>
      <c r="P7" s="579"/>
      <c r="Q7" s="563"/>
    </row>
    <row r="8" spans="2:17" s="5" customFormat="1" ht="39.6" customHeight="1">
      <c r="B8" s="585"/>
      <c r="C8" s="562"/>
      <c r="D8" s="564" t="s">
        <v>12</v>
      </c>
      <c r="E8" s="565"/>
      <c r="F8" s="572">
        <f>AVERAGE(D15:O15,P15:Q15,D32:E32,G32:H32,J32:M32)</f>
        <v>0.91825002797323918</v>
      </c>
      <c r="G8" s="573"/>
      <c r="H8" s="572">
        <f>AVERAGE(D15:O15,P15:Q15)</f>
        <v>0.89676131575302076</v>
      </c>
      <c r="I8" s="573"/>
      <c r="J8" s="572">
        <f>AVERAGE(D32:E32,G32:H32)</f>
        <v>0.9542807372410127</v>
      </c>
      <c r="K8" s="573"/>
      <c r="L8" s="572">
        <f>AVERAGE(J32:M32)</f>
        <v>0.95742981147623007</v>
      </c>
      <c r="M8" s="573"/>
      <c r="N8" s="578"/>
      <c r="O8" s="563"/>
      <c r="P8" s="579"/>
      <c r="Q8" s="563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551" t="s">
        <v>139</v>
      </c>
      <c r="C10" s="557"/>
      <c r="D10" s="558" t="s">
        <v>140</v>
      </c>
      <c r="E10" s="559"/>
      <c r="F10" s="559"/>
      <c r="G10" s="559"/>
      <c r="H10" s="559"/>
      <c r="I10" s="559"/>
      <c r="J10" s="559"/>
      <c r="K10" s="559"/>
      <c r="L10" s="559"/>
      <c r="M10" s="559"/>
      <c r="N10" s="559"/>
      <c r="O10" s="559"/>
      <c r="P10" s="559"/>
      <c r="Q10" s="560"/>
    </row>
    <row r="11" spans="2:17" ht="17.25" customHeight="1">
      <c r="B11" s="542" t="s">
        <v>141</v>
      </c>
      <c r="C11" s="561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" customHeight="1">
      <c r="B12" s="544"/>
      <c r="C12" s="562"/>
      <c r="D12" s="14" t="s">
        <v>142</v>
      </c>
      <c r="E12" s="360" t="s">
        <v>143</v>
      </c>
      <c r="F12" s="360" t="s">
        <v>144</v>
      </c>
      <c r="G12" s="360" t="s">
        <v>145</v>
      </c>
      <c r="H12" s="14" t="s">
        <v>146</v>
      </c>
      <c r="I12" s="360" t="s">
        <v>147</v>
      </c>
      <c r="J12" s="360" t="s">
        <v>148</v>
      </c>
      <c r="K12" s="360" t="s">
        <v>149</v>
      </c>
      <c r="L12" s="360" t="s">
        <v>150</v>
      </c>
      <c r="M12" s="360" t="s">
        <v>151</v>
      </c>
      <c r="N12" s="360" t="s">
        <v>152</v>
      </c>
      <c r="O12" s="360" t="s">
        <v>153</v>
      </c>
      <c r="P12" s="360" t="s">
        <v>154</v>
      </c>
      <c r="Q12" s="361" t="s">
        <v>13</v>
      </c>
    </row>
    <row r="13" spans="2:17" ht="39.9" customHeight="1">
      <c r="B13" s="546" t="s">
        <v>35</v>
      </c>
      <c r="C13" s="14" t="s">
        <v>155</v>
      </c>
      <c r="D13" s="19">
        <v>135.00300120048021</v>
      </c>
      <c r="E13" s="19">
        <v>116.76198257080613</v>
      </c>
      <c r="F13" s="19">
        <v>151.40203610888594</v>
      </c>
      <c r="G13" s="19">
        <v>314.46258503401361</v>
      </c>
      <c r="H13" s="19">
        <v>228.57142857142858</v>
      </c>
      <c r="I13" s="19">
        <v>87.333290333677326</v>
      </c>
      <c r="J13" s="19">
        <v>102.62498452012383</v>
      </c>
      <c r="K13" s="19">
        <v>76.69016290726816</v>
      </c>
      <c r="L13" s="19">
        <v>84.116767954745242</v>
      </c>
      <c r="M13" s="19">
        <v>81.522739139515465</v>
      </c>
      <c r="N13" s="19">
        <v>88.025958482808335</v>
      </c>
      <c r="O13" s="19">
        <v>226.9047619047619</v>
      </c>
      <c r="P13" s="19">
        <v>199.61780885780882</v>
      </c>
      <c r="Q13" s="21">
        <v>150</v>
      </c>
    </row>
    <row r="14" spans="2:17" ht="39.9" customHeight="1">
      <c r="B14" s="547"/>
      <c r="C14" s="14" t="s">
        <v>156</v>
      </c>
      <c r="D14" s="19">
        <v>123.87990392000452</v>
      </c>
      <c r="E14" s="19">
        <v>101.62690076401118</v>
      </c>
      <c r="F14" s="19">
        <v>128.36356006463046</v>
      </c>
      <c r="G14" s="19">
        <v>284.59391738870568</v>
      </c>
      <c r="H14" s="19">
        <v>224.95807118666758</v>
      </c>
      <c r="I14" s="19">
        <v>78.610415022125053</v>
      </c>
      <c r="J14" s="19">
        <v>88.576507490735793</v>
      </c>
      <c r="K14" s="19">
        <v>64.416170634920675</v>
      </c>
      <c r="L14" s="19">
        <v>76.731687258777768</v>
      </c>
      <c r="M14" s="19">
        <v>74.07459628001294</v>
      </c>
      <c r="N14" s="19">
        <v>81.177677931958513</v>
      </c>
      <c r="O14" s="19">
        <v>190.47205981035248</v>
      </c>
      <c r="P14" s="19">
        <v>181.43206983492701</v>
      </c>
      <c r="Q14" s="9">
        <v>140.26111111111109</v>
      </c>
    </row>
    <row r="15" spans="2:17" ht="39.9" customHeight="1">
      <c r="B15" s="548"/>
      <c r="C15" s="360" t="s">
        <v>157</v>
      </c>
      <c r="D15" s="10">
        <f t="shared" ref="D15:Q15" si="0">D14/D13</f>
        <v>0.91760851846576486</v>
      </c>
      <c r="E15" s="10">
        <f t="shared" si="0"/>
        <v>0.87037662881737377</v>
      </c>
      <c r="F15" s="10">
        <f t="shared" si="0"/>
        <v>0.84783245565015675</v>
      </c>
      <c r="G15" s="10">
        <f t="shared" si="0"/>
        <v>0.90501678397740959</v>
      </c>
      <c r="H15" s="10">
        <f t="shared" si="0"/>
        <v>0.98419156144167064</v>
      </c>
      <c r="I15" s="10">
        <f t="shared" si="0"/>
        <v>0.90011969916369261</v>
      </c>
      <c r="J15" s="10">
        <f t="shared" si="0"/>
        <v>0.86310860756687124</v>
      </c>
      <c r="K15" s="10">
        <f t="shared" si="0"/>
        <v>0.8399534985055529</v>
      </c>
      <c r="L15" s="10">
        <f t="shared" si="0"/>
        <v>0.91220441684182818</v>
      </c>
      <c r="M15" s="10">
        <f t="shared" si="0"/>
        <v>0.90863723498353011</v>
      </c>
      <c r="N15" s="10">
        <f t="shared" si="0"/>
        <v>0.9222015792967786</v>
      </c>
      <c r="O15" s="10">
        <f t="shared" si="0"/>
        <v>0.83943615026598151</v>
      </c>
      <c r="P15" s="362">
        <f t="shared" si="0"/>
        <v>0.90889721149160674</v>
      </c>
      <c r="Q15" s="11">
        <f t="shared" si="0"/>
        <v>0.93507407407407395</v>
      </c>
    </row>
    <row r="16" spans="2:17" ht="22.8" customHeight="1">
      <c r="B16" s="549" t="s">
        <v>158</v>
      </c>
      <c r="C16" s="360" t="s">
        <v>159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363">
        <v>0.3888888888888889</v>
      </c>
    </row>
    <row r="17" spans="2:23" ht="22.8" customHeight="1">
      <c r="B17" s="550"/>
      <c r="C17" s="360" t="s">
        <v>36</v>
      </c>
      <c r="D17" s="12">
        <v>0.66111111111111098</v>
      </c>
      <c r="E17" s="12">
        <v>0.52361111111111103</v>
      </c>
      <c r="F17" s="12">
        <v>0.57638888888888884</v>
      </c>
      <c r="G17" s="12">
        <v>0.55208333333333326</v>
      </c>
      <c r="H17" s="12">
        <v>0.55486111111111114</v>
      </c>
      <c r="I17" s="12">
        <v>0.6069444444444444</v>
      </c>
      <c r="J17" s="12">
        <v>0.69305555555555542</v>
      </c>
      <c r="K17" s="12">
        <v>0.66527777777777763</v>
      </c>
      <c r="L17" s="12">
        <v>0.95763888888888904</v>
      </c>
      <c r="M17" s="12">
        <v>0.8951388888888886</v>
      </c>
      <c r="N17" s="12">
        <v>0.92361111111111072</v>
      </c>
      <c r="O17" s="22">
        <v>0.83680555555555547</v>
      </c>
      <c r="P17" s="12">
        <v>0.52499999999999991</v>
      </c>
      <c r="Q17" s="363">
        <v>0.51041666666666663</v>
      </c>
    </row>
    <row r="18" spans="2:23" ht="22.8" customHeight="1">
      <c r="B18" s="553" t="s">
        <v>14</v>
      </c>
      <c r="C18" s="364" t="s">
        <v>160</v>
      </c>
      <c r="D18" s="365" t="s">
        <v>15</v>
      </c>
      <c r="E18" s="365" t="s">
        <v>15</v>
      </c>
      <c r="F18" s="365" t="s">
        <v>15</v>
      </c>
      <c r="G18" s="365" t="s">
        <v>15</v>
      </c>
      <c r="H18" s="365" t="s">
        <v>15</v>
      </c>
      <c r="I18" s="365" t="s">
        <v>15</v>
      </c>
      <c r="J18" s="365" t="s">
        <v>15</v>
      </c>
      <c r="K18" s="365" t="s">
        <v>15</v>
      </c>
      <c r="L18" s="365" t="s">
        <v>15</v>
      </c>
      <c r="M18" s="365" t="s">
        <v>15</v>
      </c>
      <c r="N18" s="365" t="s">
        <v>15</v>
      </c>
      <c r="O18" s="365" t="s">
        <v>15</v>
      </c>
      <c r="P18" s="365" t="s">
        <v>15</v>
      </c>
      <c r="Q18" s="366"/>
    </row>
    <row r="19" spans="2:23" ht="22.8" customHeight="1">
      <c r="B19" s="554"/>
      <c r="C19" s="364" t="s">
        <v>161</v>
      </c>
      <c r="D19" s="365" t="s">
        <v>15</v>
      </c>
      <c r="E19" s="365" t="s">
        <v>15</v>
      </c>
      <c r="F19" s="365" t="s">
        <v>15</v>
      </c>
      <c r="G19" s="365" t="s">
        <v>15</v>
      </c>
      <c r="H19" s="365" t="s">
        <v>15</v>
      </c>
      <c r="I19" s="365" t="s">
        <v>15</v>
      </c>
      <c r="J19" s="365" t="s">
        <v>15</v>
      </c>
      <c r="K19" s="365" t="s">
        <v>15</v>
      </c>
      <c r="L19" s="365" t="s">
        <v>15</v>
      </c>
      <c r="M19" s="365" t="s">
        <v>15</v>
      </c>
      <c r="N19" s="365" t="s">
        <v>15</v>
      </c>
      <c r="O19" s="365" t="s">
        <v>15</v>
      </c>
      <c r="P19" s="365" t="s">
        <v>15</v>
      </c>
      <c r="Q19" s="366"/>
    </row>
    <row r="20" spans="2:23" ht="22.8" customHeight="1">
      <c r="B20" s="553" t="s">
        <v>16</v>
      </c>
      <c r="C20" s="364" t="s">
        <v>160</v>
      </c>
      <c r="D20" s="365">
        <v>1</v>
      </c>
      <c r="E20" s="365" t="s">
        <v>15</v>
      </c>
      <c r="F20" s="365">
        <v>1</v>
      </c>
      <c r="G20" s="365" t="s">
        <v>15</v>
      </c>
      <c r="H20" s="365">
        <v>1</v>
      </c>
      <c r="I20" s="365" t="s">
        <v>15</v>
      </c>
      <c r="J20" s="365">
        <v>2</v>
      </c>
      <c r="K20" s="365" t="s">
        <v>15</v>
      </c>
      <c r="L20" s="365" t="s">
        <v>15</v>
      </c>
      <c r="M20" s="365" t="s">
        <v>15</v>
      </c>
      <c r="N20" s="365" t="s">
        <v>15</v>
      </c>
      <c r="O20" s="365" t="s">
        <v>15</v>
      </c>
      <c r="P20" s="365">
        <v>1</v>
      </c>
      <c r="Q20" s="366"/>
    </row>
    <row r="21" spans="2:23" ht="22.8" customHeight="1">
      <c r="B21" s="554"/>
      <c r="C21" s="364" t="s">
        <v>162</v>
      </c>
      <c r="D21" s="365" t="s">
        <v>15</v>
      </c>
      <c r="E21" s="365" t="s">
        <v>15</v>
      </c>
      <c r="F21" s="365">
        <v>1</v>
      </c>
      <c r="G21" s="365" t="s">
        <v>15</v>
      </c>
      <c r="H21" s="365" t="s">
        <v>15</v>
      </c>
      <c r="I21" s="365" t="s">
        <v>15</v>
      </c>
      <c r="J21" s="365">
        <v>1</v>
      </c>
      <c r="K21" s="365">
        <v>1</v>
      </c>
      <c r="L21" s="365" t="s">
        <v>15</v>
      </c>
      <c r="M21" s="365" t="s">
        <v>15</v>
      </c>
      <c r="N21" s="365" t="s">
        <v>15</v>
      </c>
      <c r="O21" s="365" t="s">
        <v>15</v>
      </c>
      <c r="P21" s="365" t="s">
        <v>15</v>
      </c>
      <c r="Q21" s="366"/>
    </row>
    <row r="22" spans="2:23" ht="22.8" customHeight="1">
      <c r="B22" s="532" t="s">
        <v>163</v>
      </c>
      <c r="C22" s="555"/>
      <c r="D22" s="367">
        <v>18.857142857142858</v>
      </c>
      <c r="E22" s="367">
        <v>16.666666666666668</v>
      </c>
      <c r="F22" s="367">
        <v>15.25</v>
      </c>
      <c r="G22" s="367">
        <v>6</v>
      </c>
      <c r="H22" s="367">
        <v>6.6</v>
      </c>
      <c r="I22" s="367">
        <v>17.666666666666668</v>
      </c>
      <c r="J22" s="367">
        <v>18.399999999999999</v>
      </c>
      <c r="K22" s="367">
        <v>18.142857142857142</v>
      </c>
      <c r="L22" s="367">
        <v>17</v>
      </c>
      <c r="M22" s="367">
        <v>18.625</v>
      </c>
      <c r="N22" s="367">
        <v>17.222222222222221</v>
      </c>
      <c r="O22" s="367">
        <v>10</v>
      </c>
      <c r="P22" s="367">
        <v>12.4</v>
      </c>
      <c r="Q22" s="368">
        <v>11.333333333333334</v>
      </c>
    </row>
    <row r="23" spans="2:23" ht="22.8" customHeight="1">
      <c r="B23" s="532" t="s">
        <v>164</v>
      </c>
      <c r="C23" s="555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532" t="s">
        <v>165</v>
      </c>
      <c r="C24" s="555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534" t="s">
        <v>166</v>
      </c>
      <c r="C25" s="556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187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551"/>
      <c r="C27" s="552"/>
      <c r="D27" s="536" t="s">
        <v>167</v>
      </c>
      <c r="E27" s="537"/>
      <c r="F27" s="537"/>
      <c r="G27" s="537"/>
      <c r="H27" s="538"/>
      <c r="I27" s="539" t="s">
        <v>168</v>
      </c>
      <c r="J27" s="540"/>
      <c r="K27" s="540"/>
      <c r="L27" s="540"/>
      <c r="M27" s="541"/>
      <c r="N27" s="359"/>
      <c r="O27" s="359"/>
      <c r="P27" s="359"/>
      <c r="Q27" s="359"/>
    </row>
    <row r="28" spans="2:23" ht="17.25" customHeight="1">
      <c r="B28" s="542" t="s">
        <v>141</v>
      </c>
      <c r="C28" s="543"/>
      <c r="D28" s="369">
        <v>1</v>
      </c>
      <c r="E28" s="471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544"/>
      <c r="C29" s="545"/>
      <c r="D29" s="370" t="s">
        <v>26</v>
      </c>
      <c r="E29" s="371" t="s">
        <v>27</v>
      </c>
      <c r="F29" s="14" t="s">
        <v>28</v>
      </c>
      <c r="G29" s="14" t="s">
        <v>29</v>
      </c>
      <c r="H29" s="372" t="s">
        <v>30</v>
      </c>
      <c r="I29" s="370" t="s">
        <v>31</v>
      </c>
      <c r="J29" s="14" t="s">
        <v>27</v>
      </c>
      <c r="K29" s="14" t="s">
        <v>28</v>
      </c>
      <c r="L29" s="14" t="s">
        <v>29</v>
      </c>
      <c r="M29" s="372" t="s">
        <v>30</v>
      </c>
      <c r="N29" s="359"/>
      <c r="O29" s="359"/>
      <c r="P29" s="359"/>
      <c r="Q29" s="359"/>
    </row>
    <row r="30" spans="2:23" ht="39.9" customHeight="1">
      <c r="B30" s="546" t="s">
        <v>35</v>
      </c>
      <c r="C30" s="373" t="s">
        <v>155</v>
      </c>
      <c r="D30" s="20">
        <v>220</v>
      </c>
      <c r="E30" s="472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" customHeight="1">
      <c r="B31" s="547"/>
      <c r="C31" s="373" t="s">
        <v>156</v>
      </c>
      <c r="D31" s="375">
        <v>164.3032967032967</v>
      </c>
      <c r="E31" s="8">
        <v>824.56989337157279</v>
      </c>
      <c r="F31" s="8">
        <v>0</v>
      </c>
      <c r="G31" s="8">
        <v>903.41928822811087</v>
      </c>
      <c r="H31" s="376">
        <v>960.31072292069655</v>
      </c>
      <c r="I31" s="375">
        <v>0</v>
      </c>
      <c r="J31" s="8">
        <v>993.33333333332359</v>
      </c>
      <c r="K31" s="8">
        <v>622.59920634920775</v>
      </c>
      <c r="L31" s="8">
        <v>877.9674242325982</v>
      </c>
      <c r="M31" s="376">
        <v>862.5443270962694</v>
      </c>
      <c r="N31" s="359"/>
      <c r="O31" s="359"/>
      <c r="P31" s="359"/>
      <c r="Q31" s="359"/>
    </row>
    <row r="32" spans="2:23" ht="39.9" customHeight="1">
      <c r="B32" s="548"/>
      <c r="C32" s="470" t="s">
        <v>157</v>
      </c>
      <c r="D32" s="377">
        <f t="shared" ref="D32:M32" si="1">D31/D30</f>
        <v>0.74683316683316681</v>
      </c>
      <c r="E32" s="10">
        <f t="shared" si="1"/>
        <v>0.99947865863220942</v>
      </c>
      <c r="F32" s="10">
        <f t="shared" si="1"/>
        <v>0</v>
      </c>
      <c r="G32" s="10">
        <f t="shared" si="1"/>
        <v>1.0037992091423453</v>
      </c>
      <c r="H32" s="10">
        <f t="shared" si="1"/>
        <v>1.0670119143563295</v>
      </c>
      <c r="I32" s="375">
        <f t="shared" si="1"/>
        <v>0</v>
      </c>
      <c r="J32" s="10">
        <f t="shared" si="1"/>
        <v>1.2040404040403923</v>
      </c>
      <c r="K32" s="10">
        <f t="shared" si="1"/>
        <v>0.69177689594356417</v>
      </c>
      <c r="L32" s="10">
        <f t="shared" si="1"/>
        <v>0.97551936025844244</v>
      </c>
      <c r="M32" s="11">
        <f t="shared" si="1"/>
        <v>0.95838258566252155</v>
      </c>
      <c r="N32" s="359"/>
      <c r="O32" s="359"/>
      <c r="P32" s="359"/>
      <c r="Q32" s="359"/>
    </row>
    <row r="33" spans="2:17" ht="25.8" customHeight="1">
      <c r="B33" s="549" t="s">
        <v>158</v>
      </c>
      <c r="C33" s="470" t="s">
        <v>159</v>
      </c>
      <c r="D33" s="378">
        <v>0.17361111111111113</v>
      </c>
      <c r="E33" s="12">
        <v>0.18055555555555555</v>
      </c>
      <c r="F33" s="12">
        <v>0</v>
      </c>
      <c r="G33" s="12">
        <v>2748.0000000000095</v>
      </c>
      <c r="H33" s="363">
        <v>0.18055555555555555</v>
      </c>
      <c r="I33" s="378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2.0833333333333332E-2</v>
      </c>
      <c r="N33" s="359"/>
      <c r="O33" s="359"/>
      <c r="P33" s="359"/>
      <c r="Q33" s="359"/>
    </row>
    <row r="34" spans="2:17" ht="25.8" customHeight="1">
      <c r="B34" s="550"/>
      <c r="C34" s="470" t="s">
        <v>36</v>
      </c>
      <c r="D34" s="378">
        <v>0.34722222222222227</v>
      </c>
      <c r="E34" s="12">
        <v>0.36180555555555555</v>
      </c>
      <c r="F34" s="12">
        <v>0</v>
      </c>
      <c r="G34" s="12">
        <v>1137.6923076923117</v>
      </c>
      <c r="H34" s="363">
        <v>0.4548611111111111</v>
      </c>
      <c r="I34" s="23">
        <v>0</v>
      </c>
      <c r="J34" s="12">
        <v>0.73055555555555562</v>
      </c>
      <c r="K34" s="12">
        <v>0.83333333333333337</v>
      </c>
      <c r="L34" s="12">
        <v>46207.020833333336</v>
      </c>
      <c r="M34" s="13">
        <v>46207.006944444445</v>
      </c>
      <c r="N34" s="359"/>
      <c r="O34" s="359"/>
      <c r="P34" s="359"/>
      <c r="Q34" s="359"/>
    </row>
    <row r="35" spans="2:17" ht="25.8" customHeight="1">
      <c r="B35" s="532" t="s">
        <v>163</v>
      </c>
      <c r="C35" s="533"/>
      <c r="D35" s="379">
        <v>11</v>
      </c>
      <c r="E35" s="380">
        <v>3.5</v>
      </c>
      <c r="F35" s="380">
        <v>0</v>
      </c>
      <c r="G35" s="380">
        <v>3.5</v>
      </c>
      <c r="H35" s="381">
        <v>3.3333333333333335</v>
      </c>
      <c r="I35" s="382">
        <v>0</v>
      </c>
      <c r="J35" s="380">
        <v>3</v>
      </c>
      <c r="K35" s="380">
        <v>3.6666666666666665</v>
      </c>
      <c r="L35" s="380">
        <v>3.4</v>
      </c>
      <c r="M35" s="368">
        <v>3.4285714285714284</v>
      </c>
      <c r="N35" s="359"/>
      <c r="O35" s="359"/>
      <c r="P35" s="359"/>
      <c r="Q35" s="359"/>
    </row>
    <row r="36" spans="2:17" ht="25.8" customHeight="1">
      <c r="B36" s="532" t="s">
        <v>164</v>
      </c>
      <c r="C36" s="533"/>
      <c r="D36" s="38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8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59"/>
      <c r="O36" s="359"/>
      <c r="P36" s="359"/>
      <c r="Q36" s="359"/>
    </row>
    <row r="37" spans="2:17" ht="25.8" customHeight="1">
      <c r="B37" s="532" t="s">
        <v>165</v>
      </c>
      <c r="C37" s="533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8" customHeight="1" thickBot="1">
      <c r="B38" s="534" t="s">
        <v>166</v>
      </c>
      <c r="C38" s="535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119" priority="4" operator="lessThan">
      <formula>0.8</formula>
    </cfRule>
  </conditionalFormatting>
  <conditionalFormatting sqref="J32:L32">
    <cfRule type="cellIs" dxfId="118" priority="3" operator="lessThan">
      <formula>0.8</formula>
    </cfRule>
  </conditionalFormatting>
  <conditionalFormatting sqref="M32">
    <cfRule type="cellIs" dxfId="117" priority="2" operator="lessThan">
      <formula>0.8</formula>
    </cfRule>
  </conditionalFormatting>
  <conditionalFormatting sqref="H32">
    <cfRule type="cellIs" dxfId="11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26" zoomScale="70" zoomScaleNormal="70" workbookViewId="0">
      <selection activeCell="D27" sqref="D27"/>
    </sheetView>
  </sheetViews>
  <sheetFormatPr defaultColWidth="7.88671875" defaultRowHeight="15.6"/>
  <cols>
    <col min="1" max="1" width="13.6640625" style="282" customWidth="1"/>
    <col min="2" max="2" width="12.77734375" style="282" customWidth="1"/>
    <col min="3" max="3" width="12.77734375" style="342" hidden="1" customWidth="1"/>
    <col min="4" max="5" width="18.33203125" style="282" customWidth="1"/>
    <col min="6" max="6" width="9.77734375" style="340" customWidth="1"/>
    <col min="7" max="7" width="21.109375" style="282" bestFit="1" customWidth="1"/>
    <col min="8" max="8" width="15.6640625" style="282" customWidth="1"/>
    <col min="9" max="9" width="12.21875" style="282" bestFit="1" customWidth="1"/>
    <col min="10" max="15" width="9.77734375" style="282" customWidth="1"/>
    <col min="16" max="16" width="9.77734375" style="341" customWidth="1"/>
    <col min="17" max="18" width="9.77734375" style="282" customWidth="1"/>
    <col min="19" max="16384" width="7.88671875" style="282"/>
  </cols>
  <sheetData>
    <row r="1" spans="1:18" ht="26.25" customHeight="1">
      <c r="A1" s="394" t="s">
        <v>433</v>
      </c>
      <c r="B1" s="395"/>
      <c r="C1" s="396"/>
      <c r="D1" s="276" t="s">
        <v>434</v>
      </c>
      <c r="E1" s="277">
        <f>SUM(G5:G124)</f>
        <v>73960</v>
      </c>
      <c r="F1" s="278" t="s">
        <v>3</v>
      </c>
      <c r="G1" s="279">
        <f>SUM(H5:H124)</f>
        <v>1368427.130779221</v>
      </c>
      <c r="H1" s="280" t="s">
        <v>435</v>
      </c>
      <c r="I1" s="281">
        <f>+J16+J64+J24+J38+J51+J81+J100+J91+J57+J124+J111</f>
        <v>45.828571428571429</v>
      </c>
      <c r="J1" s="649" t="s">
        <v>436</v>
      </c>
      <c r="K1" s="650"/>
      <c r="L1" s="651"/>
      <c r="M1" s="649" t="s">
        <v>437</v>
      </c>
      <c r="N1" s="650"/>
      <c r="O1" s="650"/>
      <c r="P1" s="650"/>
      <c r="Q1" s="650"/>
      <c r="R1" s="651"/>
    </row>
    <row r="2" spans="1:18" ht="26.25" customHeight="1" thickBot="1">
      <c r="A2" s="655" t="s">
        <v>438</v>
      </c>
      <c r="B2" s="656"/>
      <c r="C2" s="283"/>
      <c r="D2" s="473" t="s">
        <v>439</v>
      </c>
      <c r="E2" s="284">
        <f>AVERAGE(L16,L24,L38,L51,L100,L111,L91)</f>
        <v>603.83904418351835</v>
      </c>
      <c r="F2" s="285" t="s">
        <v>40</v>
      </c>
      <c r="G2" s="286">
        <f>G1/E1</f>
        <v>18.502259745527596</v>
      </c>
      <c r="H2" s="287" t="s">
        <v>440</v>
      </c>
      <c r="I2" s="288">
        <f>COUNT(I5:I124)</f>
        <v>0</v>
      </c>
      <c r="J2" s="652"/>
      <c r="K2" s="653"/>
      <c r="L2" s="654"/>
      <c r="M2" s="652"/>
      <c r="N2" s="653"/>
      <c r="O2" s="653"/>
      <c r="P2" s="653"/>
      <c r="Q2" s="653"/>
      <c r="R2" s="654"/>
    </row>
    <row r="3" spans="1:18" ht="23.25" customHeight="1">
      <c r="A3" s="657" t="s">
        <v>441</v>
      </c>
      <c r="B3" s="659" t="s">
        <v>442</v>
      </c>
      <c r="C3" s="475"/>
      <c r="D3" s="660" t="s">
        <v>443</v>
      </c>
      <c r="E3" s="660"/>
      <c r="F3" s="661" t="s">
        <v>43</v>
      </c>
      <c r="G3" s="662" t="s">
        <v>444</v>
      </c>
      <c r="H3" s="663" t="s">
        <v>445</v>
      </c>
      <c r="I3" s="664" t="s">
        <v>446</v>
      </c>
      <c r="J3" s="637" t="s">
        <v>447</v>
      </c>
      <c r="K3" s="639" t="s">
        <v>448</v>
      </c>
      <c r="L3" s="641" t="s">
        <v>439</v>
      </c>
      <c r="M3" s="666" t="s">
        <v>48</v>
      </c>
      <c r="N3" s="666"/>
      <c r="O3" s="637" t="s">
        <v>101</v>
      </c>
      <c r="P3" s="667" t="s">
        <v>449</v>
      </c>
      <c r="Q3" s="637" t="s">
        <v>450</v>
      </c>
      <c r="R3" s="637"/>
    </row>
    <row r="4" spans="1:18" ht="15.75" customHeight="1">
      <c r="A4" s="658"/>
      <c r="B4" s="659"/>
      <c r="C4" s="475"/>
      <c r="D4" s="660"/>
      <c r="E4" s="660"/>
      <c r="F4" s="661"/>
      <c r="G4" s="662"/>
      <c r="H4" s="663"/>
      <c r="I4" s="665"/>
      <c r="J4" s="638"/>
      <c r="K4" s="640"/>
      <c r="L4" s="642"/>
      <c r="M4" s="479" t="s">
        <v>50</v>
      </c>
      <c r="N4" s="479" t="s">
        <v>51</v>
      </c>
      <c r="O4" s="638"/>
      <c r="P4" s="668"/>
      <c r="Q4" s="289" t="s">
        <v>451</v>
      </c>
      <c r="R4" s="289" t="s">
        <v>452</v>
      </c>
    </row>
    <row r="5" spans="1:18">
      <c r="A5" s="643" t="s">
        <v>453</v>
      </c>
      <c r="B5" s="397" t="s">
        <v>129</v>
      </c>
      <c r="C5" s="397"/>
      <c r="D5" s="306" t="s">
        <v>174</v>
      </c>
      <c r="E5" s="410"/>
      <c r="F5" s="398">
        <v>25.64</v>
      </c>
      <c r="G5" s="475">
        <v>753</v>
      </c>
      <c r="H5" s="291">
        <f>F5*G5</f>
        <v>19306.920000000002</v>
      </c>
      <c r="I5" s="477"/>
      <c r="J5" s="292">
        <v>10</v>
      </c>
      <c r="K5" s="293">
        <f t="shared" ref="K5:K7" si="0">G5/P5*60</f>
        <v>1505.9999999999973</v>
      </c>
      <c r="L5" s="294">
        <f t="shared" ref="L5:L7" si="1">K5/J5</f>
        <v>150.59999999999974</v>
      </c>
      <c r="M5" s="295">
        <v>0.3888888888888889</v>
      </c>
      <c r="N5" s="295">
        <v>0.40972222222222227</v>
      </c>
      <c r="O5" s="289">
        <v>5</v>
      </c>
      <c r="P5" s="480">
        <f t="shared" ref="P5:P7" si="2">(N5-M5)*24*60</f>
        <v>30.000000000000053</v>
      </c>
      <c r="Q5" s="296"/>
      <c r="R5" s="296"/>
    </row>
    <row r="6" spans="1:18">
      <c r="A6" s="643"/>
      <c r="B6" s="397" t="s">
        <v>129</v>
      </c>
      <c r="C6" s="397"/>
      <c r="D6" s="306" t="s">
        <v>185</v>
      </c>
      <c r="E6" s="410"/>
      <c r="F6" s="398">
        <v>29.85</v>
      </c>
      <c r="G6" s="475">
        <v>1889</v>
      </c>
      <c r="H6" s="291">
        <f t="shared" ref="H6:H15" si="3">F6*G6</f>
        <v>56386.65</v>
      </c>
      <c r="I6" s="477"/>
      <c r="J6" s="292">
        <v>12</v>
      </c>
      <c r="K6" s="293">
        <f t="shared" si="0"/>
        <v>1511.2000000000005</v>
      </c>
      <c r="L6" s="294">
        <f t="shared" si="1"/>
        <v>125.93333333333338</v>
      </c>
      <c r="M6" s="295">
        <v>0.41319444444444442</v>
      </c>
      <c r="N6" s="295">
        <v>0.46527777777777773</v>
      </c>
      <c r="O6" s="289">
        <v>5</v>
      </c>
      <c r="P6" s="480">
        <f t="shared" si="2"/>
        <v>74.999999999999972</v>
      </c>
      <c r="Q6" s="289"/>
      <c r="R6" s="289"/>
    </row>
    <row r="7" spans="1:18">
      <c r="A7" s="643"/>
      <c r="B7" s="397" t="s">
        <v>129</v>
      </c>
      <c r="C7" s="397"/>
      <c r="D7" s="306" t="s">
        <v>186</v>
      </c>
      <c r="E7" s="410"/>
      <c r="F7" s="398">
        <v>29.52</v>
      </c>
      <c r="G7" s="475">
        <v>1731</v>
      </c>
      <c r="H7" s="291">
        <f t="shared" si="3"/>
        <v>51099.12</v>
      </c>
      <c r="I7" s="477"/>
      <c r="J7" s="292">
        <v>12</v>
      </c>
      <c r="K7" s="293">
        <f t="shared" si="0"/>
        <v>1731.0000000000016</v>
      </c>
      <c r="L7" s="294">
        <f t="shared" si="1"/>
        <v>144.25000000000014</v>
      </c>
      <c r="M7" s="295">
        <v>0.46875</v>
      </c>
      <c r="N7" s="295">
        <v>0.51041666666666663</v>
      </c>
      <c r="O7" s="289">
        <v>5</v>
      </c>
      <c r="P7" s="480">
        <f t="shared" si="2"/>
        <v>59.999999999999943</v>
      </c>
      <c r="Q7" s="296"/>
      <c r="R7" s="296"/>
    </row>
    <row r="8" spans="1:18">
      <c r="A8" s="643"/>
      <c r="B8" s="397">
        <v>0</v>
      </c>
      <c r="C8" s="397"/>
      <c r="D8" s="306"/>
      <c r="E8" s="410"/>
      <c r="F8" s="398" t="s">
        <v>128</v>
      </c>
      <c r="G8" s="475"/>
      <c r="H8" s="291">
        <f t="shared" si="3"/>
        <v>0</v>
      </c>
      <c r="I8" s="477"/>
      <c r="J8" s="292"/>
      <c r="K8" s="293"/>
      <c r="L8" s="294"/>
      <c r="M8" s="295"/>
      <c r="N8" s="295"/>
      <c r="O8" s="289"/>
      <c r="P8" s="480"/>
      <c r="Q8" s="296"/>
      <c r="R8" s="296"/>
    </row>
    <row r="9" spans="1:18">
      <c r="A9" s="643"/>
      <c r="B9" s="397">
        <v>0</v>
      </c>
      <c r="C9" s="397"/>
      <c r="D9" s="306"/>
      <c r="E9" s="410"/>
      <c r="F9" s="398" t="s">
        <v>128</v>
      </c>
      <c r="G9" s="297"/>
      <c r="H9" s="291">
        <f t="shared" si="3"/>
        <v>0</v>
      </c>
      <c r="I9" s="477"/>
      <c r="J9" s="292"/>
      <c r="K9" s="293"/>
      <c r="L9" s="294"/>
      <c r="M9" s="295"/>
      <c r="N9" s="295"/>
      <c r="O9" s="289"/>
      <c r="P9" s="480"/>
      <c r="Q9" s="296"/>
      <c r="R9" s="296"/>
    </row>
    <row r="10" spans="1:18">
      <c r="A10" s="643"/>
      <c r="B10" s="397">
        <v>0</v>
      </c>
      <c r="C10" s="397"/>
      <c r="D10" s="306"/>
      <c r="E10" s="410"/>
      <c r="F10" s="398" t="s">
        <v>128</v>
      </c>
      <c r="G10" s="297"/>
      <c r="H10" s="291">
        <f t="shared" si="3"/>
        <v>0</v>
      </c>
      <c r="I10" s="477"/>
      <c r="J10" s="292"/>
      <c r="K10" s="293"/>
      <c r="L10" s="294"/>
      <c r="M10" s="295"/>
      <c r="N10" s="295"/>
      <c r="O10" s="289"/>
      <c r="P10" s="480"/>
      <c r="Q10" s="296"/>
      <c r="R10" s="296"/>
    </row>
    <row r="11" spans="1:18">
      <c r="A11" s="643"/>
      <c r="B11" s="397">
        <v>0</v>
      </c>
      <c r="C11" s="397"/>
      <c r="D11" s="306"/>
      <c r="E11" s="410"/>
      <c r="F11" s="398" t="s">
        <v>128</v>
      </c>
      <c r="G11" s="297"/>
      <c r="H11" s="291">
        <f t="shared" si="3"/>
        <v>0</v>
      </c>
      <c r="I11" s="477"/>
      <c r="J11" s="292"/>
      <c r="K11" s="293"/>
      <c r="L11" s="294"/>
      <c r="M11" s="295"/>
      <c r="N11" s="295"/>
      <c r="O11" s="289"/>
      <c r="P11" s="480"/>
      <c r="Q11" s="296"/>
      <c r="R11" s="296"/>
    </row>
    <row r="12" spans="1:18">
      <c r="A12" s="644"/>
      <c r="B12" s="397">
        <v>0</v>
      </c>
      <c r="C12" s="476"/>
      <c r="D12" s="306"/>
      <c r="E12" s="410"/>
      <c r="F12" s="398" t="s">
        <v>128</v>
      </c>
      <c r="G12" s="474"/>
      <c r="H12" s="291">
        <f t="shared" si="3"/>
        <v>0</v>
      </c>
      <c r="I12" s="477"/>
      <c r="J12" s="292"/>
      <c r="K12" s="293"/>
      <c r="L12" s="294"/>
      <c r="M12" s="295"/>
      <c r="N12" s="295"/>
      <c r="O12" s="289"/>
      <c r="P12" s="480"/>
      <c r="Q12" s="296"/>
      <c r="R12" s="289"/>
    </row>
    <row r="13" spans="1:18">
      <c r="A13" s="644"/>
      <c r="B13" s="397">
        <v>0</v>
      </c>
      <c r="C13" s="397"/>
      <c r="D13" s="306"/>
      <c r="E13" s="410"/>
      <c r="F13" s="398" t="s">
        <v>128</v>
      </c>
      <c r="G13" s="297"/>
      <c r="H13" s="291">
        <f t="shared" si="3"/>
        <v>0</v>
      </c>
      <c r="I13" s="477"/>
      <c r="J13" s="292"/>
      <c r="K13" s="293"/>
      <c r="L13" s="294"/>
      <c r="M13" s="295"/>
      <c r="N13" s="295"/>
      <c r="O13" s="289"/>
      <c r="P13" s="480"/>
      <c r="Q13" s="289"/>
      <c r="R13" s="289"/>
    </row>
    <row r="14" spans="1:18">
      <c r="A14" s="644"/>
      <c r="B14" s="397">
        <v>0</v>
      </c>
      <c r="C14" s="397"/>
      <c r="D14" s="409"/>
      <c r="E14" s="410"/>
      <c r="F14" s="398" t="s">
        <v>128</v>
      </c>
      <c r="G14" s="297"/>
      <c r="H14" s="291">
        <f t="shared" si="3"/>
        <v>0</v>
      </c>
      <c r="I14" s="477"/>
      <c r="J14" s="292"/>
      <c r="K14" s="293"/>
      <c r="L14" s="294"/>
      <c r="M14" s="295"/>
      <c r="N14" s="295"/>
      <c r="O14" s="289"/>
      <c r="P14" s="480"/>
      <c r="Q14" s="289"/>
      <c r="R14" s="289"/>
    </row>
    <row r="15" spans="1:18">
      <c r="A15" s="644"/>
      <c r="B15" s="397">
        <v>0</v>
      </c>
      <c r="C15" s="397"/>
      <c r="D15" s="399"/>
      <c r="E15" s="399"/>
      <c r="F15" s="398" t="s">
        <v>128</v>
      </c>
      <c r="G15" s="297"/>
      <c r="H15" s="291">
        <f t="shared" si="3"/>
        <v>0</v>
      </c>
      <c r="I15" s="477"/>
      <c r="J15" s="292"/>
      <c r="K15" s="293"/>
      <c r="L15" s="294"/>
      <c r="M15" s="295"/>
      <c r="N15" s="295"/>
      <c r="O15" s="289"/>
      <c r="P15" s="480"/>
      <c r="Q15" s="289"/>
      <c r="R15" s="289"/>
    </row>
    <row r="16" spans="1:18" ht="15.75" customHeight="1">
      <c r="A16" s="645"/>
      <c r="B16" s="397">
        <v>0</v>
      </c>
      <c r="C16" s="290" t="s">
        <v>454</v>
      </c>
      <c r="D16" s="628" t="s">
        <v>455</v>
      </c>
      <c r="E16" s="628"/>
      <c r="F16" s="298"/>
      <c r="G16" s="299"/>
      <c r="H16" s="300"/>
      <c r="I16" s="301"/>
      <c r="J16" s="302">
        <f>AVERAGE(J5:J15)</f>
        <v>11.333333333333334</v>
      </c>
      <c r="K16" s="302">
        <f>AVERAGE(K5:K15)</f>
        <v>1582.7333333333333</v>
      </c>
      <c r="L16" s="303">
        <f>AVERAGE(L5:L15)</f>
        <v>140.26111111111109</v>
      </c>
      <c r="M16" s="295"/>
      <c r="N16" s="295"/>
      <c r="O16" s="293"/>
      <c r="P16" s="293"/>
      <c r="Q16" s="294"/>
      <c r="R16" s="294"/>
    </row>
    <row r="17" spans="1:18" ht="15.75" customHeight="1">
      <c r="A17" s="646" t="s">
        <v>456</v>
      </c>
      <c r="B17" s="397">
        <v>0</v>
      </c>
      <c r="C17" s="476"/>
      <c r="D17" s="306" t="s">
        <v>183</v>
      </c>
      <c r="E17" s="306"/>
      <c r="F17" s="398" t="s">
        <v>128</v>
      </c>
      <c r="G17" s="475">
        <v>1889</v>
      </c>
      <c r="H17" s="304">
        <f t="shared" ref="H17:H23" si="4">F17*G17</f>
        <v>0</v>
      </c>
      <c r="I17" s="305"/>
      <c r="J17" s="292">
        <v>9</v>
      </c>
      <c r="K17" s="293">
        <f t="shared" ref="K17:K19" si="5">G17/P17*60</f>
        <v>1619.142857142858</v>
      </c>
      <c r="L17" s="294">
        <f>K17/J17</f>
        <v>179.90476190476201</v>
      </c>
      <c r="M17" s="295">
        <v>0.17361111111111113</v>
      </c>
      <c r="N17" s="295">
        <v>0.22222222222222221</v>
      </c>
      <c r="O17" s="289">
        <v>10</v>
      </c>
      <c r="P17" s="480">
        <f>(N17-M17)*24*60</f>
        <v>69.999999999999957</v>
      </c>
      <c r="Q17" s="289"/>
      <c r="R17" s="289"/>
    </row>
    <row r="18" spans="1:18" ht="15.75" customHeight="1">
      <c r="A18" s="646"/>
      <c r="B18" s="397">
        <v>0</v>
      </c>
      <c r="C18" s="476"/>
      <c r="D18" s="306" t="s">
        <v>184</v>
      </c>
      <c r="E18" s="306"/>
      <c r="F18" s="398" t="s">
        <v>128</v>
      </c>
      <c r="G18" s="474">
        <v>1731</v>
      </c>
      <c r="H18" s="291">
        <f t="shared" si="4"/>
        <v>0</v>
      </c>
      <c r="I18" s="477"/>
      <c r="J18" s="292">
        <v>9</v>
      </c>
      <c r="K18" s="293">
        <f t="shared" si="5"/>
        <v>1597.8461538461545</v>
      </c>
      <c r="L18" s="294">
        <f t="shared" ref="L18:L19" si="6">K18/J18</f>
        <v>177.5384615384616</v>
      </c>
      <c r="M18" s="295">
        <v>0.22569444444444445</v>
      </c>
      <c r="N18" s="295">
        <v>0.27083333333333331</v>
      </c>
      <c r="O18" s="289">
        <v>5</v>
      </c>
      <c r="P18" s="480">
        <f t="shared" ref="P18:P19" si="7">(N18-M18)*24*60</f>
        <v>64.999999999999972</v>
      </c>
      <c r="Q18" s="296"/>
      <c r="R18" s="296"/>
    </row>
    <row r="19" spans="1:18" ht="15.75" customHeight="1">
      <c r="A19" s="646"/>
      <c r="B19" s="397" t="s">
        <v>129</v>
      </c>
      <c r="C19" s="476"/>
      <c r="D19" s="306" t="s">
        <v>457</v>
      </c>
      <c r="E19" s="306"/>
      <c r="F19" s="398">
        <v>19.63</v>
      </c>
      <c r="G19" s="474">
        <v>3556</v>
      </c>
      <c r="H19" s="291">
        <f t="shared" si="4"/>
        <v>69804.28</v>
      </c>
      <c r="I19" s="477"/>
      <c r="J19" s="292">
        <v>15</v>
      </c>
      <c r="K19" s="293">
        <f t="shared" si="5"/>
        <v>2031.999999999998</v>
      </c>
      <c r="L19" s="294">
        <f t="shared" si="6"/>
        <v>135.46666666666653</v>
      </c>
      <c r="M19" s="295">
        <v>0.27430555555555552</v>
      </c>
      <c r="N19" s="295">
        <v>0.34722222222222227</v>
      </c>
      <c r="O19" s="289">
        <v>5</v>
      </c>
      <c r="P19" s="480">
        <f t="shared" si="7"/>
        <v>105.00000000000011</v>
      </c>
      <c r="Q19" s="296">
        <v>0.35416666666666669</v>
      </c>
      <c r="R19" s="296">
        <v>0.38541666666666669</v>
      </c>
    </row>
    <row r="20" spans="1:18" ht="15.75" customHeight="1">
      <c r="A20" s="647"/>
      <c r="B20" s="397">
        <v>0</v>
      </c>
      <c r="C20" s="476"/>
      <c r="D20" s="306"/>
      <c r="E20" s="306"/>
      <c r="F20" s="398" t="s">
        <v>128</v>
      </c>
      <c r="G20" s="474"/>
      <c r="H20" s="291">
        <f t="shared" si="4"/>
        <v>0</v>
      </c>
      <c r="I20" s="477"/>
      <c r="J20" s="292"/>
      <c r="K20" s="293"/>
      <c r="L20" s="294"/>
      <c r="M20" s="295"/>
      <c r="N20" s="295"/>
      <c r="O20" s="289"/>
      <c r="P20" s="480"/>
      <c r="Q20" s="296"/>
      <c r="R20" s="296"/>
    </row>
    <row r="21" spans="1:18" ht="15.75" customHeight="1">
      <c r="A21" s="647"/>
      <c r="B21" s="397">
        <v>0</v>
      </c>
      <c r="C21" s="476"/>
      <c r="D21" s="306"/>
      <c r="E21" s="306"/>
      <c r="F21" s="398" t="s">
        <v>128</v>
      </c>
      <c r="G21" s="474"/>
      <c r="H21" s="291">
        <f t="shared" si="4"/>
        <v>0</v>
      </c>
      <c r="I21" s="477"/>
      <c r="J21" s="292"/>
      <c r="K21" s="293"/>
      <c r="L21" s="294"/>
      <c r="M21" s="295"/>
      <c r="N21" s="295"/>
      <c r="O21" s="289"/>
      <c r="P21" s="480"/>
      <c r="Q21" s="296"/>
      <c r="R21" s="296"/>
    </row>
    <row r="22" spans="1:18" ht="15.75" customHeight="1">
      <c r="A22" s="647"/>
      <c r="B22" s="397">
        <v>0</v>
      </c>
      <c r="C22" s="476"/>
      <c r="D22" s="306"/>
      <c r="E22" s="410"/>
      <c r="F22" s="398" t="s">
        <v>128</v>
      </c>
      <c r="G22" s="474"/>
      <c r="H22" s="291">
        <f t="shared" si="4"/>
        <v>0</v>
      </c>
      <c r="I22" s="477"/>
      <c r="J22" s="292"/>
      <c r="K22" s="293"/>
      <c r="L22" s="294"/>
      <c r="M22" s="295"/>
      <c r="N22" s="295"/>
      <c r="O22" s="289"/>
      <c r="P22" s="480"/>
      <c r="Q22" s="289"/>
      <c r="R22" s="289"/>
    </row>
    <row r="23" spans="1:18" ht="15.75" customHeight="1">
      <c r="A23" s="647"/>
      <c r="B23" s="397">
        <v>0</v>
      </c>
      <c r="C23" s="476"/>
      <c r="D23" s="306"/>
      <c r="E23" s="410"/>
      <c r="F23" s="398" t="s">
        <v>128</v>
      </c>
      <c r="G23" s="474"/>
      <c r="H23" s="291">
        <f t="shared" si="4"/>
        <v>0</v>
      </c>
      <c r="I23" s="477"/>
      <c r="J23" s="292"/>
      <c r="K23" s="293"/>
      <c r="L23" s="294"/>
      <c r="M23" s="295"/>
      <c r="N23" s="295"/>
      <c r="O23" s="289"/>
      <c r="P23" s="480"/>
      <c r="Q23" s="289"/>
      <c r="R23" s="289"/>
    </row>
    <row r="24" spans="1:18" ht="17.399999999999999" customHeight="1">
      <c r="A24" s="648"/>
      <c r="B24" s="397">
        <v>0</v>
      </c>
      <c r="C24" s="6" t="s">
        <v>458</v>
      </c>
      <c r="D24" s="628" t="s">
        <v>455</v>
      </c>
      <c r="E24" s="628"/>
      <c r="F24" s="298"/>
      <c r="G24" s="307"/>
      <c r="H24" s="300"/>
      <c r="I24" s="301"/>
      <c r="J24" s="302">
        <f>AVERAGE(J17:J23)</f>
        <v>11</v>
      </c>
      <c r="K24" s="302">
        <f>AVERAGE(K17:K23)</f>
        <v>1749.6630036630033</v>
      </c>
      <c r="L24" s="303">
        <f>AVERAGE(L17:L23)</f>
        <v>164.3032967032967</v>
      </c>
      <c r="M24" s="295"/>
      <c r="N24" s="295"/>
      <c r="O24" s="289"/>
      <c r="P24" s="289"/>
      <c r="Q24" s="289"/>
      <c r="R24" s="289"/>
    </row>
    <row r="25" spans="1:18">
      <c r="A25" s="635" t="s">
        <v>459</v>
      </c>
      <c r="B25" s="397" t="s">
        <v>126</v>
      </c>
      <c r="C25" s="308"/>
      <c r="D25" s="310" t="s">
        <v>104</v>
      </c>
      <c r="E25" s="309"/>
      <c r="F25" s="398">
        <v>18.53</v>
      </c>
      <c r="G25" s="475">
        <v>1443</v>
      </c>
      <c r="H25" s="291">
        <f t="shared" ref="H25:H37" si="8">F25*G25</f>
        <v>26738.79</v>
      </c>
      <c r="I25" s="477"/>
      <c r="J25" s="292">
        <v>3</v>
      </c>
      <c r="K25" s="293">
        <f t="shared" ref="K25:K28" si="9">G25/P25*60</f>
        <v>2792.903225806454</v>
      </c>
      <c r="L25" s="294">
        <f t="shared" ref="L25:L28" si="10">K25/J25</f>
        <v>930.9677419354847</v>
      </c>
      <c r="M25" s="295">
        <v>0.18055555555555555</v>
      </c>
      <c r="N25" s="295">
        <v>0.20208333333333331</v>
      </c>
      <c r="O25" s="289">
        <v>20</v>
      </c>
      <c r="P25" s="480">
        <f t="shared" ref="P25:P28" si="11">(N25-M25)*24*60</f>
        <v>30.999999999999972</v>
      </c>
      <c r="Q25" s="296">
        <v>0.20486111111111113</v>
      </c>
      <c r="R25" s="296">
        <v>0.24652777777777779</v>
      </c>
    </row>
    <row r="26" spans="1:18">
      <c r="A26" s="635"/>
      <c r="B26" s="397" t="s">
        <v>126</v>
      </c>
      <c r="C26" s="308"/>
      <c r="D26" s="310" t="s">
        <v>460</v>
      </c>
      <c r="E26" s="311"/>
      <c r="F26" s="398">
        <v>15.03</v>
      </c>
      <c r="G26" s="475">
        <v>737</v>
      </c>
      <c r="H26" s="291">
        <f t="shared" si="8"/>
        <v>11077.109999999999</v>
      </c>
      <c r="I26" s="477"/>
      <c r="J26" s="292">
        <v>4</v>
      </c>
      <c r="K26" s="293">
        <f t="shared" si="9"/>
        <v>2763.75000000001</v>
      </c>
      <c r="L26" s="294">
        <f t="shared" si="10"/>
        <v>690.9375000000025</v>
      </c>
      <c r="M26" s="295">
        <v>0.26111111111111113</v>
      </c>
      <c r="N26" s="295">
        <v>0.2722222222222222</v>
      </c>
      <c r="O26" s="289">
        <v>25</v>
      </c>
      <c r="P26" s="480">
        <f t="shared" si="11"/>
        <v>15.999999999999943</v>
      </c>
      <c r="Q26" s="296"/>
      <c r="R26" s="296"/>
    </row>
    <row r="27" spans="1:18">
      <c r="A27" s="635"/>
      <c r="B27" s="397" t="s">
        <v>126</v>
      </c>
      <c r="C27" s="308"/>
      <c r="D27" s="306" t="s">
        <v>102</v>
      </c>
      <c r="E27" s="311"/>
      <c r="F27" s="398">
        <v>18.18</v>
      </c>
      <c r="G27" s="475">
        <v>2562</v>
      </c>
      <c r="H27" s="291">
        <f t="shared" si="8"/>
        <v>46577.159999999996</v>
      </c>
      <c r="I27" s="477"/>
      <c r="J27" s="292">
        <v>4</v>
      </c>
      <c r="K27" s="293">
        <f t="shared" si="9"/>
        <v>2794.9090909090928</v>
      </c>
      <c r="L27" s="294">
        <f t="shared" si="10"/>
        <v>698.7272727272732</v>
      </c>
      <c r="M27" s="295">
        <v>0.28611111111111115</v>
      </c>
      <c r="N27" s="295">
        <v>0.32430555555555557</v>
      </c>
      <c r="O27" s="289">
        <v>20</v>
      </c>
      <c r="P27" s="480">
        <f t="shared" si="11"/>
        <v>54.999999999999964</v>
      </c>
      <c r="Q27" s="296"/>
      <c r="R27" s="296"/>
    </row>
    <row r="28" spans="1:18">
      <c r="A28" s="635"/>
      <c r="B28" s="397" t="s">
        <v>126</v>
      </c>
      <c r="C28" s="476"/>
      <c r="D28" s="306" t="s">
        <v>461</v>
      </c>
      <c r="E28" s="311"/>
      <c r="F28" s="398">
        <v>24.93</v>
      </c>
      <c r="G28" s="475">
        <v>1662</v>
      </c>
      <c r="H28" s="291">
        <f t="shared" si="8"/>
        <v>41433.659999999996</v>
      </c>
      <c r="I28" s="477"/>
      <c r="J28" s="292">
        <v>3</v>
      </c>
      <c r="K28" s="293">
        <f t="shared" si="9"/>
        <v>2932.9411764705919</v>
      </c>
      <c r="L28" s="294">
        <f t="shared" si="10"/>
        <v>977.64705882353064</v>
      </c>
      <c r="M28" s="295">
        <v>0.33819444444444446</v>
      </c>
      <c r="N28" s="295">
        <v>0.36180555555555555</v>
      </c>
      <c r="O28" s="289">
        <v>20</v>
      </c>
      <c r="P28" s="480">
        <f t="shared" si="11"/>
        <v>33.999999999999957</v>
      </c>
      <c r="Q28" s="296"/>
      <c r="R28" s="296"/>
    </row>
    <row r="29" spans="1:18">
      <c r="A29" s="635"/>
      <c r="B29" s="397">
        <v>0</v>
      </c>
      <c r="C29" s="475"/>
      <c r="D29" s="310"/>
      <c r="E29" s="311"/>
      <c r="F29" s="398" t="s">
        <v>128</v>
      </c>
      <c r="G29" s="475"/>
      <c r="H29" s="291">
        <f t="shared" si="8"/>
        <v>0</v>
      </c>
      <c r="I29" s="477"/>
      <c r="J29" s="292"/>
      <c r="K29" s="293"/>
      <c r="L29" s="294"/>
      <c r="M29" s="295"/>
      <c r="N29" s="295"/>
      <c r="O29" s="289"/>
      <c r="P29" s="480"/>
      <c r="Q29" s="296"/>
      <c r="R29" s="296"/>
    </row>
    <row r="30" spans="1:18">
      <c r="A30" s="635"/>
      <c r="B30" s="397">
        <v>0</v>
      </c>
      <c r="C30" s="475"/>
      <c r="D30" s="310"/>
      <c r="E30" s="311"/>
      <c r="F30" s="398" t="s">
        <v>128</v>
      </c>
      <c r="G30" s="475"/>
      <c r="H30" s="291">
        <f t="shared" si="8"/>
        <v>0</v>
      </c>
      <c r="I30" s="477"/>
      <c r="J30" s="292"/>
      <c r="K30" s="293"/>
      <c r="L30" s="294"/>
      <c r="M30" s="295"/>
      <c r="N30" s="295"/>
      <c r="O30" s="289"/>
      <c r="P30" s="480"/>
      <c r="Q30" s="296"/>
      <c r="R30" s="296"/>
    </row>
    <row r="31" spans="1:18" ht="15.75" customHeight="1">
      <c r="A31" s="635"/>
      <c r="B31" s="397">
        <v>0</v>
      </c>
      <c r="C31" s="476"/>
      <c r="D31" s="306"/>
      <c r="E31" s="311"/>
      <c r="F31" s="398" t="s">
        <v>128</v>
      </c>
      <c r="G31" s="475"/>
      <c r="H31" s="291">
        <f t="shared" si="8"/>
        <v>0</v>
      </c>
      <c r="I31" s="477"/>
      <c r="J31" s="292"/>
      <c r="K31" s="293"/>
      <c r="L31" s="294"/>
      <c r="M31" s="295"/>
      <c r="N31" s="295"/>
      <c r="O31" s="289"/>
      <c r="P31" s="480"/>
      <c r="Q31" s="296"/>
      <c r="R31" s="296"/>
    </row>
    <row r="32" spans="1:18">
      <c r="A32" s="635"/>
      <c r="B32" s="397">
        <v>0</v>
      </c>
      <c r="C32" s="476"/>
      <c r="D32" s="310"/>
      <c r="E32" s="410"/>
      <c r="F32" s="398" t="s">
        <v>128</v>
      </c>
      <c r="G32" s="475"/>
      <c r="H32" s="291">
        <f t="shared" si="8"/>
        <v>0</v>
      </c>
      <c r="I32" s="477"/>
      <c r="J32" s="292"/>
      <c r="K32" s="293"/>
      <c r="L32" s="294"/>
      <c r="M32" s="295"/>
      <c r="N32" s="295"/>
      <c r="O32" s="289"/>
      <c r="P32" s="480"/>
      <c r="Q32" s="296"/>
      <c r="R32" s="296"/>
    </row>
    <row r="33" spans="1:18">
      <c r="A33" s="635"/>
      <c r="B33" s="397">
        <v>0</v>
      </c>
      <c r="C33" s="475"/>
      <c r="D33" s="306"/>
      <c r="E33" s="311"/>
      <c r="F33" s="398" t="s">
        <v>128</v>
      </c>
      <c r="G33" s="475"/>
      <c r="H33" s="291">
        <f t="shared" si="8"/>
        <v>0</v>
      </c>
      <c r="I33" s="477"/>
      <c r="J33" s="292"/>
      <c r="K33" s="293"/>
      <c r="L33" s="294"/>
      <c r="M33" s="295"/>
      <c r="N33" s="295"/>
      <c r="O33" s="289"/>
      <c r="P33" s="480"/>
      <c r="Q33" s="296"/>
      <c r="R33" s="296"/>
    </row>
    <row r="34" spans="1:18">
      <c r="A34" s="635"/>
      <c r="B34" s="397">
        <v>0</v>
      </c>
      <c r="C34" s="308"/>
      <c r="D34" s="310"/>
      <c r="E34" s="311"/>
      <c r="F34" s="398" t="s">
        <v>128</v>
      </c>
      <c r="G34" s="312"/>
      <c r="H34" s="291">
        <f t="shared" si="8"/>
        <v>0</v>
      </c>
      <c r="I34" s="477"/>
      <c r="J34" s="292"/>
      <c r="K34" s="293"/>
      <c r="L34" s="294"/>
      <c r="M34" s="295"/>
      <c r="N34" s="295"/>
      <c r="O34" s="289"/>
      <c r="P34" s="480"/>
      <c r="Q34" s="296"/>
      <c r="R34" s="296"/>
    </row>
    <row r="35" spans="1:18">
      <c r="A35" s="635"/>
      <c r="B35" s="397">
        <v>0</v>
      </c>
      <c r="C35" s="308"/>
      <c r="D35" s="310"/>
      <c r="E35" s="311"/>
      <c r="F35" s="398" t="s">
        <v>128</v>
      </c>
      <c r="G35" s="312"/>
      <c r="H35" s="291">
        <f t="shared" si="8"/>
        <v>0</v>
      </c>
      <c r="I35" s="477"/>
      <c r="J35" s="292"/>
      <c r="K35" s="293"/>
      <c r="L35" s="294"/>
      <c r="M35" s="295"/>
      <c r="N35" s="295"/>
      <c r="O35" s="289"/>
      <c r="P35" s="480"/>
      <c r="Q35" s="296"/>
      <c r="R35" s="296"/>
    </row>
    <row r="36" spans="1:18">
      <c r="A36" s="635"/>
      <c r="B36" s="397">
        <v>0</v>
      </c>
      <c r="C36" s="308"/>
      <c r="D36" s="310"/>
      <c r="E36" s="310"/>
      <c r="F36" s="398" t="s">
        <v>128</v>
      </c>
      <c r="G36" s="312"/>
      <c r="H36" s="291">
        <f t="shared" si="8"/>
        <v>0</v>
      </c>
      <c r="I36" s="477"/>
      <c r="J36" s="292"/>
      <c r="K36" s="293"/>
      <c r="L36" s="294"/>
      <c r="M36" s="295"/>
      <c r="N36" s="295"/>
      <c r="O36" s="289"/>
      <c r="P36" s="480"/>
      <c r="Q36" s="296"/>
      <c r="R36" s="296"/>
    </row>
    <row r="37" spans="1:18">
      <c r="A37" s="635"/>
      <c r="B37" s="397">
        <v>0</v>
      </c>
      <c r="C37" s="308"/>
      <c r="D37" s="309"/>
      <c r="E37" s="309"/>
      <c r="F37" s="398" t="s">
        <v>128</v>
      </c>
      <c r="G37" s="312"/>
      <c r="H37" s="291">
        <f t="shared" si="8"/>
        <v>0</v>
      </c>
      <c r="I37" s="477"/>
      <c r="J37" s="292"/>
      <c r="K37" s="293"/>
      <c r="L37" s="294"/>
      <c r="M37" s="295"/>
      <c r="N37" s="295"/>
      <c r="O37" s="289"/>
      <c r="P37" s="480"/>
      <c r="Q37" s="296"/>
      <c r="R37" s="296"/>
    </row>
    <row r="38" spans="1:18" ht="17.399999999999999" customHeight="1">
      <c r="A38" s="636"/>
      <c r="B38" s="397">
        <v>0</v>
      </c>
      <c r="C38" s="6" t="s">
        <v>27</v>
      </c>
      <c r="D38" s="614" t="s">
        <v>103</v>
      </c>
      <c r="E38" s="614"/>
      <c r="F38" s="298"/>
      <c r="G38" s="313"/>
      <c r="H38" s="300"/>
      <c r="I38" s="301"/>
      <c r="J38" s="302">
        <f>AVERAGE(J25:J37)</f>
        <v>3.5</v>
      </c>
      <c r="K38" s="302">
        <f>AVERAGE(K25:K37)</f>
        <v>2821.1258732965371</v>
      </c>
      <c r="L38" s="303">
        <f>AVERAGE(L25:L37)</f>
        <v>824.56989337157279</v>
      </c>
      <c r="M38" s="295"/>
      <c r="N38" s="295"/>
      <c r="O38" s="293"/>
      <c r="P38" s="293"/>
      <c r="Q38" s="294"/>
      <c r="R38" s="294"/>
    </row>
    <row r="39" spans="1:18" ht="16.2" customHeight="1">
      <c r="A39" s="624" t="s">
        <v>462</v>
      </c>
      <c r="B39" s="397">
        <v>0</v>
      </c>
      <c r="C39" s="476"/>
      <c r="D39" s="310"/>
      <c r="E39" s="410"/>
      <c r="F39" s="398" t="s">
        <v>128</v>
      </c>
      <c r="G39" s="475"/>
      <c r="H39" s="291">
        <f t="shared" ref="H39:H47" si="12">F39*G39</f>
        <v>0</v>
      </c>
      <c r="I39" s="477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625"/>
      <c r="B40" s="397">
        <v>0</v>
      </c>
      <c r="C40" s="476"/>
      <c r="D40" s="310"/>
      <c r="E40" s="410"/>
      <c r="F40" s="398" t="s">
        <v>128</v>
      </c>
      <c r="G40" s="475"/>
      <c r="H40" s="291">
        <f t="shared" si="12"/>
        <v>0</v>
      </c>
      <c r="I40" s="477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625"/>
      <c r="B41" s="397">
        <v>0</v>
      </c>
      <c r="C41" s="476"/>
      <c r="D41" s="323"/>
      <c r="E41" s="410"/>
      <c r="F41" s="398" t="s">
        <v>128</v>
      </c>
      <c r="G41" s="475"/>
      <c r="H41" s="291">
        <f t="shared" si="12"/>
        <v>0</v>
      </c>
      <c r="I41" s="477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625"/>
      <c r="B42" s="397">
        <v>0</v>
      </c>
      <c r="C42" s="476"/>
      <c r="D42" s="323"/>
      <c r="E42" s="410"/>
      <c r="F42" s="398" t="s">
        <v>128</v>
      </c>
      <c r="G42" s="475"/>
      <c r="H42" s="291">
        <f t="shared" si="12"/>
        <v>0</v>
      </c>
      <c r="I42" s="477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625"/>
      <c r="B43" s="397">
        <v>0</v>
      </c>
      <c r="C43" s="476"/>
      <c r="D43" s="310"/>
      <c r="E43" s="410"/>
      <c r="F43" s="398" t="s">
        <v>128</v>
      </c>
      <c r="G43" s="475"/>
      <c r="H43" s="291">
        <f t="shared" si="12"/>
        <v>0</v>
      </c>
      <c r="I43" s="477"/>
      <c r="J43" s="292"/>
      <c r="K43" s="293"/>
      <c r="L43" s="294"/>
      <c r="M43" s="295"/>
      <c r="N43" s="295"/>
      <c r="O43" s="289"/>
      <c r="P43" s="480"/>
      <c r="Q43" s="296"/>
      <c r="R43" s="296"/>
    </row>
    <row r="44" spans="1:18">
      <c r="A44" s="625"/>
      <c r="B44" s="397">
        <v>0</v>
      </c>
      <c r="C44" s="476"/>
      <c r="D44" s="400"/>
      <c r="E44" s="315"/>
      <c r="F44" s="398" t="s">
        <v>128</v>
      </c>
      <c r="G44" s="316"/>
      <c r="H44" s="317">
        <f t="shared" si="12"/>
        <v>0</v>
      </c>
      <c r="I44" s="478"/>
      <c r="J44" s="292"/>
      <c r="K44" s="293"/>
      <c r="L44" s="294"/>
      <c r="M44" s="295"/>
      <c r="N44" s="295"/>
      <c r="O44" s="289"/>
      <c r="P44" s="480"/>
      <c r="Q44" s="296"/>
      <c r="R44" s="296"/>
    </row>
    <row r="45" spans="1:18">
      <c r="A45" s="625"/>
      <c r="B45" s="397">
        <v>0</v>
      </c>
      <c r="C45" s="476"/>
      <c r="D45" s="323"/>
      <c r="E45" s="311"/>
      <c r="F45" s="398" t="s">
        <v>128</v>
      </c>
      <c r="G45" s="475"/>
      <c r="H45" s="291">
        <f t="shared" si="12"/>
        <v>0</v>
      </c>
      <c r="I45" s="477"/>
      <c r="J45" s="292"/>
      <c r="K45" s="293"/>
      <c r="L45" s="294"/>
      <c r="M45" s="295"/>
      <c r="N45" s="295"/>
      <c r="O45" s="289"/>
      <c r="P45" s="480"/>
      <c r="Q45" s="296"/>
      <c r="R45" s="296"/>
    </row>
    <row r="46" spans="1:18">
      <c r="A46" s="625"/>
      <c r="B46" s="397">
        <v>0</v>
      </c>
      <c r="C46" s="476"/>
      <c r="D46" s="323"/>
      <c r="E46" s="315"/>
      <c r="F46" s="398" t="s">
        <v>128</v>
      </c>
      <c r="G46" s="316"/>
      <c r="H46" s="317">
        <f t="shared" si="12"/>
        <v>0</v>
      </c>
      <c r="I46" s="478"/>
      <c r="J46" s="292"/>
      <c r="K46" s="293"/>
      <c r="L46" s="294"/>
      <c r="M46" s="295"/>
      <c r="N46" s="295"/>
      <c r="O46" s="289"/>
      <c r="P46" s="480"/>
      <c r="Q46" s="296"/>
      <c r="R46" s="296"/>
    </row>
    <row r="47" spans="1:18">
      <c r="A47" s="625"/>
      <c r="B47" s="397">
        <v>0</v>
      </c>
      <c r="C47" s="476"/>
      <c r="D47" s="309"/>
      <c r="E47" s="311"/>
      <c r="F47" s="398" t="s">
        <v>128</v>
      </c>
      <c r="G47" s="475"/>
      <c r="H47" s="291">
        <f t="shared" si="12"/>
        <v>0</v>
      </c>
      <c r="I47" s="477"/>
      <c r="J47" s="292"/>
      <c r="K47" s="293"/>
      <c r="L47" s="294"/>
      <c r="M47" s="295"/>
      <c r="N47" s="295"/>
      <c r="O47" s="289"/>
      <c r="P47" s="480"/>
      <c r="Q47" s="296"/>
      <c r="R47" s="296"/>
    </row>
    <row r="48" spans="1:18">
      <c r="A48" s="626"/>
      <c r="B48" s="397">
        <v>0</v>
      </c>
      <c r="C48" s="475"/>
      <c r="D48" s="309"/>
      <c r="E48" s="401"/>
      <c r="F48" s="398" t="s">
        <v>128</v>
      </c>
      <c r="G48" s="475"/>
      <c r="H48" s="291"/>
      <c r="I48" s="477"/>
      <c r="J48" s="292"/>
      <c r="K48" s="293"/>
      <c r="L48" s="294"/>
      <c r="M48" s="295"/>
      <c r="N48" s="295"/>
      <c r="O48" s="289"/>
      <c r="P48" s="480"/>
      <c r="Q48" s="296"/>
      <c r="R48" s="296"/>
    </row>
    <row r="49" spans="1:18">
      <c r="A49" s="626"/>
      <c r="B49" s="397">
        <v>0</v>
      </c>
      <c r="C49" s="475"/>
      <c r="D49" s="310"/>
      <c r="E49" s="318"/>
      <c r="F49" s="398" t="s">
        <v>128</v>
      </c>
      <c r="G49" s="289"/>
      <c r="H49" s="317">
        <f>F49*G49</f>
        <v>0</v>
      </c>
      <c r="I49" s="480"/>
      <c r="J49" s="292"/>
      <c r="K49" s="293"/>
      <c r="L49" s="294"/>
      <c r="M49" s="295"/>
      <c r="N49" s="295"/>
      <c r="O49" s="289"/>
      <c r="P49" s="480"/>
      <c r="Q49" s="296"/>
      <c r="R49" s="296"/>
    </row>
    <row r="50" spans="1:18">
      <c r="A50" s="626"/>
      <c r="B50" s="397">
        <v>0</v>
      </c>
      <c r="C50" s="475"/>
      <c r="D50" s="309"/>
      <c r="E50" s="318"/>
      <c r="F50" s="398" t="s">
        <v>128</v>
      </c>
      <c r="G50" s="289"/>
      <c r="H50" s="317">
        <f>F50*G50</f>
        <v>0</v>
      </c>
      <c r="I50" s="480"/>
      <c r="J50" s="292"/>
      <c r="K50" s="293"/>
      <c r="L50" s="294"/>
      <c r="M50" s="295"/>
      <c r="N50" s="295"/>
      <c r="O50" s="289"/>
      <c r="P50" s="480"/>
      <c r="Q50" s="296"/>
      <c r="R50" s="296"/>
    </row>
    <row r="51" spans="1:18" ht="15.75" customHeight="1">
      <c r="A51" s="627"/>
      <c r="B51" s="397">
        <v>0</v>
      </c>
      <c r="C51" s="6" t="s">
        <v>28</v>
      </c>
      <c r="D51" s="628" t="s">
        <v>455</v>
      </c>
      <c r="E51" s="628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629" t="s">
        <v>463</v>
      </c>
      <c r="B52" s="397" t="s">
        <v>126</v>
      </c>
      <c r="C52" s="476"/>
      <c r="D52" s="309" t="s">
        <v>109</v>
      </c>
      <c r="E52" s="402"/>
      <c r="F52" s="398">
        <v>18.18</v>
      </c>
      <c r="G52" s="475">
        <v>856</v>
      </c>
      <c r="H52" s="291">
        <f>F52*G52</f>
        <v>15562.08</v>
      </c>
      <c r="I52" s="477"/>
      <c r="J52" s="292">
        <v>3</v>
      </c>
      <c r="K52" s="293">
        <f>G52/P52*60</f>
        <v>3021.1764705882179</v>
      </c>
      <c r="L52" s="294">
        <f>K52/J52</f>
        <v>1007.0588235294059</v>
      </c>
      <c r="M52" s="295">
        <v>0.30555555555555552</v>
      </c>
      <c r="N52" s="295">
        <v>0.31736111111111115</v>
      </c>
      <c r="O52" s="293">
        <v>20</v>
      </c>
      <c r="P52" s="480">
        <f>(N52-M52)*24*60</f>
        <v>17.000000000000099</v>
      </c>
      <c r="Q52" s="296"/>
      <c r="R52" s="296"/>
    </row>
    <row r="53" spans="1:18" ht="15.6" customHeight="1">
      <c r="A53" s="630"/>
      <c r="B53" s="397" t="s">
        <v>126</v>
      </c>
      <c r="C53" s="476"/>
      <c r="D53" s="309" t="s">
        <v>105</v>
      </c>
      <c r="E53" s="322"/>
      <c r="F53" s="398">
        <v>25.03</v>
      </c>
      <c r="G53" s="297">
        <v>494</v>
      </c>
      <c r="H53" s="291">
        <f t="shared" ref="H53:H116" si="13">F53*G53</f>
        <v>12364.82</v>
      </c>
      <c r="I53" s="477"/>
      <c r="J53" s="292">
        <v>4</v>
      </c>
      <c r="K53" s="293">
        <f t="shared" ref="K53:K59" si="14">G53/P53*60</f>
        <v>2963.9999999999868</v>
      </c>
      <c r="L53" s="294">
        <f t="shared" ref="L53:L59" si="15">K53/J53</f>
        <v>740.9999999999967</v>
      </c>
      <c r="M53" s="295">
        <v>0.33124999999999999</v>
      </c>
      <c r="N53" s="295">
        <v>0.33819444444444446</v>
      </c>
      <c r="O53" s="293">
        <v>20</v>
      </c>
      <c r="P53" s="480">
        <f t="shared" ref="P53:P59" si="16">(N53-M53)*24*60</f>
        <v>10.000000000000044</v>
      </c>
      <c r="Q53" s="296"/>
      <c r="R53" s="296"/>
    </row>
    <row r="54" spans="1:18" ht="15.6" customHeight="1">
      <c r="A54" s="630"/>
      <c r="B54" s="397" t="s">
        <v>126</v>
      </c>
      <c r="C54" s="476"/>
      <c r="D54" s="309" t="s">
        <v>106</v>
      </c>
      <c r="E54" s="410"/>
      <c r="F54" s="398">
        <v>24.82</v>
      </c>
      <c r="G54" s="297">
        <v>715</v>
      </c>
      <c r="H54" s="291">
        <f t="shared" si="13"/>
        <v>17746.3</v>
      </c>
      <c r="I54" s="477"/>
      <c r="J54" s="292">
        <v>4</v>
      </c>
      <c r="K54" s="293">
        <f t="shared" si="14"/>
        <v>3064.2857142857079</v>
      </c>
      <c r="L54" s="294">
        <f t="shared" si="15"/>
        <v>766.07142857142696</v>
      </c>
      <c r="M54" s="295">
        <v>0.3520833333333333</v>
      </c>
      <c r="N54" s="295">
        <v>0.36180555555555555</v>
      </c>
      <c r="O54" s="293">
        <v>20</v>
      </c>
      <c r="P54" s="480">
        <f t="shared" si="16"/>
        <v>14.00000000000003</v>
      </c>
      <c r="Q54" s="296"/>
      <c r="R54" s="296"/>
    </row>
    <row r="55" spans="1:18" ht="15.6" customHeight="1">
      <c r="A55" s="630"/>
      <c r="B55" s="397" t="s">
        <v>126</v>
      </c>
      <c r="C55" s="476"/>
      <c r="D55" s="310" t="s">
        <v>464</v>
      </c>
      <c r="E55" s="311"/>
      <c r="F55" s="398">
        <v>23.72</v>
      </c>
      <c r="G55" s="297">
        <v>458</v>
      </c>
      <c r="H55" s="291">
        <f t="shared" si="13"/>
        <v>10863.76</v>
      </c>
      <c r="I55" s="477"/>
      <c r="J55" s="292">
        <v>4</v>
      </c>
      <c r="K55" s="293">
        <f t="shared" si="14"/>
        <v>2748.0000000000095</v>
      </c>
      <c r="L55" s="294">
        <f t="shared" si="15"/>
        <v>687.00000000000239</v>
      </c>
      <c r="M55" s="295">
        <v>0.3756944444444445</v>
      </c>
      <c r="N55" s="295">
        <v>0.38263888888888892</v>
      </c>
      <c r="O55" s="293">
        <v>20</v>
      </c>
      <c r="P55" s="480">
        <f t="shared" si="16"/>
        <v>9.9999999999999645</v>
      </c>
      <c r="Q55" s="296">
        <v>0.38263888888888892</v>
      </c>
      <c r="R55" s="296">
        <v>0.42430555555555555</v>
      </c>
    </row>
    <row r="56" spans="1:18" ht="15.6" customHeight="1">
      <c r="A56" s="630"/>
      <c r="B56" s="397" t="s">
        <v>126</v>
      </c>
      <c r="C56" s="476"/>
      <c r="D56" s="309" t="s">
        <v>107</v>
      </c>
      <c r="E56" s="311"/>
      <c r="F56" s="398">
        <v>30</v>
      </c>
      <c r="G56" s="297">
        <v>1088</v>
      </c>
      <c r="H56" s="291">
        <f t="shared" si="13"/>
        <v>32640</v>
      </c>
      <c r="I56" s="477"/>
      <c r="J56" s="292">
        <v>4</v>
      </c>
      <c r="K56" s="293">
        <f t="shared" si="14"/>
        <v>3108.5714285714275</v>
      </c>
      <c r="L56" s="294">
        <f t="shared" si="15"/>
        <v>777.14285714285688</v>
      </c>
      <c r="M56" s="295">
        <v>0.44166666666666665</v>
      </c>
      <c r="N56" s="295">
        <v>0.45624999999999999</v>
      </c>
      <c r="O56" s="293">
        <v>25</v>
      </c>
      <c r="P56" s="480">
        <f t="shared" si="16"/>
        <v>21.000000000000007</v>
      </c>
      <c r="Q56" s="296"/>
      <c r="R56" s="296"/>
    </row>
    <row r="57" spans="1:18" ht="15.75" customHeight="1">
      <c r="A57" s="630"/>
      <c r="B57" s="397" t="s">
        <v>126</v>
      </c>
      <c r="C57" s="6" t="s">
        <v>31</v>
      </c>
      <c r="D57" s="323" t="s">
        <v>465</v>
      </c>
      <c r="E57" s="311"/>
      <c r="F57" s="398">
        <v>25.2</v>
      </c>
      <c r="G57" s="297">
        <v>481</v>
      </c>
      <c r="H57" s="291">
        <f t="shared" si="13"/>
        <v>12121.199999999999</v>
      </c>
      <c r="I57" s="477"/>
      <c r="J57" s="292">
        <v>3</v>
      </c>
      <c r="K57" s="293">
        <f t="shared" si="14"/>
        <v>3206.6666666666497</v>
      </c>
      <c r="L57" s="294">
        <f t="shared" si="15"/>
        <v>1068.8888888888832</v>
      </c>
      <c r="M57" s="295">
        <v>0.47013888888888888</v>
      </c>
      <c r="N57" s="295">
        <v>0.47638888888888892</v>
      </c>
      <c r="O57" s="293">
        <v>20</v>
      </c>
      <c r="P57" s="480">
        <f t="shared" si="16"/>
        <v>9.000000000000048</v>
      </c>
      <c r="Q57" s="296"/>
      <c r="R57" s="296"/>
    </row>
    <row r="58" spans="1:18" ht="15.6" customHeight="1">
      <c r="A58" s="630"/>
      <c r="B58" s="397" t="s">
        <v>126</v>
      </c>
      <c r="C58" s="403"/>
      <c r="D58" s="323" t="s">
        <v>466</v>
      </c>
      <c r="E58" s="311"/>
      <c r="F58" s="398">
        <v>20.72</v>
      </c>
      <c r="G58" s="324">
        <v>1251</v>
      </c>
      <c r="H58" s="291">
        <f t="shared" si="13"/>
        <v>25920.719999999998</v>
      </c>
      <c r="I58" s="477"/>
      <c r="J58" s="292">
        <v>3</v>
      </c>
      <c r="K58" s="293">
        <f t="shared" si="14"/>
        <v>3127.5000000000109</v>
      </c>
      <c r="L58" s="294">
        <f t="shared" si="15"/>
        <v>1042.5000000000036</v>
      </c>
      <c r="M58" s="295">
        <v>0.49027777777777781</v>
      </c>
      <c r="N58" s="295">
        <v>0.50694444444444442</v>
      </c>
      <c r="O58" s="293">
        <v>20</v>
      </c>
      <c r="P58" s="480">
        <f t="shared" si="16"/>
        <v>23.999999999999915</v>
      </c>
      <c r="Q58" s="296"/>
      <c r="R58" s="296"/>
    </row>
    <row r="59" spans="1:18" ht="15.6" customHeight="1">
      <c r="A59" s="630"/>
      <c r="B59" s="397" t="s">
        <v>126</v>
      </c>
      <c r="C59" s="476"/>
      <c r="D59" s="309" t="s">
        <v>467</v>
      </c>
      <c r="E59" s="311"/>
      <c r="F59" s="398">
        <v>17.07</v>
      </c>
      <c r="G59" s="297">
        <v>1479</v>
      </c>
      <c r="H59" s="291">
        <f t="shared" si="13"/>
        <v>25246.53</v>
      </c>
      <c r="I59" s="477"/>
      <c r="J59" s="292">
        <v>3</v>
      </c>
      <c r="K59" s="293">
        <f t="shared" si="14"/>
        <v>3413.0769230769351</v>
      </c>
      <c r="L59" s="294">
        <f t="shared" si="15"/>
        <v>1137.6923076923117</v>
      </c>
      <c r="M59" s="295">
        <v>0.52083333333333337</v>
      </c>
      <c r="N59" s="295">
        <v>0.53888888888888886</v>
      </c>
      <c r="O59" s="293">
        <v>20</v>
      </c>
      <c r="P59" s="480">
        <f t="shared" si="16"/>
        <v>25.999999999999908</v>
      </c>
      <c r="Q59" s="296"/>
      <c r="R59" s="296"/>
    </row>
    <row r="60" spans="1:18" ht="15.6" customHeight="1">
      <c r="A60" s="630"/>
      <c r="B60" s="397">
        <v>0</v>
      </c>
      <c r="C60" s="476"/>
      <c r="D60" s="309"/>
      <c r="E60" s="325"/>
      <c r="F60" s="398" t="s">
        <v>128</v>
      </c>
      <c r="G60" s="297"/>
      <c r="H60" s="291">
        <f t="shared" si="13"/>
        <v>0</v>
      </c>
      <c r="I60" s="477"/>
      <c r="J60" s="292"/>
      <c r="K60" s="293"/>
      <c r="L60" s="294"/>
      <c r="M60" s="295"/>
      <c r="N60" s="295"/>
      <c r="O60" s="293"/>
      <c r="P60" s="480"/>
      <c r="Q60" s="296"/>
      <c r="R60" s="296"/>
    </row>
    <row r="61" spans="1:18" ht="15.6" customHeight="1">
      <c r="A61" s="630"/>
      <c r="B61" s="397">
        <v>0</v>
      </c>
      <c r="C61" s="476"/>
      <c r="D61" s="310"/>
      <c r="E61" s="311"/>
      <c r="F61" s="398" t="s">
        <v>128</v>
      </c>
      <c r="G61" s="297"/>
      <c r="H61" s="291">
        <f t="shared" si="13"/>
        <v>0</v>
      </c>
      <c r="I61" s="477"/>
      <c r="J61" s="292"/>
      <c r="K61" s="293"/>
      <c r="L61" s="294"/>
      <c r="M61" s="295"/>
      <c r="N61" s="295"/>
      <c r="O61" s="293"/>
      <c r="P61" s="480"/>
      <c r="Q61" s="296"/>
      <c r="R61" s="296"/>
    </row>
    <row r="62" spans="1:18" ht="15.6" customHeight="1">
      <c r="A62" s="630"/>
      <c r="B62" s="397">
        <v>0</v>
      </c>
      <c r="C62" s="476"/>
      <c r="D62" s="309"/>
      <c r="E62" s="404"/>
      <c r="F62" s="398" t="s">
        <v>128</v>
      </c>
      <c r="G62" s="297"/>
      <c r="H62" s="291">
        <f t="shared" si="13"/>
        <v>0</v>
      </c>
      <c r="I62" s="477"/>
      <c r="J62" s="292"/>
      <c r="K62" s="293"/>
      <c r="L62" s="294"/>
      <c r="M62" s="295"/>
      <c r="N62" s="295"/>
      <c r="O62" s="293"/>
      <c r="P62" s="480"/>
      <c r="Q62" s="296"/>
      <c r="R62" s="296"/>
    </row>
    <row r="63" spans="1:18" ht="15.6" customHeight="1">
      <c r="A63" s="630"/>
      <c r="B63" s="397">
        <v>0</v>
      </c>
      <c r="C63" s="403"/>
      <c r="D63" s="405"/>
      <c r="E63" s="325"/>
      <c r="F63" s="398" t="s">
        <v>128</v>
      </c>
      <c r="G63" s="297"/>
      <c r="H63" s="291">
        <f t="shared" si="13"/>
        <v>0</v>
      </c>
      <c r="I63" s="478"/>
      <c r="J63" s="292"/>
      <c r="K63" s="293"/>
      <c r="L63" s="294"/>
      <c r="M63" s="295"/>
      <c r="N63" s="295"/>
      <c r="O63" s="289"/>
      <c r="P63" s="480"/>
      <c r="Q63" s="296"/>
      <c r="R63" s="296"/>
    </row>
    <row r="64" spans="1:18" ht="15.75" customHeight="1">
      <c r="A64" s="631"/>
      <c r="B64" s="397">
        <v>0</v>
      </c>
      <c r="C64" s="6" t="s">
        <v>468</v>
      </c>
      <c r="D64" s="628" t="s">
        <v>455</v>
      </c>
      <c r="E64" s="628"/>
      <c r="F64" s="298"/>
      <c r="G64" s="303"/>
      <c r="H64" s="319"/>
      <c r="I64" s="320"/>
      <c r="J64" s="302">
        <f>AVERAGE(J52:J63)</f>
        <v>3.5</v>
      </c>
      <c r="K64" s="302">
        <f>AVERAGE(K52:K63)</f>
        <v>3081.6596503986184</v>
      </c>
      <c r="L64" s="303">
        <f>AVERAGE(L52:L63)</f>
        <v>903.41928822811087</v>
      </c>
      <c r="M64" s="295"/>
      <c r="N64" s="295"/>
      <c r="O64" s="289"/>
      <c r="P64" s="289"/>
      <c r="Q64" s="289"/>
      <c r="R64" s="289"/>
    </row>
    <row r="65" spans="1:18" ht="15.6" customHeight="1">
      <c r="A65" s="632" t="s">
        <v>469</v>
      </c>
      <c r="B65" s="397" t="s">
        <v>126</v>
      </c>
      <c r="C65" s="476"/>
      <c r="D65" s="310" t="s">
        <v>470</v>
      </c>
      <c r="E65" s="402"/>
      <c r="F65" s="398">
        <v>22.281818181818181</v>
      </c>
      <c r="G65" s="475">
        <v>557</v>
      </c>
      <c r="H65" s="291">
        <f>F65*G65</f>
        <v>12410.972727272727</v>
      </c>
      <c r="I65" s="477"/>
      <c r="J65" s="292">
        <v>4</v>
      </c>
      <c r="K65" s="293">
        <f t="shared" ref="K65:K70" si="17">G65/P65*60</f>
        <v>3038.181818181818</v>
      </c>
      <c r="L65" s="294">
        <f t="shared" ref="L65:L70" si="18">K65/J65</f>
        <v>759.5454545454545</v>
      </c>
      <c r="M65" s="295">
        <v>0.18055555555555555</v>
      </c>
      <c r="N65" s="295">
        <v>0.18819444444444444</v>
      </c>
      <c r="O65" s="293">
        <v>20</v>
      </c>
      <c r="P65" s="480">
        <f>(N65-M65)*24*60</f>
        <v>11</v>
      </c>
      <c r="Q65" s="296"/>
      <c r="R65" s="296"/>
    </row>
    <row r="66" spans="1:18" ht="15.6" customHeight="1">
      <c r="A66" s="633"/>
      <c r="B66" s="397" t="s">
        <v>126</v>
      </c>
      <c r="C66" s="476"/>
      <c r="D66" s="400" t="s">
        <v>108</v>
      </c>
      <c r="E66" s="322"/>
      <c r="F66" s="398">
        <v>14.03</v>
      </c>
      <c r="G66" s="297">
        <v>2503</v>
      </c>
      <c r="H66" s="291">
        <f t="shared" ref="H66:H74" si="19">F66*G66</f>
        <v>35117.089999999997</v>
      </c>
      <c r="I66" s="477"/>
      <c r="J66" s="292">
        <v>3</v>
      </c>
      <c r="K66" s="293">
        <f t="shared" si="17"/>
        <v>3195.3191489361707</v>
      </c>
      <c r="L66" s="294">
        <f t="shared" si="18"/>
        <v>1065.1063829787236</v>
      </c>
      <c r="M66" s="295">
        <v>0.20208333333333331</v>
      </c>
      <c r="N66" s="295">
        <v>0.23472222222222219</v>
      </c>
      <c r="O66" s="293">
        <v>20</v>
      </c>
      <c r="P66" s="480">
        <f t="shared" ref="P66:P70" si="20">(N66-M66)*24*60</f>
        <v>46.999999999999993</v>
      </c>
      <c r="Q66" s="296"/>
      <c r="R66" s="296"/>
    </row>
    <row r="67" spans="1:18" ht="15.6" customHeight="1">
      <c r="A67" s="633"/>
      <c r="B67" s="397" t="s">
        <v>126</v>
      </c>
      <c r="C67" s="476"/>
      <c r="D67" s="310" t="s">
        <v>110</v>
      </c>
      <c r="E67" s="311"/>
      <c r="F67" s="398">
        <v>18.18</v>
      </c>
      <c r="G67" s="297">
        <v>1318</v>
      </c>
      <c r="H67" s="291">
        <f t="shared" si="19"/>
        <v>23961.239999999998</v>
      </c>
      <c r="I67" s="477"/>
      <c r="J67" s="292">
        <v>3</v>
      </c>
      <c r="K67" s="293">
        <f t="shared" si="17"/>
        <v>3163.2000000000007</v>
      </c>
      <c r="L67" s="294">
        <f t="shared" si="18"/>
        <v>1054.4000000000003</v>
      </c>
      <c r="M67" s="295">
        <v>0.24861111111111112</v>
      </c>
      <c r="N67" s="295">
        <v>0.26597222222222222</v>
      </c>
      <c r="O67" s="293">
        <v>20</v>
      </c>
      <c r="P67" s="480">
        <f t="shared" si="20"/>
        <v>24.999999999999993</v>
      </c>
      <c r="Q67" s="296"/>
      <c r="R67" s="296"/>
    </row>
    <row r="68" spans="1:18" ht="15.6" customHeight="1">
      <c r="A68" s="633"/>
      <c r="B68" s="397" t="s">
        <v>126</v>
      </c>
      <c r="C68" s="476"/>
      <c r="D68" s="323" t="s">
        <v>471</v>
      </c>
      <c r="E68" s="311"/>
      <c r="F68" s="398">
        <v>17.890909090909091</v>
      </c>
      <c r="G68" s="297">
        <v>1401</v>
      </c>
      <c r="H68" s="291">
        <f t="shared" si="19"/>
        <v>25065.163636363635</v>
      </c>
      <c r="I68" s="477"/>
      <c r="J68" s="292">
        <v>3</v>
      </c>
      <c r="K68" s="293">
        <f t="shared" si="17"/>
        <v>3113.3333333333348</v>
      </c>
      <c r="L68" s="294">
        <f t="shared" si="18"/>
        <v>1037.7777777777783</v>
      </c>
      <c r="M68" s="295">
        <v>0.27986111111111112</v>
      </c>
      <c r="N68" s="295">
        <v>0.2986111111111111</v>
      </c>
      <c r="O68" s="293">
        <v>20</v>
      </c>
      <c r="P68" s="480">
        <f t="shared" si="20"/>
        <v>26.999999999999986</v>
      </c>
      <c r="Q68" s="296">
        <v>0.2986111111111111</v>
      </c>
      <c r="R68" s="296">
        <v>0.34027777777777773</v>
      </c>
    </row>
    <row r="69" spans="1:18" ht="15.6" customHeight="1">
      <c r="A69" s="633"/>
      <c r="B69" s="397" t="s">
        <v>126</v>
      </c>
      <c r="C69" s="476"/>
      <c r="D69" s="310" t="s">
        <v>472</v>
      </c>
      <c r="E69" s="311"/>
      <c r="F69" s="398">
        <v>16.66</v>
      </c>
      <c r="G69" s="297">
        <v>2513</v>
      </c>
      <c r="H69" s="291">
        <f t="shared" si="19"/>
        <v>41866.58</v>
      </c>
      <c r="I69" s="477"/>
      <c r="J69" s="292">
        <v>4</v>
      </c>
      <c r="K69" s="293">
        <f t="shared" si="17"/>
        <v>3141.2500000000009</v>
      </c>
      <c r="L69" s="294">
        <f t="shared" si="18"/>
        <v>785.31250000000023</v>
      </c>
      <c r="M69" s="295">
        <v>0.3576388888888889</v>
      </c>
      <c r="N69" s="295">
        <v>0.39097222222222222</v>
      </c>
      <c r="O69" s="293">
        <v>25</v>
      </c>
      <c r="P69" s="480">
        <f t="shared" si="20"/>
        <v>47.999999999999986</v>
      </c>
      <c r="Q69" s="296"/>
      <c r="R69" s="296"/>
    </row>
    <row r="70" spans="1:18" ht="15.75" customHeight="1">
      <c r="A70" s="633"/>
      <c r="B70" s="397" t="s">
        <v>126</v>
      </c>
      <c r="C70" s="6" t="s">
        <v>31</v>
      </c>
      <c r="D70" s="323" t="s">
        <v>111</v>
      </c>
      <c r="E70" s="311"/>
      <c r="F70" s="398">
        <v>14.285714285714283</v>
      </c>
      <c r="G70" s="297">
        <v>3815</v>
      </c>
      <c r="H70" s="291">
        <f t="shared" si="19"/>
        <v>54499.999999999993</v>
      </c>
      <c r="I70" s="477"/>
      <c r="J70" s="292">
        <v>3</v>
      </c>
      <c r="K70" s="293">
        <f t="shared" si="17"/>
        <v>3179.1666666666674</v>
      </c>
      <c r="L70" s="294">
        <f t="shared" si="18"/>
        <v>1059.7222222222224</v>
      </c>
      <c r="M70" s="295">
        <v>0.40486111111111112</v>
      </c>
      <c r="N70" s="295">
        <v>0.4548611111111111</v>
      </c>
      <c r="O70" s="293">
        <v>20</v>
      </c>
      <c r="P70" s="480">
        <f t="shared" si="20"/>
        <v>71.999999999999986</v>
      </c>
      <c r="Q70" s="296"/>
      <c r="R70" s="296"/>
    </row>
    <row r="71" spans="1:18" ht="15.6" customHeight="1">
      <c r="A71" s="633"/>
      <c r="B71" s="397">
        <v>0</v>
      </c>
      <c r="C71" s="403"/>
      <c r="D71" s="310"/>
      <c r="E71" s="311"/>
      <c r="F71" s="398" t="s">
        <v>128</v>
      </c>
      <c r="G71" s="324"/>
      <c r="H71" s="291">
        <f t="shared" si="19"/>
        <v>0</v>
      </c>
      <c r="I71" s="477"/>
      <c r="J71" s="292"/>
      <c r="K71" s="293"/>
      <c r="L71" s="294"/>
      <c r="M71" s="295"/>
      <c r="N71" s="295"/>
      <c r="O71" s="293"/>
      <c r="P71" s="480"/>
      <c r="Q71" s="296"/>
      <c r="R71" s="296"/>
    </row>
    <row r="72" spans="1:18" ht="15.6" customHeight="1">
      <c r="A72" s="633"/>
      <c r="B72" s="397">
        <v>0</v>
      </c>
      <c r="C72" s="476"/>
      <c r="D72" s="323"/>
      <c r="E72" s="311"/>
      <c r="F72" s="398" t="s">
        <v>128</v>
      </c>
      <c r="G72" s="297"/>
      <c r="H72" s="291">
        <f t="shared" si="19"/>
        <v>0</v>
      </c>
      <c r="I72" s="477"/>
      <c r="J72" s="292"/>
      <c r="K72" s="293"/>
      <c r="L72" s="294"/>
      <c r="M72" s="295"/>
      <c r="N72" s="295"/>
      <c r="O72" s="293"/>
      <c r="P72" s="480"/>
      <c r="Q72" s="296"/>
      <c r="R72" s="296"/>
    </row>
    <row r="73" spans="1:18" ht="15.6" customHeight="1">
      <c r="A73" s="633"/>
      <c r="B73" s="397">
        <v>0</v>
      </c>
      <c r="C73" s="476"/>
      <c r="D73" s="323"/>
      <c r="E73" s="311"/>
      <c r="F73" s="398" t="s">
        <v>128</v>
      </c>
      <c r="G73" s="297"/>
      <c r="H73" s="291">
        <f t="shared" si="19"/>
        <v>0</v>
      </c>
      <c r="I73" s="477"/>
      <c r="J73" s="292"/>
      <c r="K73" s="293"/>
      <c r="L73" s="294"/>
      <c r="M73" s="295"/>
      <c r="N73" s="295"/>
      <c r="O73" s="293"/>
      <c r="P73" s="480"/>
      <c r="Q73" s="296"/>
      <c r="R73" s="296"/>
    </row>
    <row r="74" spans="1:18" ht="15.6" customHeight="1">
      <c r="A74" s="633"/>
      <c r="B74" s="397">
        <v>0</v>
      </c>
      <c r="C74" s="476"/>
      <c r="D74" s="323"/>
      <c r="E74" s="311"/>
      <c r="F74" s="398" t="s">
        <v>128</v>
      </c>
      <c r="G74" s="297"/>
      <c r="H74" s="291">
        <f t="shared" si="19"/>
        <v>0</v>
      </c>
      <c r="I74" s="477"/>
      <c r="J74" s="292"/>
      <c r="K74" s="293"/>
      <c r="L74" s="294"/>
      <c r="M74" s="295"/>
      <c r="N74" s="295"/>
      <c r="O74" s="293"/>
      <c r="P74" s="480"/>
      <c r="Q74" s="296"/>
      <c r="R74" s="296"/>
    </row>
    <row r="75" spans="1:18" ht="15.75" customHeight="1">
      <c r="A75" s="634"/>
      <c r="B75" s="397">
        <v>0</v>
      </c>
      <c r="C75" s="6" t="s">
        <v>473</v>
      </c>
      <c r="D75" s="628" t="s">
        <v>455</v>
      </c>
      <c r="E75" s="628"/>
      <c r="F75" s="298"/>
      <c r="G75" s="303"/>
      <c r="H75" s="319"/>
      <c r="I75" s="320"/>
      <c r="J75" s="302">
        <f>AVERAGE(J65:J74)</f>
        <v>3.3333333333333335</v>
      </c>
      <c r="K75" s="302">
        <f>AVERAGE(K65:K74)</f>
        <v>3138.4084945196651</v>
      </c>
      <c r="L75" s="303">
        <f>AVERAGE(L65:L74)</f>
        <v>960.31072292069655</v>
      </c>
      <c r="M75" s="295"/>
      <c r="N75" s="295"/>
      <c r="O75" s="289"/>
      <c r="P75" s="289"/>
      <c r="Q75" s="289"/>
      <c r="R75" s="289"/>
    </row>
    <row r="76" spans="1:18" ht="16.2" customHeight="1">
      <c r="A76" s="618" t="s">
        <v>112</v>
      </c>
      <c r="B76" s="397">
        <v>0</v>
      </c>
      <c r="C76" s="290"/>
      <c r="D76" s="619"/>
      <c r="E76" s="620"/>
      <c r="F76" s="398" t="s">
        <v>128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480"/>
      <c r="Q76" s="296"/>
      <c r="R76" s="296"/>
    </row>
    <row r="77" spans="1:18">
      <c r="A77" s="618"/>
      <c r="B77" s="397">
        <v>0</v>
      </c>
      <c r="C77" s="290"/>
      <c r="D77" s="619"/>
      <c r="E77" s="620"/>
      <c r="F77" s="398" t="s">
        <v>128</v>
      </c>
      <c r="G77" s="475"/>
      <c r="H77" s="291">
        <f t="shared" si="13"/>
        <v>0</v>
      </c>
      <c r="I77" s="477"/>
      <c r="J77" s="292"/>
      <c r="K77" s="293"/>
      <c r="L77" s="294"/>
      <c r="M77" s="295"/>
      <c r="N77" s="295"/>
      <c r="O77" s="289"/>
      <c r="P77" s="480"/>
      <c r="Q77" s="289"/>
      <c r="R77" s="289"/>
    </row>
    <row r="78" spans="1:18">
      <c r="A78" s="618"/>
      <c r="B78" s="397">
        <v>0</v>
      </c>
      <c r="C78" s="290"/>
      <c r="D78" s="481"/>
      <c r="E78" s="481"/>
      <c r="F78" s="398" t="s">
        <v>128</v>
      </c>
      <c r="G78" s="312"/>
      <c r="H78" s="291">
        <f t="shared" si="13"/>
        <v>0</v>
      </c>
      <c r="I78" s="477"/>
      <c r="J78" s="292"/>
      <c r="K78" s="293"/>
      <c r="L78" s="294"/>
      <c r="M78" s="295"/>
      <c r="N78" s="295"/>
      <c r="O78" s="289"/>
      <c r="P78" s="480"/>
      <c r="Q78" s="289"/>
      <c r="R78" s="289"/>
    </row>
    <row r="79" spans="1:18">
      <c r="A79" s="618"/>
      <c r="B79" s="397">
        <v>0</v>
      </c>
      <c r="C79" s="290"/>
      <c r="D79" s="481"/>
      <c r="E79" s="481"/>
      <c r="F79" s="398" t="s">
        <v>128</v>
      </c>
      <c r="G79" s="312"/>
      <c r="H79" s="291">
        <f t="shared" si="13"/>
        <v>0</v>
      </c>
      <c r="I79" s="477"/>
      <c r="J79" s="292"/>
      <c r="K79" s="293"/>
      <c r="L79" s="294"/>
      <c r="M79" s="295"/>
      <c r="N79" s="295"/>
      <c r="O79" s="289"/>
      <c r="P79" s="480"/>
      <c r="Q79" s="289"/>
      <c r="R79" s="289"/>
    </row>
    <row r="80" spans="1:18">
      <c r="A80" s="618"/>
      <c r="B80" s="397">
        <v>0</v>
      </c>
      <c r="C80" s="290"/>
      <c r="D80" s="481"/>
      <c r="E80" s="481"/>
      <c r="F80" s="398" t="s">
        <v>128</v>
      </c>
      <c r="G80" s="312"/>
      <c r="H80" s="291">
        <f t="shared" si="13"/>
        <v>0</v>
      </c>
      <c r="I80" s="477"/>
      <c r="J80" s="292"/>
      <c r="K80" s="293"/>
      <c r="L80" s="294"/>
      <c r="M80" s="295"/>
      <c r="N80" s="295"/>
      <c r="O80" s="289"/>
      <c r="P80" s="480"/>
      <c r="Q80" s="289"/>
      <c r="R80" s="289"/>
    </row>
    <row r="81" spans="1:18" ht="15.75" customHeight="1">
      <c r="A81" s="618"/>
      <c r="B81" s="397">
        <v>0</v>
      </c>
      <c r="C81" s="6" t="s">
        <v>31</v>
      </c>
      <c r="D81" s="614" t="s">
        <v>455</v>
      </c>
      <c r="E81" s="614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621" t="s">
        <v>474</v>
      </c>
      <c r="B82" s="397" t="s">
        <v>126</v>
      </c>
      <c r="C82" s="308"/>
      <c r="D82" s="309" t="s">
        <v>475</v>
      </c>
      <c r="E82" s="328"/>
      <c r="F82" s="398">
        <v>17.22</v>
      </c>
      <c r="G82" s="312">
        <v>596</v>
      </c>
      <c r="H82" s="329">
        <f t="shared" ref="H82:H90" si="21">F82*G82</f>
        <v>10263.119999999999</v>
      </c>
      <c r="I82" s="477"/>
      <c r="J82" s="292">
        <v>3</v>
      </c>
      <c r="K82" s="293">
        <f t="shared" ref="K82" si="22">G82/P82*60</f>
        <v>2979.9999999999709</v>
      </c>
      <c r="L82" s="294">
        <f t="shared" ref="L82" si="23">K82/J82</f>
        <v>993.33333333332359</v>
      </c>
      <c r="M82" s="295">
        <v>0.72222222222222221</v>
      </c>
      <c r="N82" s="295">
        <v>0.73055555555555562</v>
      </c>
      <c r="O82" s="293">
        <v>20</v>
      </c>
      <c r="P82" s="480">
        <f t="shared" ref="P82" si="24">(N82-M82)*24*60</f>
        <v>12.000000000000117</v>
      </c>
      <c r="Q82" s="296"/>
      <c r="R82" s="296"/>
    </row>
    <row r="83" spans="1:18">
      <c r="A83" s="622"/>
      <c r="B83" s="397">
        <v>0</v>
      </c>
      <c r="C83" s="308"/>
      <c r="D83" s="323"/>
      <c r="E83" s="328"/>
      <c r="F83" s="398" t="s">
        <v>128</v>
      </c>
      <c r="G83" s="312"/>
      <c r="H83" s="329">
        <f t="shared" si="21"/>
        <v>0</v>
      </c>
      <c r="I83" s="477"/>
      <c r="J83" s="292"/>
      <c r="K83" s="293"/>
      <c r="L83" s="294"/>
      <c r="M83" s="295"/>
      <c r="N83" s="295"/>
      <c r="O83" s="293"/>
      <c r="P83" s="480"/>
      <c r="Q83" s="296"/>
      <c r="R83" s="296"/>
    </row>
    <row r="84" spans="1:18">
      <c r="A84" s="622"/>
      <c r="B84" s="397">
        <v>0</v>
      </c>
      <c r="C84" s="308"/>
      <c r="D84" s="309"/>
      <c r="E84" s="328"/>
      <c r="F84" s="398" t="s">
        <v>128</v>
      </c>
      <c r="G84" s="312"/>
      <c r="H84" s="329">
        <f t="shared" si="21"/>
        <v>0</v>
      </c>
      <c r="I84" s="477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622"/>
      <c r="B85" s="397">
        <v>0</v>
      </c>
      <c r="C85" s="308"/>
      <c r="D85" s="309"/>
      <c r="E85" s="328"/>
      <c r="F85" s="398" t="s">
        <v>128</v>
      </c>
      <c r="G85" s="312"/>
      <c r="H85" s="330">
        <f t="shared" si="21"/>
        <v>0</v>
      </c>
      <c r="I85" s="477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622"/>
      <c r="B86" s="397">
        <v>0</v>
      </c>
      <c r="C86" s="308"/>
      <c r="D86" s="309"/>
      <c r="E86" s="328"/>
      <c r="F86" s="398" t="s">
        <v>128</v>
      </c>
      <c r="G86" s="475"/>
      <c r="H86" s="330">
        <f t="shared" si="21"/>
        <v>0</v>
      </c>
      <c r="I86" s="477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622"/>
      <c r="B87" s="397"/>
      <c r="C87" s="308"/>
      <c r="D87" s="309"/>
      <c r="E87" s="328"/>
      <c r="F87" s="398" t="s">
        <v>128</v>
      </c>
      <c r="G87" s="475"/>
      <c r="H87" s="330">
        <f t="shared" si="21"/>
        <v>0</v>
      </c>
      <c r="I87" s="477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622"/>
      <c r="B88" s="397">
        <v>0</v>
      </c>
      <c r="C88" s="308"/>
      <c r="D88" s="309"/>
      <c r="E88" s="328"/>
      <c r="F88" s="398" t="s">
        <v>128</v>
      </c>
      <c r="G88" s="475"/>
      <c r="H88" s="330">
        <f t="shared" si="21"/>
        <v>0</v>
      </c>
      <c r="I88" s="477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622"/>
      <c r="B89" s="397">
        <v>0</v>
      </c>
      <c r="C89" s="308"/>
      <c r="D89" s="309"/>
      <c r="E89" s="328"/>
      <c r="F89" s="398" t="s">
        <v>128</v>
      </c>
      <c r="G89" s="475"/>
      <c r="H89" s="330">
        <f t="shared" si="21"/>
        <v>0</v>
      </c>
      <c r="I89" s="477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622"/>
      <c r="B90" s="397">
        <v>0</v>
      </c>
      <c r="C90" s="308"/>
      <c r="D90" s="309"/>
      <c r="E90" s="328"/>
      <c r="F90" s="398" t="s">
        <v>128</v>
      </c>
      <c r="G90" s="475"/>
      <c r="H90" s="330">
        <f t="shared" si="21"/>
        <v>0</v>
      </c>
      <c r="I90" s="477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399999999999999" customHeight="1">
      <c r="A91" s="622"/>
      <c r="B91" s="397">
        <v>0</v>
      </c>
      <c r="C91" s="6" t="s">
        <v>459</v>
      </c>
      <c r="D91" s="623" t="s">
        <v>455</v>
      </c>
      <c r="E91" s="623"/>
      <c r="F91" s="298"/>
      <c r="G91" s="332"/>
      <c r="H91" s="333"/>
      <c r="I91" s="301"/>
      <c r="J91" s="302">
        <f>AVERAGE(J82:J90)</f>
        <v>3</v>
      </c>
      <c r="K91" s="302">
        <f>AVERAGE(K82:K90)</f>
        <v>2979.9999999999709</v>
      </c>
      <c r="L91" s="303">
        <f>AVERAGE(L82:L90)</f>
        <v>993.33333333332359</v>
      </c>
      <c r="M91" s="295"/>
      <c r="N91" s="295"/>
      <c r="O91" s="293"/>
      <c r="P91" s="293"/>
      <c r="Q91" s="294"/>
      <c r="R91" s="294"/>
    </row>
    <row r="92" spans="1:18" ht="16.2" customHeight="1">
      <c r="A92" s="608" t="s">
        <v>476</v>
      </c>
      <c r="B92" s="397" t="s">
        <v>126</v>
      </c>
      <c r="C92" s="290"/>
      <c r="D92" s="334" t="s">
        <v>477</v>
      </c>
      <c r="E92" s="328"/>
      <c r="F92" s="398">
        <v>24.54</v>
      </c>
      <c r="G92" s="475">
        <v>1196</v>
      </c>
      <c r="H92" s="291">
        <f t="shared" ref="H92:H99" si="25">F92*G92</f>
        <v>29349.84</v>
      </c>
      <c r="I92" s="477"/>
      <c r="J92" s="292">
        <v>3</v>
      </c>
      <c r="K92" s="293">
        <f>G92/P92*60</f>
        <v>2392.0000000000086</v>
      </c>
      <c r="L92" s="294">
        <f t="shared" ref="L92:L94" si="26">K92/J92</f>
        <v>797.33333333333621</v>
      </c>
      <c r="M92" s="295">
        <v>0.72222222222222221</v>
      </c>
      <c r="N92" s="295">
        <v>0.74305555555555547</v>
      </c>
      <c r="O92" s="289">
        <v>20</v>
      </c>
      <c r="P92" s="480">
        <f>(N92-M92)*24*60</f>
        <v>29.999999999999893</v>
      </c>
      <c r="Q92" s="296"/>
      <c r="R92" s="296"/>
    </row>
    <row r="93" spans="1:18">
      <c r="A93" s="609"/>
      <c r="B93" s="397" t="s">
        <v>126</v>
      </c>
      <c r="C93" s="290"/>
      <c r="D93" s="309" t="s">
        <v>478</v>
      </c>
      <c r="E93" s="325"/>
      <c r="F93" s="398">
        <v>23.27</v>
      </c>
      <c r="G93" s="297">
        <v>703</v>
      </c>
      <c r="H93" s="291">
        <f t="shared" si="25"/>
        <v>16358.81</v>
      </c>
      <c r="I93" s="477"/>
      <c r="J93" s="292">
        <v>4</v>
      </c>
      <c r="K93" s="293">
        <f t="shared" ref="K93:K94" si="27">G93/P93*60</f>
        <v>2109.0000000000077</v>
      </c>
      <c r="L93" s="294">
        <f t="shared" si="26"/>
        <v>527.25000000000193</v>
      </c>
      <c r="M93" s="295">
        <v>0.75694444444444453</v>
      </c>
      <c r="N93" s="295">
        <v>0.77083333333333337</v>
      </c>
      <c r="O93" s="289">
        <v>20</v>
      </c>
      <c r="P93" s="480">
        <f>(N93-M93)*24*60</f>
        <v>19.999999999999929</v>
      </c>
      <c r="Q93" s="296"/>
      <c r="R93" s="296"/>
    </row>
    <row r="94" spans="1:18">
      <c r="A94" s="609"/>
      <c r="B94" s="397" t="s">
        <v>126</v>
      </c>
      <c r="C94" s="290"/>
      <c r="D94" s="309" t="s">
        <v>479</v>
      </c>
      <c r="E94" s="325"/>
      <c r="F94" s="398">
        <v>24.33</v>
      </c>
      <c r="G94" s="297">
        <v>2535</v>
      </c>
      <c r="H94" s="291">
        <f t="shared" si="25"/>
        <v>61676.549999999996</v>
      </c>
      <c r="I94" s="477"/>
      <c r="J94" s="292">
        <v>4</v>
      </c>
      <c r="K94" s="293">
        <f t="shared" si="27"/>
        <v>2172.8571428571408</v>
      </c>
      <c r="L94" s="294">
        <f t="shared" si="26"/>
        <v>543.21428571428521</v>
      </c>
      <c r="M94" s="295">
        <v>0.78472222222222221</v>
      </c>
      <c r="N94" s="295">
        <v>0.83333333333333337</v>
      </c>
      <c r="O94" s="289">
        <v>20</v>
      </c>
      <c r="P94" s="480">
        <f>(N94-M94)*24*60</f>
        <v>70.000000000000071</v>
      </c>
      <c r="Q94" s="296"/>
      <c r="R94" s="296"/>
    </row>
    <row r="95" spans="1:18">
      <c r="A95" s="610"/>
      <c r="B95" s="397">
        <v>0</v>
      </c>
      <c r="C95" s="290"/>
      <c r="D95" s="309"/>
      <c r="E95" s="325"/>
      <c r="F95" s="398" t="s">
        <v>128</v>
      </c>
      <c r="G95" s="297"/>
      <c r="H95" s="291">
        <f t="shared" si="25"/>
        <v>0</v>
      </c>
      <c r="I95" s="477"/>
      <c r="J95" s="292"/>
      <c r="K95" s="293"/>
      <c r="L95" s="294"/>
      <c r="M95" s="295"/>
      <c r="N95" s="295"/>
      <c r="O95" s="289"/>
      <c r="P95" s="480"/>
      <c r="Q95" s="296"/>
      <c r="R95" s="296"/>
    </row>
    <row r="96" spans="1:18">
      <c r="A96" s="610"/>
      <c r="B96" s="397">
        <v>0</v>
      </c>
      <c r="C96" s="290"/>
      <c r="D96" s="309"/>
      <c r="E96" s="325"/>
      <c r="F96" s="398" t="s">
        <v>128</v>
      </c>
      <c r="G96" s="297"/>
      <c r="H96" s="291">
        <f t="shared" si="25"/>
        <v>0</v>
      </c>
      <c r="I96" s="477"/>
      <c r="J96" s="292"/>
      <c r="K96" s="293"/>
      <c r="L96" s="294"/>
      <c r="M96" s="295"/>
      <c r="N96" s="295"/>
      <c r="O96" s="289"/>
      <c r="P96" s="480"/>
      <c r="Q96" s="296"/>
      <c r="R96" s="296"/>
    </row>
    <row r="97" spans="1:18">
      <c r="A97" s="610"/>
      <c r="B97" s="397">
        <v>0</v>
      </c>
      <c r="C97" s="290"/>
      <c r="D97" s="309"/>
      <c r="E97" s="325"/>
      <c r="F97" s="398" t="s">
        <v>128</v>
      </c>
      <c r="G97" s="297"/>
      <c r="H97" s="291">
        <f t="shared" si="25"/>
        <v>0</v>
      </c>
      <c r="I97" s="477"/>
      <c r="J97" s="292"/>
      <c r="K97" s="293"/>
      <c r="L97" s="294"/>
      <c r="M97" s="295"/>
      <c r="N97" s="295"/>
      <c r="O97" s="289"/>
      <c r="P97" s="480"/>
      <c r="Q97" s="296"/>
      <c r="R97" s="296"/>
    </row>
    <row r="98" spans="1:18">
      <c r="A98" s="610"/>
      <c r="B98" s="397">
        <v>0</v>
      </c>
      <c r="C98" s="290"/>
      <c r="D98" s="309"/>
      <c r="E98" s="325"/>
      <c r="F98" s="398" t="s">
        <v>128</v>
      </c>
      <c r="G98" s="297"/>
      <c r="H98" s="291">
        <f t="shared" si="25"/>
        <v>0</v>
      </c>
      <c r="I98" s="477"/>
      <c r="J98" s="292"/>
      <c r="K98" s="293"/>
      <c r="L98" s="294"/>
      <c r="M98" s="295"/>
      <c r="N98" s="295"/>
      <c r="O98" s="289"/>
      <c r="P98" s="480"/>
      <c r="Q98" s="296"/>
      <c r="R98" s="296"/>
    </row>
    <row r="99" spans="1:18">
      <c r="A99" s="610"/>
      <c r="B99" s="397">
        <v>0</v>
      </c>
      <c r="C99" s="290"/>
      <c r="D99" s="309"/>
      <c r="E99" s="325"/>
      <c r="F99" s="398" t="s">
        <v>128</v>
      </c>
      <c r="G99" s="297"/>
      <c r="H99" s="291">
        <f t="shared" si="25"/>
        <v>0</v>
      </c>
      <c r="I99" s="477"/>
      <c r="J99" s="292"/>
      <c r="K99" s="293"/>
      <c r="L99" s="294"/>
      <c r="M99" s="295"/>
      <c r="N99" s="295"/>
      <c r="O99" s="289"/>
      <c r="P99" s="480"/>
      <c r="Q99" s="296"/>
      <c r="R99" s="296"/>
    </row>
    <row r="100" spans="1:18" ht="15.75" customHeight="1">
      <c r="A100" s="610"/>
      <c r="B100" s="397">
        <v>0</v>
      </c>
      <c r="C100" s="6" t="s">
        <v>480</v>
      </c>
      <c r="D100" s="611" t="s">
        <v>455</v>
      </c>
      <c r="E100" s="612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2224.6190476190527</v>
      </c>
      <c r="L100" s="303">
        <f>AVERAGE(L92:L99)</f>
        <v>622.59920634920775</v>
      </c>
      <c r="M100" s="295"/>
      <c r="N100" s="295"/>
      <c r="O100" s="293"/>
      <c r="P100" s="293"/>
      <c r="Q100" s="294"/>
      <c r="R100" s="294"/>
    </row>
    <row r="101" spans="1:18" ht="16.2" customHeight="1">
      <c r="A101" s="613" t="s">
        <v>481</v>
      </c>
      <c r="B101" s="397" t="s">
        <v>126</v>
      </c>
      <c r="C101" s="6"/>
      <c r="D101" s="325" t="s">
        <v>117</v>
      </c>
      <c r="E101" s="336"/>
      <c r="F101" s="398">
        <v>25.03</v>
      </c>
      <c r="G101" s="475">
        <v>780</v>
      </c>
      <c r="H101" s="291">
        <f t="shared" ref="H101:H110" si="28">F101*G101</f>
        <v>19523.400000000001</v>
      </c>
      <c r="I101" s="477"/>
      <c r="J101" s="292">
        <v>4</v>
      </c>
      <c r="K101" s="293">
        <f>G101/P101*60</f>
        <v>3120.0000000000109</v>
      </c>
      <c r="L101" s="294">
        <f t="shared" ref="L101:L105" si="29">K101/J101</f>
        <v>780.00000000000273</v>
      </c>
      <c r="M101" s="295">
        <v>0.72222222222222221</v>
      </c>
      <c r="N101" s="295">
        <v>0.73263888888888884</v>
      </c>
      <c r="O101" s="289">
        <v>20</v>
      </c>
      <c r="P101" s="293">
        <f t="shared" ref="P101:P103" si="30">(N101-M101)*24*60</f>
        <v>14.999999999999947</v>
      </c>
      <c r="Q101" s="294"/>
      <c r="R101" s="296"/>
    </row>
    <row r="102" spans="1:18" ht="15.6" customHeight="1">
      <c r="A102" s="613"/>
      <c r="B102" s="397" t="s">
        <v>126</v>
      </c>
      <c r="C102" s="6"/>
      <c r="D102" s="323" t="s">
        <v>119</v>
      </c>
      <c r="E102" s="336"/>
      <c r="F102" s="398">
        <v>28.57</v>
      </c>
      <c r="G102" s="475">
        <v>2658</v>
      </c>
      <c r="H102" s="291">
        <f t="shared" si="28"/>
        <v>75939.06</v>
      </c>
      <c r="I102" s="477"/>
      <c r="J102" s="292">
        <v>3</v>
      </c>
      <c r="K102" s="293">
        <f t="shared" ref="K102:K105" si="31">G102/P102*60</f>
        <v>2899.6363636363653</v>
      </c>
      <c r="L102" s="294">
        <f t="shared" si="29"/>
        <v>966.54545454545507</v>
      </c>
      <c r="M102" s="295">
        <v>0.74652777777777779</v>
      </c>
      <c r="N102" s="295">
        <v>0.78472222222222221</v>
      </c>
      <c r="O102" s="289">
        <v>20</v>
      </c>
      <c r="P102" s="293">
        <f t="shared" si="30"/>
        <v>54.999999999999964</v>
      </c>
      <c r="Q102" s="296">
        <v>0.78472222222222221</v>
      </c>
      <c r="R102" s="296">
        <v>0.82638888888888884</v>
      </c>
    </row>
    <row r="103" spans="1:18">
      <c r="A103" s="613"/>
      <c r="B103" s="397" t="s">
        <v>126</v>
      </c>
      <c r="C103" s="6"/>
      <c r="D103" s="309" t="s">
        <v>118</v>
      </c>
      <c r="E103" s="309"/>
      <c r="F103" s="398">
        <v>24.82</v>
      </c>
      <c r="G103" s="475">
        <v>1440</v>
      </c>
      <c r="H103" s="291">
        <f t="shared" si="28"/>
        <v>35740.800000000003</v>
      </c>
      <c r="I103" s="477"/>
      <c r="J103" s="292">
        <v>4</v>
      </c>
      <c r="K103" s="293">
        <f t="shared" si="31"/>
        <v>2879.999999999995</v>
      </c>
      <c r="L103" s="294">
        <f t="shared" si="29"/>
        <v>719.99999999999875</v>
      </c>
      <c r="M103" s="295">
        <v>0.84027777777777779</v>
      </c>
      <c r="N103" s="295">
        <v>0.86111111111111116</v>
      </c>
      <c r="O103" s="289">
        <v>20</v>
      </c>
      <c r="P103" s="293">
        <f t="shared" si="30"/>
        <v>30.000000000000053</v>
      </c>
      <c r="Q103" s="296"/>
      <c r="R103" s="296"/>
    </row>
    <row r="104" spans="1:18">
      <c r="A104" s="613"/>
      <c r="B104" s="397" t="s">
        <v>126</v>
      </c>
      <c r="C104" s="6"/>
      <c r="D104" s="309" t="s">
        <v>482</v>
      </c>
      <c r="E104" s="325"/>
      <c r="F104" s="398">
        <v>30</v>
      </c>
      <c r="G104" s="475">
        <v>1438</v>
      </c>
      <c r="H104" s="291">
        <f t="shared" si="28"/>
        <v>43140</v>
      </c>
      <c r="I104" s="477"/>
      <c r="J104" s="292">
        <v>3</v>
      </c>
      <c r="K104" s="293">
        <f t="shared" si="31"/>
        <v>2875.9999999999945</v>
      </c>
      <c r="L104" s="294">
        <f t="shared" si="29"/>
        <v>958.66666666666481</v>
      </c>
      <c r="M104" s="295">
        <v>0.875</v>
      </c>
      <c r="N104" s="295">
        <v>0.89583333333333337</v>
      </c>
      <c r="O104" s="289">
        <v>20</v>
      </c>
      <c r="P104" s="293">
        <f>(N104-M104)*24*60</f>
        <v>30.000000000000053</v>
      </c>
      <c r="Q104" s="296"/>
      <c r="R104" s="296"/>
    </row>
    <row r="105" spans="1:18">
      <c r="A105" s="613"/>
      <c r="B105" s="397" t="s">
        <v>126</v>
      </c>
      <c r="C105" s="6"/>
      <c r="D105" s="309" t="s">
        <v>120</v>
      </c>
      <c r="E105" s="323"/>
      <c r="F105" s="398">
        <v>14.285714285714283</v>
      </c>
      <c r="G105" s="475">
        <v>7717</v>
      </c>
      <c r="H105" s="291">
        <f t="shared" si="28"/>
        <v>110242.85714285712</v>
      </c>
      <c r="I105" s="477"/>
      <c r="J105" s="292">
        <v>3</v>
      </c>
      <c r="K105" s="293">
        <f t="shared" si="31"/>
        <v>2893.87499985261</v>
      </c>
      <c r="L105" s="294">
        <f t="shared" si="29"/>
        <v>964.62499995087001</v>
      </c>
      <c r="M105" s="295">
        <v>46206.909722222219</v>
      </c>
      <c r="N105" s="295">
        <v>46207.020833333336</v>
      </c>
      <c r="O105" s="289">
        <v>20</v>
      </c>
      <c r="P105" s="293">
        <f>(N105-M105)*24*60</f>
        <v>160.00000000814907</v>
      </c>
      <c r="Q105" s="294"/>
      <c r="R105" s="296"/>
    </row>
    <row r="106" spans="1:18">
      <c r="A106" s="613"/>
      <c r="B106" s="397">
        <v>0</v>
      </c>
      <c r="C106" s="6"/>
      <c r="D106" s="325"/>
      <c r="E106" s="336"/>
      <c r="F106" s="398" t="s">
        <v>128</v>
      </c>
      <c r="G106" s="297"/>
      <c r="H106" s="291">
        <f t="shared" si="28"/>
        <v>0</v>
      </c>
      <c r="I106" s="477"/>
      <c r="J106" s="292"/>
      <c r="K106" s="293"/>
      <c r="L106" s="294"/>
      <c r="M106" s="295"/>
      <c r="N106" s="295"/>
      <c r="O106" s="293"/>
      <c r="P106" s="293"/>
      <c r="Q106" s="294"/>
      <c r="R106" s="296"/>
    </row>
    <row r="107" spans="1:18">
      <c r="A107" s="613"/>
      <c r="B107" s="397">
        <v>0</v>
      </c>
      <c r="C107" s="6"/>
      <c r="D107" s="309"/>
      <c r="E107" s="323"/>
      <c r="F107" s="398" t="s">
        <v>128</v>
      </c>
      <c r="G107" s="475"/>
      <c r="H107" s="291">
        <f t="shared" si="28"/>
        <v>0</v>
      </c>
      <c r="I107" s="477"/>
      <c r="J107" s="292"/>
      <c r="K107" s="293"/>
      <c r="L107" s="294"/>
      <c r="M107" s="295"/>
      <c r="N107" s="295"/>
      <c r="O107" s="293"/>
      <c r="P107" s="293"/>
      <c r="Q107" s="294"/>
      <c r="R107" s="296"/>
    </row>
    <row r="108" spans="1:18">
      <c r="A108" s="613"/>
      <c r="B108" s="397">
        <v>0</v>
      </c>
      <c r="C108" s="6"/>
      <c r="D108" s="309"/>
      <c r="E108" s="323"/>
      <c r="F108" s="398" t="s">
        <v>128</v>
      </c>
      <c r="G108" s="475"/>
      <c r="H108" s="291">
        <f t="shared" si="28"/>
        <v>0</v>
      </c>
      <c r="I108" s="477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613"/>
      <c r="B109" s="397">
        <v>0</v>
      </c>
      <c r="C109" s="290"/>
      <c r="D109" s="323"/>
      <c r="E109" s="323"/>
      <c r="F109" s="398" t="s">
        <v>128</v>
      </c>
      <c r="G109" s="475"/>
      <c r="H109" s="291">
        <f t="shared" si="28"/>
        <v>0</v>
      </c>
      <c r="I109" s="477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613"/>
      <c r="B110" s="397">
        <v>0</v>
      </c>
      <c r="C110" s="290"/>
      <c r="D110" s="309"/>
      <c r="E110" s="323"/>
      <c r="F110" s="398" t="s">
        <v>128</v>
      </c>
      <c r="G110" s="475"/>
      <c r="H110" s="291">
        <f t="shared" si="28"/>
        <v>0</v>
      </c>
      <c r="I110" s="477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613"/>
      <c r="B111" s="397">
        <v>0</v>
      </c>
      <c r="C111" s="6" t="s">
        <v>468</v>
      </c>
      <c r="D111" s="614" t="s">
        <v>455</v>
      </c>
      <c r="E111" s="615"/>
      <c r="F111" s="337"/>
      <c r="G111" s="338"/>
      <c r="H111" s="300"/>
      <c r="I111" s="301"/>
      <c r="J111" s="302">
        <f>AVERAGE(J101:J110)</f>
        <v>3.4</v>
      </c>
      <c r="K111" s="302">
        <f>AVERAGE(K101:K110)</f>
        <v>2933.9022726977951</v>
      </c>
      <c r="L111" s="303">
        <f>AVERAGE(L101:L110)</f>
        <v>877.9674242325982</v>
      </c>
      <c r="M111" s="295"/>
      <c r="N111" s="295"/>
      <c r="O111" s="293"/>
      <c r="P111" s="293"/>
      <c r="Q111" s="294"/>
      <c r="R111" s="289"/>
    </row>
    <row r="112" spans="1:18" ht="16.2" customHeight="1">
      <c r="A112" s="616" t="s">
        <v>483</v>
      </c>
      <c r="B112" s="397" t="s">
        <v>126</v>
      </c>
      <c r="C112" s="6"/>
      <c r="D112" s="323" t="s">
        <v>114</v>
      </c>
      <c r="E112" s="339"/>
      <c r="F112" s="398">
        <v>16.7</v>
      </c>
      <c r="G112" s="475">
        <v>1124</v>
      </c>
      <c r="H112" s="329">
        <f t="shared" si="13"/>
        <v>18770.8</v>
      </c>
      <c r="I112" s="477"/>
      <c r="J112" s="292">
        <v>3</v>
      </c>
      <c r="K112" s="293">
        <f t="shared" ref="K112:K118" si="32">G112/P112*60</f>
        <v>2697.5999999999922</v>
      </c>
      <c r="L112" s="294">
        <f t="shared" ref="L112:L118" si="33">K112/J112</f>
        <v>899.19999999999743</v>
      </c>
      <c r="M112" s="295">
        <v>0.72222222222222221</v>
      </c>
      <c r="N112" s="295">
        <v>0.73958333333333337</v>
      </c>
      <c r="O112" s="289">
        <v>20</v>
      </c>
      <c r="P112" s="480">
        <f t="shared" ref="P112:P118" si="34">(N112-M112)*24*60</f>
        <v>25.000000000000071</v>
      </c>
      <c r="Q112" s="289"/>
      <c r="R112" s="289"/>
    </row>
    <row r="113" spans="1:18">
      <c r="A113" s="616"/>
      <c r="B113" s="397" t="s">
        <v>126</v>
      </c>
      <c r="C113" s="308"/>
      <c r="D113" s="481" t="s">
        <v>121</v>
      </c>
      <c r="E113" s="481"/>
      <c r="F113" s="398">
        <v>18.18</v>
      </c>
      <c r="G113" s="475">
        <v>950</v>
      </c>
      <c r="H113" s="329">
        <f t="shared" si="13"/>
        <v>17271</v>
      </c>
      <c r="I113" s="477"/>
      <c r="J113" s="292">
        <v>4</v>
      </c>
      <c r="K113" s="293">
        <f t="shared" si="32"/>
        <v>2849.9999999999873</v>
      </c>
      <c r="L113" s="294">
        <f t="shared" si="33"/>
        <v>712.49999999999682</v>
      </c>
      <c r="M113" s="295">
        <v>0.75347222222222221</v>
      </c>
      <c r="N113" s="295">
        <v>0.76736111111111116</v>
      </c>
      <c r="O113" s="289">
        <v>20</v>
      </c>
      <c r="P113" s="480">
        <f t="shared" si="34"/>
        <v>20.000000000000089</v>
      </c>
      <c r="Q113" s="296"/>
      <c r="R113" s="296"/>
    </row>
    <row r="114" spans="1:18">
      <c r="A114" s="616"/>
      <c r="B114" s="397" t="s">
        <v>126</v>
      </c>
      <c r="C114" s="308"/>
      <c r="D114" s="481" t="s">
        <v>484</v>
      </c>
      <c r="E114" s="309"/>
      <c r="F114" s="398">
        <v>18.18</v>
      </c>
      <c r="G114" s="475">
        <v>1081</v>
      </c>
      <c r="H114" s="329">
        <f t="shared" si="13"/>
        <v>19652.579999999998</v>
      </c>
      <c r="I114" s="477"/>
      <c r="J114" s="292">
        <v>3</v>
      </c>
      <c r="K114" s="293">
        <f t="shared" si="32"/>
        <v>3243.0000000000114</v>
      </c>
      <c r="L114" s="294">
        <f t="shared" si="33"/>
        <v>1081.0000000000039</v>
      </c>
      <c r="M114" s="295">
        <v>0.78125</v>
      </c>
      <c r="N114" s="295">
        <v>0.79513888888888884</v>
      </c>
      <c r="O114" s="289">
        <v>20</v>
      </c>
      <c r="P114" s="480">
        <f t="shared" si="34"/>
        <v>19.999999999999929</v>
      </c>
      <c r="Q114" s="296"/>
      <c r="R114" s="296"/>
    </row>
    <row r="115" spans="1:18">
      <c r="A115" s="616"/>
      <c r="B115" s="397" t="s">
        <v>126</v>
      </c>
      <c r="C115" s="308"/>
      <c r="D115" s="309" t="s">
        <v>113</v>
      </c>
      <c r="E115" s="325"/>
      <c r="F115" s="398">
        <v>16.66</v>
      </c>
      <c r="G115" s="475">
        <v>4990</v>
      </c>
      <c r="H115" s="329">
        <f t="shared" si="13"/>
        <v>83133.399999999994</v>
      </c>
      <c r="I115" s="477"/>
      <c r="J115" s="292">
        <v>4</v>
      </c>
      <c r="K115" s="293">
        <f t="shared" si="32"/>
        <v>2851.4285714285684</v>
      </c>
      <c r="L115" s="294">
        <f t="shared" si="33"/>
        <v>712.85714285714209</v>
      </c>
      <c r="M115" s="295">
        <v>0.80902777777777779</v>
      </c>
      <c r="N115" s="295">
        <v>0.88194444444444453</v>
      </c>
      <c r="O115" s="289">
        <v>20</v>
      </c>
      <c r="P115" s="480">
        <f t="shared" si="34"/>
        <v>105.00000000000011</v>
      </c>
      <c r="Q115" s="296"/>
      <c r="R115" s="296"/>
    </row>
    <row r="116" spans="1:18">
      <c r="A116" s="616"/>
      <c r="B116" s="397" t="s">
        <v>126</v>
      </c>
      <c r="C116" s="308"/>
      <c r="D116" s="309" t="s">
        <v>115</v>
      </c>
      <c r="E116" s="323"/>
      <c r="F116" s="398">
        <v>22.281818181818181</v>
      </c>
      <c r="G116" s="475">
        <v>1009</v>
      </c>
      <c r="H116" s="329">
        <f t="shared" si="13"/>
        <v>22482.354545454546</v>
      </c>
      <c r="I116" s="477"/>
      <c r="J116" s="292">
        <v>4</v>
      </c>
      <c r="K116" s="293">
        <f t="shared" si="32"/>
        <v>2421.6000000000085</v>
      </c>
      <c r="L116" s="294">
        <f t="shared" si="33"/>
        <v>605.40000000000214</v>
      </c>
      <c r="M116" s="295">
        <v>0.89236111111111116</v>
      </c>
      <c r="N116" s="331">
        <v>0.90972222222222221</v>
      </c>
      <c r="O116" s="289">
        <v>20</v>
      </c>
      <c r="P116" s="480">
        <f t="shared" si="34"/>
        <v>24.999999999999911</v>
      </c>
      <c r="Q116" s="296">
        <v>0.90972222222222221</v>
      </c>
      <c r="R116" s="296">
        <v>0.95138888888888884</v>
      </c>
    </row>
    <row r="117" spans="1:18">
      <c r="A117" s="616"/>
      <c r="B117" s="397" t="s">
        <v>126</v>
      </c>
      <c r="C117" s="308"/>
      <c r="D117" s="309" t="s">
        <v>116</v>
      </c>
      <c r="E117" s="322"/>
      <c r="F117" s="398">
        <v>17.890909090909091</v>
      </c>
      <c r="G117" s="475">
        <v>3303</v>
      </c>
      <c r="H117" s="329">
        <f t="shared" ref="H117:H123" si="35">F117*G117</f>
        <v>59093.672727272729</v>
      </c>
      <c r="I117" s="477"/>
      <c r="J117" s="292">
        <v>3</v>
      </c>
      <c r="K117" s="293">
        <f t="shared" si="32"/>
        <v>3048.9230768138641</v>
      </c>
      <c r="L117" s="294">
        <f t="shared" si="33"/>
        <v>1016.307692271288</v>
      </c>
      <c r="M117" s="295">
        <v>46206.961805555555</v>
      </c>
      <c r="N117" s="295">
        <v>46207.006944444445</v>
      </c>
      <c r="O117" s="293">
        <v>20</v>
      </c>
      <c r="P117" s="480">
        <f t="shared" si="34"/>
        <v>65.000000002328306</v>
      </c>
      <c r="Q117" s="296"/>
      <c r="R117" s="296"/>
    </row>
    <row r="118" spans="1:18">
      <c r="A118" s="616"/>
      <c r="B118" s="397" t="s">
        <v>126</v>
      </c>
      <c r="C118" s="308"/>
      <c r="D118" s="309" t="s">
        <v>485</v>
      </c>
      <c r="E118" s="322"/>
      <c r="F118" s="398">
        <v>14.03</v>
      </c>
      <c r="G118" s="475">
        <v>5558</v>
      </c>
      <c r="H118" s="329">
        <f t="shared" si="35"/>
        <v>77978.739999999991</v>
      </c>
      <c r="I118" s="477"/>
      <c r="J118" s="292">
        <v>3</v>
      </c>
      <c r="K118" s="293">
        <f t="shared" si="32"/>
        <v>3031.6363636363635</v>
      </c>
      <c r="L118" s="294">
        <f t="shared" si="33"/>
        <v>1010.5454545454545</v>
      </c>
      <c r="M118" s="295">
        <v>2.0833333333333332E-2</v>
      </c>
      <c r="N118" s="295">
        <v>9.7222222222222224E-2</v>
      </c>
      <c r="O118" s="293">
        <v>20</v>
      </c>
      <c r="P118" s="480">
        <f t="shared" si="34"/>
        <v>110.00000000000001</v>
      </c>
      <c r="Q118" s="296"/>
      <c r="R118" s="296"/>
    </row>
    <row r="119" spans="1:18">
      <c r="A119" s="616"/>
      <c r="B119" s="397">
        <v>0</v>
      </c>
      <c r="C119" s="308"/>
      <c r="D119" s="323"/>
      <c r="E119" s="322"/>
      <c r="F119" s="398" t="s">
        <v>128</v>
      </c>
      <c r="G119" s="475"/>
      <c r="H119" s="329">
        <f t="shared" si="35"/>
        <v>0</v>
      </c>
      <c r="I119" s="477"/>
      <c r="J119" s="292"/>
      <c r="K119" s="293"/>
      <c r="L119" s="294"/>
      <c r="M119" s="295"/>
      <c r="N119" s="295"/>
      <c r="O119" s="289"/>
      <c r="P119" s="480"/>
      <c r="Q119" s="296"/>
      <c r="R119" s="296"/>
    </row>
    <row r="120" spans="1:18">
      <c r="A120" s="616"/>
      <c r="B120" s="397">
        <v>0</v>
      </c>
      <c r="C120" s="308"/>
      <c r="D120" s="323"/>
      <c r="E120" s="322"/>
      <c r="F120" s="398" t="s">
        <v>128</v>
      </c>
      <c r="G120" s="475"/>
      <c r="H120" s="329">
        <f t="shared" si="35"/>
        <v>0</v>
      </c>
      <c r="I120" s="477"/>
      <c r="J120" s="292"/>
      <c r="K120" s="293"/>
      <c r="L120" s="294"/>
      <c r="M120" s="295"/>
      <c r="N120" s="295"/>
      <c r="O120" s="289"/>
      <c r="P120" s="480"/>
      <c r="Q120" s="296"/>
      <c r="R120" s="296"/>
    </row>
    <row r="121" spans="1:18">
      <c r="A121" s="616"/>
      <c r="B121" s="397">
        <v>0</v>
      </c>
      <c r="C121" s="308"/>
      <c r="D121" s="323"/>
      <c r="E121" s="322"/>
      <c r="F121" s="398" t="s">
        <v>128</v>
      </c>
      <c r="G121" s="475"/>
      <c r="H121" s="329">
        <f t="shared" si="35"/>
        <v>0</v>
      </c>
      <c r="I121" s="477"/>
      <c r="J121" s="292"/>
      <c r="K121" s="293"/>
      <c r="L121" s="294"/>
      <c r="M121" s="295"/>
      <c r="N121" s="295"/>
      <c r="O121" s="289"/>
      <c r="P121" s="480"/>
      <c r="Q121" s="296"/>
      <c r="R121" s="296"/>
    </row>
    <row r="122" spans="1:18" ht="15.6" customHeight="1">
      <c r="A122" s="616"/>
      <c r="B122" s="397">
        <v>0</v>
      </c>
      <c r="C122" s="308"/>
      <c r="D122" s="323"/>
      <c r="E122" s="322"/>
      <c r="F122" s="398" t="s">
        <v>128</v>
      </c>
      <c r="G122" s="475"/>
      <c r="H122" s="329">
        <f t="shared" si="35"/>
        <v>0</v>
      </c>
      <c r="I122" s="477"/>
      <c r="J122" s="292"/>
      <c r="K122" s="293"/>
      <c r="L122" s="294"/>
      <c r="M122" s="295"/>
      <c r="N122" s="295"/>
      <c r="O122" s="289"/>
      <c r="P122" s="480"/>
      <c r="Q122" s="296"/>
      <c r="R122" s="296"/>
    </row>
    <row r="123" spans="1:18">
      <c r="A123" s="616"/>
      <c r="B123" s="397">
        <v>0</v>
      </c>
      <c r="C123" s="308"/>
      <c r="D123" s="323"/>
      <c r="E123" s="322"/>
      <c r="F123" s="398" t="s">
        <v>128</v>
      </c>
      <c r="G123" s="475"/>
      <c r="H123" s="329">
        <f t="shared" si="35"/>
        <v>0</v>
      </c>
      <c r="I123" s="477"/>
      <c r="J123" s="292"/>
      <c r="K123" s="293"/>
      <c r="L123" s="294"/>
      <c r="M123" s="295"/>
      <c r="N123" s="295"/>
      <c r="O123" s="289"/>
      <c r="P123" s="480"/>
      <c r="Q123" s="296"/>
      <c r="R123" s="296"/>
    </row>
    <row r="124" spans="1:18" ht="17.399999999999999" customHeight="1">
      <c r="A124" s="616"/>
      <c r="B124" s="290">
        <v>0</v>
      </c>
      <c r="C124" s="6" t="s">
        <v>473</v>
      </c>
      <c r="D124" s="617" t="s">
        <v>455</v>
      </c>
      <c r="E124" s="617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2877.7411445541143</v>
      </c>
      <c r="L124" s="303">
        <f>AVERAGE(L112:L123)</f>
        <v>862.5443270962694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20" activePane="bottomLeft" state="frozen"/>
      <selection activeCell="AE97" sqref="AE97"/>
      <selection pane="bottomLeft" activeCell="J36" sqref="J36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488</v>
      </c>
      <c r="B1" s="28"/>
      <c r="C1" s="28"/>
      <c r="D1" s="485" t="s">
        <v>434</v>
      </c>
      <c r="E1" s="29">
        <f>SUM(G5:G173)</f>
        <v>153777.89999999997</v>
      </c>
      <c r="F1" s="486" t="s">
        <v>3</v>
      </c>
      <c r="G1" s="30">
        <f>SUM(H5:H173)</f>
        <v>5975876.451594823</v>
      </c>
      <c r="H1" s="482" t="s">
        <v>37</v>
      </c>
      <c r="I1" s="31">
        <f>M17+M30+M43+M56+M69+M82+M95+M108+M121+M134+M147+M160+M173</f>
        <v>192.83055555555558</v>
      </c>
      <c r="J1" s="732" t="s">
        <v>38</v>
      </c>
      <c r="K1" s="732"/>
      <c r="L1" s="732"/>
      <c r="M1" s="732" t="s">
        <v>39</v>
      </c>
      <c r="N1" s="732"/>
      <c r="O1" s="732"/>
      <c r="P1" s="732" t="s">
        <v>489</v>
      </c>
      <c r="Q1" s="732"/>
      <c r="R1" s="732"/>
      <c r="S1" s="732"/>
      <c r="T1" s="732" t="s">
        <v>437</v>
      </c>
      <c r="U1" s="732"/>
      <c r="V1" s="732"/>
      <c r="W1" s="732"/>
      <c r="X1" s="732"/>
      <c r="Y1" s="732"/>
      <c r="Z1" s="32" t="s">
        <v>490</v>
      </c>
      <c r="AA1" s="32" t="s">
        <v>491</v>
      </c>
      <c r="AB1" s="739" t="s">
        <v>492</v>
      </c>
      <c r="AC1" s="740"/>
      <c r="AD1" s="32" t="s">
        <v>490</v>
      </c>
      <c r="AE1" s="32" t="s">
        <v>493</v>
      </c>
      <c r="AF1" s="732" t="s">
        <v>494</v>
      </c>
      <c r="AG1" s="733"/>
      <c r="AH1" s="733"/>
    </row>
    <row r="2" spans="1:34" ht="26.25" customHeight="1">
      <c r="A2" s="734" t="s">
        <v>495</v>
      </c>
      <c r="B2" s="734"/>
      <c r="C2" s="485"/>
      <c r="D2" s="485" t="s">
        <v>439</v>
      </c>
      <c r="E2" s="34">
        <f>AVERAGE(O17,O30,O43,O56,O69,O82,O95,O108,O121,O134,O147,O160,O173)</f>
        <v>130.68565673752533</v>
      </c>
      <c r="F2" s="35" t="s">
        <v>40</v>
      </c>
      <c r="G2" s="36">
        <f>G1/E1</f>
        <v>38.860437368404853</v>
      </c>
      <c r="H2" s="482" t="s">
        <v>41</v>
      </c>
      <c r="I2" s="482">
        <f>COUNT(I5:I173)</f>
        <v>7</v>
      </c>
      <c r="J2" s="732"/>
      <c r="K2" s="732"/>
      <c r="L2" s="732"/>
      <c r="M2" s="732"/>
      <c r="N2" s="732"/>
      <c r="O2" s="732"/>
      <c r="P2" s="732"/>
      <c r="Q2" s="732"/>
      <c r="R2" s="732"/>
      <c r="S2" s="732"/>
      <c r="T2" s="732"/>
      <c r="U2" s="732"/>
      <c r="V2" s="732"/>
      <c r="W2" s="732"/>
      <c r="X2" s="732"/>
      <c r="Y2" s="732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741"/>
      <c r="AC2" s="742"/>
      <c r="AD2" s="38">
        <f>AD17+AD30+AD43+AD56+AD69+AD82+AD95+AD108+AD121+AD134+AD147+AD160+AD173</f>
        <v>6</v>
      </c>
      <c r="AE2" s="38">
        <f>AE17+AE30+AE43+AE56+AE69+AE82+AE95+AE108+AE121+AE134+AE147+AE160+AE173</f>
        <v>3</v>
      </c>
      <c r="AF2" s="733"/>
      <c r="AG2" s="733"/>
      <c r="AH2" s="733"/>
    </row>
    <row r="3" spans="1:34" ht="30.6" customHeight="1">
      <c r="A3" s="673" t="s">
        <v>441</v>
      </c>
      <c r="B3" s="673" t="s">
        <v>42</v>
      </c>
      <c r="C3" s="730"/>
      <c r="D3" s="673" t="s">
        <v>443</v>
      </c>
      <c r="E3" s="673"/>
      <c r="F3" s="730" t="s">
        <v>43</v>
      </c>
      <c r="G3" s="722" t="s">
        <v>44</v>
      </c>
      <c r="H3" s="730" t="s">
        <v>45</v>
      </c>
      <c r="I3" s="724" t="s">
        <v>446</v>
      </c>
      <c r="J3" s="728" t="s">
        <v>46</v>
      </c>
      <c r="K3" s="727" t="s">
        <v>47</v>
      </c>
      <c r="L3" s="702" t="s">
        <v>35</v>
      </c>
      <c r="M3" s="722" t="s">
        <v>46</v>
      </c>
      <c r="N3" s="727" t="s">
        <v>448</v>
      </c>
      <c r="O3" s="702" t="s">
        <v>439</v>
      </c>
      <c r="P3" s="728" t="s">
        <v>447</v>
      </c>
      <c r="Q3" s="702" t="s">
        <v>439</v>
      </c>
      <c r="R3" s="729" t="s">
        <v>496</v>
      </c>
      <c r="S3" s="703" t="s">
        <v>497</v>
      </c>
      <c r="T3" s="722" t="s">
        <v>48</v>
      </c>
      <c r="U3" s="722"/>
      <c r="V3" s="723" t="s">
        <v>49</v>
      </c>
      <c r="W3" s="724" t="s">
        <v>449</v>
      </c>
      <c r="X3" s="722" t="s">
        <v>450</v>
      </c>
      <c r="Y3" s="722"/>
      <c r="Z3" s="725" t="s">
        <v>498</v>
      </c>
      <c r="AA3" s="726"/>
      <c r="AB3" s="735" t="s">
        <v>499</v>
      </c>
      <c r="AC3" s="736"/>
      <c r="AD3" s="737" t="s">
        <v>500</v>
      </c>
      <c r="AE3" s="738"/>
      <c r="AF3" s="727" t="s">
        <v>448</v>
      </c>
      <c r="AG3" s="729" t="s">
        <v>496</v>
      </c>
      <c r="AH3" s="703" t="s">
        <v>497</v>
      </c>
    </row>
    <row r="4" spans="1:34" ht="30.6" customHeight="1">
      <c r="A4" s="730"/>
      <c r="B4" s="673"/>
      <c r="C4" s="731"/>
      <c r="D4" s="673"/>
      <c r="E4" s="673"/>
      <c r="F4" s="731"/>
      <c r="G4" s="722"/>
      <c r="H4" s="731"/>
      <c r="I4" s="724"/>
      <c r="J4" s="728"/>
      <c r="K4" s="727"/>
      <c r="L4" s="702"/>
      <c r="M4" s="722"/>
      <c r="N4" s="727"/>
      <c r="O4" s="702"/>
      <c r="P4" s="728"/>
      <c r="Q4" s="702"/>
      <c r="R4" s="729"/>
      <c r="S4" s="703"/>
      <c r="T4" s="492" t="s">
        <v>50</v>
      </c>
      <c r="U4" s="492" t="s">
        <v>51</v>
      </c>
      <c r="V4" s="722"/>
      <c r="W4" s="724"/>
      <c r="X4" s="486" t="s">
        <v>451</v>
      </c>
      <c r="Y4" s="486" t="s">
        <v>36</v>
      </c>
      <c r="Z4" s="492" t="s">
        <v>501</v>
      </c>
      <c r="AA4" s="492" t="s">
        <v>502</v>
      </c>
      <c r="AB4" s="736"/>
      <c r="AC4" s="736"/>
      <c r="AD4" s="492" t="s">
        <v>503</v>
      </c>
      <c r="AE4" s="39" t="s">
        <v>504</v>
      </c>
      <c r="AF4" s="727"/>
      <c r="AG4" s="729"/>
      <c r="AH4" s="703"/>
    </row>
    <row r="5" spans="1:34" ht="18.75" customHeight="1">
      <c r="A5" s="719" t="s">
        <v>505</v>
      </c>
      <c r="B5" s="40" t="s">
        <v>122</v>
      </c>
      <c r="C5" s="41"/>
      <c r="D5" s="42" t="s">
        <v>52</v>
      </c>
      <c r="E5" s="43"/>
      <c r="F5" s="343">
        <v>37.83</v>
      </c>
      <c r="G5" s="44">
        <v>4663.4400000000005</v>
      </c>
      <c r="H5" s="45">
        <f t="shared" ref="H5:H16" si="0">F5*G5</f>
        <v>176417.93520000001</v>
      </c>
      <c r="I5" s="483"/>
      <c r="J5" s="46">
        <v>20</v>
      </c>
      <c r="K5" s="44">
        <v>2400</v>
      </c>
      <c r="L5" s="47">
        <v>120</v>
      </c>
      <c r="M5" s="484">
        <v>20</v>
      </c>
      <c r="N5" s="44">
        <f t="shared" ref="N5:N11" si="1">G5/W5*60</f>
        <v>2312.4495867768587</v>
      </c>
      <c r="O5" s="47">
        <f t="shared" ref="O5:O11" si="2">N5/M5</f>
        <v>115.62247933884294</v>
      </c>
      <c r="P5" s="48">
        <f t="shared" ref="P5:P11" si="3">M5-J5</f>
        <v>0</v>
      </c>
      <c r="Q5" s="49">
        <f t="shared" ref="Q5:Q11" si="4">O5-L5</f>
        <v>-4.3775206611570638</v>
      </c>
      <c r="R5" s="490">
        <f t="shared" ref="R5:R11" si="5">O5/L5</f>
        <v>0.9635206611570245</v>
      </c>
      <c r="S5" s="688">
        <f>R17</f>
        <v>0.91760851846576486</v>
      </c>
      <c r="T5" s="89">
        <v>0.25</v>
      </c>
      <c r="U5" s="89">
        <v>0.33402777777777781</v>
      </c>
      <c r="V5" s="486">
        <v>5</v>
      </c>
      <c r="W5" s="483">
        <f>(U5-T5)*24*60</f>
        <v>121.00000000000006</v>
      </c>
      <c r="X5" s="486"/>
      <c r="Y5" s="486"/>
      <c r="Z5" s="51"/>
      <c r="AA5" s="51"/>
      <c r="AB5" s="673"/>
      <c r="AC5" s="673"/>
      <c r="AD5" s="52"/>
      <c r="AE5" s="52"/>
      <c r="AF5" s="48">
        <f t="shared" ref="AF5:AF70" si="6">N5-K5</f>
        <v>-87.550413223141277</v>
      </c>
      <c r="AG5" s="490">
        <f t="shared" ref="AG5:AG70" si="7">N5/K5</f>
        <v>0.9635206611570245</v>
      </c>
      <c r="AH5" s="688">
        <f>AG17</f>
        <v>0.91846914648115918</v>
      </c>
    </row>
    <row r="6" spans="1:34" ht="19.2" customHeight="1">
      <c r="A6" s="720"/>
      <c r="B6" s="40" t="s">
        <v>122</v>
      </c>
      <c r="C6" s="41"/>
      <c r="D6" s="42" t="s">
        <v>52</v>
      </c>
      <c r="E6" s="43"/>
      <c r="F6" s="343">
        <v>37.83</v>
      </c>
      <c r="G6" s="44">
        <v>2194.56</v>
      </c>
      <c r="H6" s="45">
        <f t="shared" si="0"/>
        <v>83020.204799999992</v>
      </c>
      <c r="I6" s="483"/>
      <c r="J6" s="46">
        <v>20</v>
      </c>
      <c r="K6" s="44">
        <v>2400</v>
      </c>
      <c r="L6" s="47">
        <v>120</v>
      </c>
      <c r="M6" s="484">
        <v>20</v>
      </c>
      <c r="N6" s="44">
        <f t="shared" si="1"/>
        <v>2270.2344827586194</v>
      </c>
      <c r="O6" s="47">
        <f t="shared" si="2"/>
        <v>113.51172413793097</v>
      </c>
      <c r="P6" s="48">
        <f t="shared" si="3"/>
        <v>0</v>
      </c>
      <c r="Q6" s="49">
        <f t="shared" si="4"/>
        <v>-6.4882758620690311</v>
      </c>
      <c r="R6" s="490">
        <f t="shared" si="5"/>
        <v>0.94593103448275806</v>
      </c>
      <c r="S6" s="688"/>
      <c r="T6" s="89">
        <v>0.35000000000000003</v>
      </c>
      <c r="U6" s="89">
        <v>0.39027777777777783</v>
      </c>
      <c r="V6" s="486">
        <v>23</v>
      </c>
      <c r="W6" s="483">
        <f t="shared" ref="W6:W17" si="8">(U6-T6)*24*60</f>
        <v>58.000000000000036</v>
      </c>
      <c r="X6" s="53">
        <v>0.33888888888888885</v>
      </c>
      <c r="Y6" s="53">
        <v>0.34861111111111115</v>
      </c>
      <c r="Z6" s="54"/>
      <c r="AA6" s="54"/>
      <c r="AB6" s="673"/>
      <c r="AC6" s="673"/>
      <c r="AD6" s="500">
        <v>1</v>
      </c>
      <c r="AE6" s="500"/>
      <c r="AF6" s="48">
        <f t="shared" si="6"/>
        <v>-129.76551724138062</v>
      </c>
      <c r="AG6" s="490">
        <f t="shared" si="7"/>
        <v>0.94593103448275806</v>
      </c>
      <c r="AH6" s="688"/>
    </row>
    <row r="7" spans="1:34" ht="19.2" customHeight="1">
      <c r="A7" s="720"/>
      <c r="B7" s="40" t="s">
        <v>122</v>
      </c>
      <c r="C7" s="41"/>
      <c r="D7" s="42" t="s">
        <v>204</v>
      </c>
      <c r="E7" s="43"/>
      <c r="F7" s="343">
        <v>46.93</v>
      </c>
      <c r="G7" s="44">
        <v>3175</v>
      </c>
      <c r="H7" s="45">
        <f t="shared" si="0"/>
        <v>149002.75</v>
      </c>
      <c r="I7" s="483"/>
      <c r="J7" s="46">
        <v>21</v>
      </c>
      <c r="K7" s="44">
        <v>2400</v>
      </c>
      <c r="L7" s="47">
        <v>114.28571428571429</v>
      </c>
      <c r="M7" s="484">
        <v>21</v>
      </c>
      <c r="N7" s="44">
        <f t="shared" si="1"/>
        <v>2164.772727272727</v>
      </c>
      <c r="O7" s="47">
        <f t="shared" si="2"/>
        <v>103.08441558441557</v>
      </c>
      <c r="P7" s="48">
        <f t="shared" si="3"/>
        <v>0</v>
      </c>
      <c r="Q7" s="49">
        <f t="shared" si="4"/>
        <v>-11.201298701298725</v>
      </c>
      <c r="R7" s="490">
        <f t="shared" si="5"/>
        <v>0.90198863636363613</v>
      </c>
      <c r="S7" s="688"/>
      <c r="T7" s="89">
        <v>0.39583333333333337</v>
      </c>
      <c r="U7" s="89">
        <v>0.45694444444444449</v>
      </c>
      <c r="V7" s="486">
        <v>8</v>
      </c>
      <c r="W7" s="483">
        <f t="shared" si="8"/>
        <v>88</v>
      </c>
      <c r="X7" s="53"/>
      <c r="Y7" s="53"/>
      <c r="Z7" s="54"/>
      <c r="AA7" s="54"/>
      <c r="AB7" s="673"/>
      <c r="AC7" s="673"/>
      <c r="AD7" s="500"/>
      <c r="AE7" s="500"/>
      <c r="AF7" s="48">
        <f t="shared" si="6"/>
        <v>-235.22727272727298</v>
      </c>
      <c r="AG7" s="490">
        <f t="shared" si="7"/>
        <v>0.90198863636363624</v>
      </c>
      <c r="AH7" s="688"/>
    </row>
    <row r="8" spans="1:34" ht="19.2" customHeight="1">
      <c r="A8" s="720"/>
      <c r="B8" s="40" t="s">
        <v>122</v>
      </c>
      <c r="C8" s="41"/>
      <c r="D8" s="42" t="s">
        <v>178</v>
      </c>
      <c r="E8" s="43"/>
      <c r="F8" s="343">
        <v>28.86</v>
      </c>
      <c r="G8" s="44">
        <v>1503</v>
      </c>
      <c r="H8" s="45">
        <f t="shared" si="0"/>
        <v>43376.58</v>
      </c>
      <c r="I8" s="483"/>
      <c r="J8" s="46">
        <v>17</v>
      </c>
      <c r="K8" s="44">
        <v>2571</v>
      </c>
      <c r="L8" s="47">
        <v>151.23529411764707</v>
      </c>
      <c r="M8" s="484">
        <v>17</v>
      </c>
      <c r="N8" s="44">
        <f t="shared" si="1"/>
        <v>2312.307692307691</v>
      </c>
      <c r="O8" s="47">
        <f t="shared" si="2"/>
        <v>136.01809954751124</v>
      </c>
      <c r="P8" s="48">
        <f t="shared" si="3"/>
        <v>0</v>
      </c>
      <c r="Q8" s="49">
        <f t="shared" si="4"/>
        <v>-15.217194570135831</v>
      </c>
      <c r="R8" s="490">
        <f t="shared" si="5"/>
        <v>0.8993806660084368</v>
      </c>
      <c r="S8" s="688"/>
      <c r="T8" s="89">
        <v>0.46180555555555558</v>
      </c>
      <c r="U8" s="89">
        <v>0.48888888888888893</v>
      </c>
      <c r="V8" s="486">
        <v>7</v>
      </c>
      <c r="W8" s="483">
        <f t="shared" si="8"/>
        <v>39.000000000000021</v>
      </c>
      <c r="X8" s="53"/>
      <c r="Y8" s="53"/>
      <c r="Z8" s="54"/>
      <c r="AA8" s="54"/>
      <c r="AB8" s="673"/>
      <c r="AC8" s="673"/>
      <c r="AD8" s="500"/>
      <c r="AE8" s="500"/>
      <c r="AF8" s="48">
        <f t="shared" si="6"/>
        <v>-258.69230769230899</v>
      </c>
      <c r="AG8" s="490">
        <f t="shared" si="7"/>
        <v>0.8993806660084368</v>
      </c>
      <c r="AH8" s="688"/>
    </row>
    <row r="9" spans="1:34" ht="19.2" customHeight="1">
      <c r="A9" s="720"/>
      <c r="B9" s="40" t="s">
        <v>122</v>
      </c>
      <c r="C9" s="55"/>
      <c r="D9" s="42" t="s">
        <v>180</v>
      </c>
      <c r="E9" s="56"/>
      <c r="F9" s="343">
        <v>38.99</v>
      </c>
      <c r="G9" s="57">
        <v>1144</v>
      </c>
      <c r="H9" s="45">
        <f t="shared" si="0"/>
        <v>44604.560000000005</v>
      </c>
      <c r="I9" s="500"/>
      <c r="J9" s="46">
        <v>18</v>
      </c>
      <c r="K9" s="44">
        <v>2571</v>
      </c>
      <c r="L9" s="47">
        <v>142.83333333333334</v>
      </c>
      <c r="M9" s="484">
        <v>18</v>
      </c>
      <c r="N9" s="44">
        <f t="shared" si="1"/>
        <v>2366.8965517241336</v>
      </c>
      <c r="O9" s="47">
        <f t="shared" si="2"/>
        <v>131.49425287356297</v>
      </c>
      <c r="P9" s="48">
        <f t="shared" si="3"/>
        <v>0</v>
      </c>
      <c r="Q9" s="49">
        <f t="shared" si="4"/>
        <v>-11.339080459770372</v>
      </c>
      <c r="R9" s="490">
        <f t="shared" si="5"/>
        <v>0.92061320564921556</v>
      </c>
      <c r="S9" s="688"/>
      <c r="T9" s="89">
        <v>0.52847222222222223</v>
      </c>
      <c r="U9" s="89">
        <v>0.54861111111111116</v>
      </c>
      <c r="V9" s="486">
        <v>4</v>
      </c>
      <c r="W9" s="483">
        <f t="shared" si="8"/>
        <v>29.000000000000057</v>
      </c>
      <c r="X9" s="53"/>
      <c r="Y9" s="53"/>
      <c r="Z9" s="54"/>
      <c r="AA9" s="54"/>
      <c r="AB9" s="673"/>
      <c r="AC9" s="673"/>
      <c r="AD9" s="500"/>
      <c r="AE9" s="500"/>
      <c r="AF9" s="48">
        <f t="shared" si="6"/>
        <v>-204.10344827586641</v>
      </c>
      <c r="AG9" s="490">
        <f t="shared" si="7"/>
        <v>0.92061320564921567</v>
      </c>
      <c r="AH9" s="688"/>
    </row>
    <row r="10" spans="1:34" ht="19.2" customHeight="1">
      <c r="A10" s="721"/>
      <c r="B10" s="40" t="s">
        <v>122</v>
      </c>
      <c r="C10" s="41"/>
      <c r="D10" s="42" t="s">
        <v>198</v>
      </c>
      <c r="E10" s="43"/>
      <c r="F10" s="343">
        <v>35.89</v>
      </c>
      <c r="G10" s="44">
        <v>2525</v>
      </c>
      <c r="H10" s="45">
        <f t="shared" si="0"/>
        <v>90622.25</v>
      </c>
      <c r="I10" s="483"/>
      <c r="J10" s="46">
        <v>18</v>
      </c>
      <c r="K10" s="44">
        <v>2571</v>
      </c>
      <c r="L10" s="47">
        <v>142.83333333333334</v>
      </c>
      <c r="M10" s="484">
        <v>18</v>
      </c>
      <c r="N10" s="44">
        <f t="shared" si="1"/>
        <v>2330.7692307692332</v>
      </c>
      <c r="O10" s="47">
        <f t="shared" si="2"/>
        <v>129.48717948717962</v>
      </c>
      <c r="P10" s="48">
        <f t="shared" si="3"/>
        <v>0</v>
      </c>
      <c r="Q10" s="49">
        <f t="shared" si="4"/>
        <v>-13.346153846153726</v>
      </c>
      <c r="R10" s="490">
        <f t="shared" si="5"/>
        <v>0.90656134996858539</v>
      </c>
      <c r="S10" s="689"/>
      <c r="T10" s="89">
        <v>0.55347222222222225</v>
      </c>
      <c r="U10" s="89">
        <v>0.59861111111111109</v>
      </c>
      <c r="V10" s="486">
        <v>7</v>
      </c>
      <c r="W10" s="483">
        <f t="shared" si="8"/>
        <v>64.999999999999929</v>
      </c>
      <c r="X10" s="53"/>
      <c r="Y10" s="53"/>
      <c r="Z10" s="54"/>
      <c r="AA10" s="54"/>
      <c r="AB10" s="673"/>
      <c r="AC10" s="673"/>
      <c r="AD10" s="500"/>
      <c r="AE10" s="500"/>
      <c r="AF10" s="48">
        <f t="shared" si="6"/>
        <v>-240.23076923076678</v>
      </c>
      <c r="AG10" s="490">
        <f t="shared" si="7"/>
        <v>0.90656134996858551</v>
      </c>
      <c r="AH10" s="689"/>
    </row>
    <row r="11" spans="1:34" ht="19.2" customHeight="1">
      <c r="A11" s="721"/>
      <c r="B11" s="40" t="s">
        <v>122</v>
      </c>
      <c r="C11" s="41"/>
      <c r="D11" s="42" t="s">
        <v>53</v>
      </c>
      <c r="E11" s="43"/>
      <c r="F11" s="343">
        <v>31.11</v>
      </c>
      <c r="G11" s="44">
        <v>2814</v>
      </c>
      <c r="H11" s="45">
        <f t="shared" si="0"/>
        <v>87543.54</v>
      </c>
      <c r="I11" s="483"/>
      <c r="J11" s="46">
        <v>18</v>
      </c>
      <c r="K11" s="44">
        <v>2769</v>
      </c>
      <c r="L11" s="47">
        <v>153.83333333333334</v>
      </c>
      <c r="M11" s="484">
        <v>18</v>
      </c>
      <c r="N11" s="44">
        <f t="shared" si="1"/>
        <v>2482.941176470591</v>
      </c>
      <c r="O11" s="47">
        <f t="shared" si="2"/>
        <v>137.9411764705884</v>
      </c>
      <c r="P11" s="48">
        <f t="shared" si="3"/>
        <v>0</v>
      </c>
      <c r="Q11" s="49">
        <f t="shared" si="4"/>
        <v>-15.89215686274494</v>
      </c>
      <c r="R11" s="490">
        <f t="shared" si="5"/>
        <v>0.89669237142310987</v>
      </c>
      <c r="S11" s="689"/>
      <c r="T11" s="89">
        <v>0.61388888888888882</v>
      </c>
      <c r="U11" s="89">
        <v>0.66111111111111098</v>
      </c>
      <c r="V11" s="486">
        <v>22</v>
      </c>
      <c r="W11" s="483">
        <f t="shared" si="8"/>
        <v>67.999999999999915</v>
      </c>
      <c r="X11" s="53">
        <v>0.60347222222222219</v>
      </c>
      <c r="Y11" s="53">
        <v>0.61249999999999993</v>
      </c>
      <c r="Z11" s="54"/>
      <c r="AA11" s="54"/>
      <c r="AB11" s="673"/>
      <c r="AC11" s="673"/>
      <c r="AD11" s="500"/>
      <c r="AE11" s="500"/>
      <c r="AF11" s="48">
        <f t="shared" si="6"/>
        <v>-286.05882352940898</v>
      </c>
      <c r="AG11" s="490">
        <f t="shared" si="7"/>
        <v>0.89669237142310976</v>
      </c>
      <c r="AH11" s="689"/>
    </row>
    <row r="12" spans="1:34" ht="19.2" customHeight="1">
      <c r="A12" s="721"/>
      <c r="B12" s="40">
        <v>0</v>
      </c>
      <c r="C12" s="41"/>
      <c r="D12" s="59"/>
      <c r="E12" s="43"/>
      <c r="F12" s="343" t="s">
        <v>128</v>
      </c>
      <c r="G12" s="44"/>
      <c r="H12" s="45">
        <f t="shared" si="0"/>
        <v>0</v>
      </c>
      <c r="I12" s="483"/>
      <c r="J12" s="46"/>
      <c r="K12" s="44"/>
      <c r="L12" s="47"/>
      <c r="M12" s="484"/>
      <c r="N12" s="44"/>
      <c r="O12" s="47"/>
      <c r="P12" s="48"/>
      <c r="Q12" s="49"/>
      <c r="R12" s="490"/>
      <c r="S12" s="689"/>
      <c r="T12" s="89"/>
      <c r="U12" s="89"/>
      <c r="V12" s="486"/>
      <c r="W12" s="483">
        <f t="shared" si="8"/>
        <v>0</v>
      </c>
      <c r="X12" s="53"/>
      <c r="Y12" s="53"/>
      <c r="Z12" s="54"/>
      <c r="AA12" s="54"/>
      <c r="AB12" s="673"/>
      <c r="AC12" s="673"/>
      <c r="AD12" s="500"/>
      <c r="AE12" s="500"/>
      <c r="AF12" s="48">
        <f t="shared" si="6"/>
        <v>0</v>
      </c>
      <c r="AG12" s="490" t="e">
        <f t="shared" si="7"/>
        <v>#DIV/0!</v>
      </c>
      <c r="AH12" s="689"/>
    </row>
    <row r="13" spans="1:34" ht="19.2" customHeight="1">
      <c r="A13" s="721"/>
      <c r="B13" s="40">
        <v>0</v>
      </c>
      <c r="C13" s="58"/>
      <c r="D13" s="59"/>
      <c r="E13" s="60"/>
      <c r="F13" s="343" t="s">
        <v>128</v>
      </c>
      <c r="G13" s="61"/>
      <c r="H13" s="45">
        <f t="shared" si="0"/>
        <v>0</v>
      </c>
      <c r="I13" s="487"/>
      <c r="J13" s="46"/>
      <c r="K13" s="44"/>
      <c r="L13" s="47"/>
      <c r="M13" s="62"/>
      <c r="N13" s="44"/>
      <c r="O13" s="47"/>
      <c r="P13" s="48"/>
      <c r="Q13" s="49"/>
      <c r="R13" s="490"/>
      <c r="S13" s="689"/>
      <c r="T13" s="89"/>
      <c r="U13" s="89"/>
      <c r="V13" s="487"/>
      <c r="W13" s="483">
        <f t="shared" si="8"/>
        <v>0</v>
      </c>
      <c r="X13" s="64"/>
      <c r="Y13" s="64"/>
      <c r="Z13" s="54"/>
      <c r="AA13" s="54"/>
      <c r="AB13" s="673"/>
      <c r="AC13" s="673"/>
      <c r="AD13" s="500"/>
      <c r="AE13" s="500"/>
      <c r="AF13" s="48">
        <f t="shared" si="6"/>
        <v>0</v>
      </c>
      <c r="AG13" s="490" t="e">
        <f t="shared" si="7"/>
        <v>#DIV/0!</v>
      </c>
      <c r="AH13" s="689"/>
    </row>
    <row r="14" spans="1:34" ht="19.2" customHeight="1">
      <c r="A14" s="721"/>
      <c r="B14" s="40">
        <v>0</v>
      </c>
      <c r="C14" s="66"/>
      <c r="D14" s="42"/>
      <c r="E14" s="43"/>
      <c r="F14" s="343" t="s">
        <v>128</v>
      </c>
      <c r="G14" s="61"/>
      <c r="H14" s="45">
        <f t="shared" si="0"/>
        <v>0</v>
      </c>
      <c r="I14" s="487"/>
      <c r="J14" s="46"/>
      <c r="K14" s="44"/>
      <c r="L14" s="47"/>
      <c r="M14" s="62"/>
      <c r="N14" s="44"/>
      <c r="O14" s="47"/>
      <c r="P14" s="48"/>
      <c r="Q14" s="49"/>
      <c r="R14" s="490"/>
      <c r="S14" s="689"/>
      <c r="T14" s="89"/>
      <c r="U14" s="89"/>
      <c r="V14" s="487"/>
      <c r="W14" s="483">
        <f t="shared" si="8"/>
        <v>0</v>
      </c>
      <c r="X14" s="64"/>
      <c r="Y14" s="64"/>
      <c r="Z14" s="54"/>
      <c r="AA14" s="54"/>
      <c r="AB14" s="673"/>
      <c r="AC14" s="673"/>
      <c r="AD14" s="500"/>
      <c r="AE14" s="500"/>
      <c r="AF14" s="48">
        <f t="shared" si="6"/>
        <v>0</v>
      </c>
      <c r="AG14" s="490" t="e">
        <f t="shared" si="7"/>
        <v>#DIV/0!</v>
      </c>
      <c r="AH14" s="689"/>
    </row>
    <row r="15" spans="1:34" ht="19.2" customHeight="1">
      <c r="A15" s="721"/>
      <c r="B15" s="67">
        <v>0</v>
      </c>
      <c r="C15" s="58"/>
      <c r="D15" s="59"/>
      <c r="E15" s="60"/>
      <c r="F15" s="343" t="s">
        <v>128</v>
      </c>
      <c r="G15" s="61"/>
      <c r="H15" s="45">
        <f t="shared" si="0"/>
        <v>0</v>
      </c>
      <c r="I15" s="487"/>
      <c r="J15" s="46"/>
      <c r="K15" s="44"/>
      <c r="L15" s="47"/>
      <c r="M15" s="62"/>
      <c r="N15" s="68"/>
      <c r="O15" s="47"/>
      <c r="P15" s="48"/>
      <c r="Q15" s="49"/>
      <c r="R15" s="490"/>
      <c r="S15" s="689"/>
      <c r="T15" s="89"/>
      <c r="U15" s="89"/>
      <c r="V15" s="487"/>
      <c r="W15" s="483">
        <f t="shared" si="8"/>
        <v>0</v>
      </c>
      <c r="X15" s="64"/>
      <c r="Y15" s="64"/>
      <c r="Z15" s="54"/>
      <c r="AA15" s="54"/>
      <c r="AB15" s="673"/>
      <c r="AC15" s="673"/>
      <c r="AD15" s="500"/>
      <c r="AE15" s="500"/>
      <c r="AF15" s="48">
        <f t="shared" si="6"/>
        <v>0</v>
      </c>
      <c r="AG15" s="490" t="e">
        <f t="shared" si="7"/>
        <v>#DIV/0!</v>
      </c>
      <c r="AH15" s="689"/>
    </row>
    <row r="16" spans="1:34" ht="19.2" customHeight="1">
      <c r="A16" s="721"/>
      <c r="B16" s="67">
        <v>0</v>
      </c>
      <c r="C16" s="58"/>
      <c r="D16" s="59"/>
      <c r="E16" s="60"/>
      <c r="F16" s="343" t="s">
        <v>128</v>
      </c>
      <c r="G16" s="61"/>
      <c r="H16" s="45">
        <f t="shared" si="0"/>
        <v>0</v>
      </c>
      <c r="I16" s="487"/>
      <c r="J16" s="46"/>
      <c r="K16" s="44"/>
      <c r="L16" s="47"/>
      <c r="M16" s="62"/>
      <c r="N16" s="68"/>
      <c r="O16" s="47"/>
      <c r="P16" s="48"/>
      <c r="Q16" s="49"/>
      <c r="R16" s="490"/>
      <c r="S16" s="689"/>
      <c r="T16" s="89"/>
      <c r="U16" s="89"/>
      <c r="V16" s="487"/>
      <c r="W16" s="483">
        <f t="shared" si="8"/>
        <v>0</v>
      </c>
      <c r="X16" s="64"/>
      <c r="Y16" s="64"/>
      <c r="Z16" s="54"/>
      <c r="AA16" s="54"/>
      <c r="AB16" s="673"/>
      <c r="AC16" s="673"/>
      <c r="AD16" s="500"/>
      <c r="AE16" s="500"/>
      <c r="AF16" s="48">
        <f t="shared" si="6"/>
        <v>0</v>
      </c>
      <c r="AG16" s="490" t="e">
        <f t="shared" si="7"/>
        <v>#DIV/0!</v>
      </c>
      <c r="AH16" s="689"/>
    </row>
    <row r="17" spans="1:34" ht="19.2" customHeight="1">
      <c r="A17" s="721"/>
      <c r="B17" s="69">
        <v>0</v>
      </c>
      <c r="C17" s="69" t="s">
        <v>506</v>
      </c>
      <c r="D17" s="683" t="s">
        <v>455</v>
      </c>
      <c r="E17" s="683"/>
      <c r="F17" s="344"/>
      <c r="G17" s="70"/>
      <c r="H17" s="71"/>
      <c r="I17" s="72"/>
      <c r="J17" s="70">
        <v>18.857142857142858</v>
      </c>
      <c r="K17" s="70">
        <v>2526</v>
      </c>
      <c r="L17" s="73">
        <v>135.00300120048021</v>
      </c>
      <c r="M17" s="70">
        <f t="shared" ref="M17:O17" si="9">AVERAGE(M5:M16)</f>
        <v>18.857142857142858</v>
      </c>
      <c r="N17" s="70">
        <f t="shared" si="9"/>
        <v>2320.053064011408</v>
      </c>
      <c r="O17" s="73">
        <f t="shared" si="9"/>
        <v>123.87990392000452</v>
      </c>
      <c r="P17" s="65">
        <f t="shared" ref="P17:P23" si="10">M17-J17</f>
        <v>0</v>
      </c>
      <c r="Q17" s="74">
        <f t="shared" ref="Q17:Q23" si="11">O17-L17</f>
        <v>-11.12309728047569</v>
      </c>
      <c r="R17" s="75">
        <f>O17/L17</f>
        <v>0.91760851846576486</v>
      </c>
      <c r="S17" s="689"/>
      <c r="T17" s="89"/>
      <c r="U17" s="89"/>
      <c r="V17" s="487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673"/>
      <c r="AC17" s="673"/>
      <c r="AD17" s="79">
        <f>SUM(AD5:AD16)</f>
        <v>1</v>
      </c>
      <c r="AE17" s="79">
        <f>SUM(AE5:AE16)</f>
        <v>0</v>
      </c>
      <c r="AF17" s="65">
        <f t="shared" si="6"/>
        <v>-205.94693598859203</v>
      </c>
      <c r="AG17" s="491">
        <f t="shared" si="7"/>
        <v>0.91846914648115918</v>
      </c>
      <c r="AH17" s="689"/>
    </row>
    <row r="18" spans="1:34" ht="19.2" customHeight="1">
      <c r="A18" s="671" t="s">
        <v>507</v>
      </c>
      <c r="B18" s="80" t="s">
        <v>125</v>
      </c>
      <c r="C18" s="81"/>
      <c r="D18" s="82" t="s">
        <v>189</v>
      </c>
      <c r="E18" s="83"/>
      <c r="F18" s="345">
        <v>27.5</v>
      </c>
      <c r="G18" s="57">
        <v>600</v>
      </c>
      <c r="H18" s="84">
        <f t="shared" ref="H18:H29" si="12">F18*G18</f>
        <v>16500</v>
      </c>
      <c r="I18" s="500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1500.0000000000005</v>
      </c>
      <c r="O18" s="86">
        <f t="shared" ref="O18:O23" si="14">N18/M18</f>
        <v>125.00000000000004</v>
      </c>
      <c r="P18" s="54">
        <f t="shared" si="10"/>
        <v>0</v>
      </c>
      <c r="Q18" s="88">
        <f t="shared" si="11"/>
        <v>-41.666666666666615</v>
      </c>
      <c r="R18" s="493">
        <f t="shared" ref="R18:R23" si="15">O18/L18</f>
        <v>0.75000000000000033</v>
      </c>
      <c r="S18" s="672">
        <f>R30</f>
        <v>0.87037662881737377</v>
      </c>
      <c r="T18" s="89">
        <v>0.125</v>
      </c>
      <c r="U18" s="89">
        <v>0.14166666666666666</v>
      </c>
      <c r="V18" s="500">
        <v>5</v>
      </c>
      <c r="W18" s="90">
        <f>(U18-T18)*24*60</f>
        <v>23.999999999999993</v>
      </c>
      <c r="X18" s="86"/>
      <c r="Y18" s="86"/>
      <c r="Z18" s="54"/>
      <c r="AA18" s="54"/>
      <c r="AB18" s="673"/>
      <c r="AC18" s="673"/>
      <c r="AD18" s="500"/>
      <c r="AE18" s="500"/>
      <c r="AF18" s="91">
        <f t="shared" si="6"/>
        <v>-499.99999999999955</v>
      </c>
      <c r="AG18" s="92">
        <f t="shared" si="7"/>
        <v>0.75000000000000022</v>
      </c>
      <c r="AH18" s="714">
        <f>AG30</f>
        <v>0.88019570297001615</v>
      </c>
    </row>
    <row r="19" spans="1:34" ht="19.2" customHeight="1">
      <c r="A19" s="671"/>
      <c r="B19" s="497" t="s">
        <v>122</v>
      </c>
      <c r="C19" s="496"/>
      <c r="D19" s="82" t="s">
        <v>59</v>
      </c>
      <c r="E19" s="83"/>
      <c r="F19" s="343">
        <v>36.86</v>
      </c>
      <c r="G19" s="57">
        <v>3881.15</v>
      </c>
      <c r="H19" s="84">
        <f t="shared" si="12"/>
        <v>143059.18900000001</v>
      </c>
      <c r="I19" s="500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2196.8773584905666</v>
      </c>
      <c r="O19" s="95">
        <f t="shared" si="14"/>
        <v>122.04874213836482</v>
      </c>
      <c r="P19" s="54">
        <f t="shared" si="10"/>
        <v>0</v>
      </c>
      <c r="Q19" s="88">
        <f t="shared" si="11"/>
        <v>-11.284591194968527</v>
      </c>
      <c r="R19" s="493">
        <f t="shared" si="15"/>
        <v>0.915365566037736</v>
      </c>
      <c r="S19" s="672"/>
      <c r="T19" s="89">
        <v>0.14583333333333334</v>
      </c>
      <c r="U19" s="89">
        <v>0.21944444444444444</v>
      </c>
      <c r="V19" s="500">
        <v>6</v>
      </c>
      <c r="W19" s="90">
        <f>(U19-T19)*24*60</f>
        <v>105.99999999999999</v>
      </c>
      <c r="X19" s="96"/>
      <c r="Y19" s="96"/>
      <c r="Z19" s="54"/>
      <c r="AA19" s="54"/>
      <c r="AB19" s="673"/>
      <c r="AC19" s="673"/>
      <c r="AD19" s="500"/>
      <c r="AE19" s="500"/>
      <c r="AF19" s="48">
        <f t="shared" si="6"/>
        <v>-203.12264150943338</v>
      </c>
      <c r="AG19" s="490">
        <f t="shared" si="7"/>
        <v>0.91536556603773611</v>
      </c>
      <c r="AH19" s="715"/>
    </row>
    <row r="20" spans="1:34" ht="19.2" customHeight="1">
      <c r="A20" s="671"/>
      <c r="B20" s="497" t="s">
        <v>125</v>
      </c>
      <c r="C20" s="55"/>
      <c r="D20" s="42" t="s">
        <v>60</v>
      </c>
      <c r="E20" s="83"/>
      <c r="F20" s="343">
        <v>43.14</v>
      </c>
      <c r="G20" s="57">
        <v>1348</v>
      </c>
      <c r="H20" s="84">
        <f t="shared" si="12"/>
        <v>58152.72</v>
      </c>
      <c r="I20" s="500"/>
      <c r="J20" s="93">
        <v>17</v>
      </c>
      <c r="K20" s="44">
        <v>1500</v>
      </c>
      <c r="L20" s="47">
        <v>88.235294117647058</v>
      </c>
      <c r="M20" s="93">
        <v>17</v>
      </c>
      <c r="N20" s="94">
        <f t="shared" si="13"/>
        <v>1394.4827586206889</v>
      </c>
      <c r="O20" s="95">
        <f t="shared" si="14"/>
        <v>82.028397565922873</v>
      </c>
      <c r="P20" s="54">
        <f t="shared" si="10"/>
        <v>0</v>
      </c>
      <c r="Q20" s="88">
        <f t="shared" si="11"/>
        <v>-6.206896551724185</v>
      </c>
      <c r="R20" s="493">
        <f t="shared" si="15"/>
        <v>0.92965517241379259</v>
      </c>
      <c r="S20" s="672"/>
      <c r="T20" s="89">
        <v>0.23541666666666666</v>
      </c>
      <c r="U20" s="89">
        <v>0.27569444444444446</v>
      </c>
      <c r="V20" s="500">
        <v>23</v>
      </c>
      <c r="W20" s="90">
        <f t="shared" ref="W20:W29" si="16">(U20-T20)*24*60</f>
        <v>58.000000000000036</v>
      </c>
      <c r="X20" s="96">
        <v>0.22361111111111109</v>
      </c>
      <c r="Y20" s="96">
        <v>0.23472222222222219</v>
      </c>
      <c r="Z20" s="54"/>
      <c r="AA20" s="54"/>
      <c r="AB20" s="673"/>
      <c r="AC20" s="673"/>
      <c r="AD20" s="500"/>
      <c r="AE20" s="500"/>
      <c r="AF20" s="91">
        <f t="shared" si="6"/>
        <v>-105.51724137931114</v>
      </c>
      <c r="AG20" s="92">
        <f t="shared" si="7"/>
        <v>0.92965517241379259</v>
      </c>
      <c r="AH20" s="715"/>
    </row>
    <row r="21" spans="1:34" ht="19.2" customHeight="1">
      <c r="A21" s="671"/>
      <c r="B21" s="497" t="s">
        <v>124</v>
      </c>
      <c r="C21" s="97"/>
      <c r="D21" s="98" t="s">
        <v>199</v>
      </c>
      <c r="E21" s="43"/>
      <c r="F21" s="343">
        <v>44.3</v>
      </c>
      <c r="G21" s="44">
        <v>2053</v>
      </c>
      <c r="H21" s="84">
        <f t="shared" si="12"/>
        <v>90947.9</v>
      </c>
      <c r="I21" s="486"/>
      <c r="J21" s="93">
        <v>18</v>
      </c>
      <c r="K21" s="44">
        <v>1565</v>
      </c>
      <c r="L21" s="47">
        <v>86.944444444444443</v>
      </c>
      <c r="M21" s="93">
        <v>18</v>
      </c>
      <c r="N21" s="94">
        <f t="shared" si="13"/>
        <v>1432.3255813953488</v>
      </c>
      <c r="O21" s="95">
        <f t="shared" si="14"/>
        <v>79.573643410852711</v>
      </c>
      <c r="P21" s="54">
        <f t="shared" si="10"/>
        <v>0</v>
      </c>
      <c r="Q21" s="88">
        <f t="shared" si="11"/>
        <v>-7.3708010335917322</v>
      </c>
      <c r="R21" s="493">
        <f t="shared" si="15"/>
        <v>0.91522401367114936</v>
      </c>
      <c r="S21" s="672"/>
      <c r="T21" s="89">
        <v>0.28055555555555556</v>
      </c>
      <c r="U21" s="89">
        <v>0.34027777777777779</v>
      </c>
      <c r="V21" s="500">
        <v>7</v>
      </c>
      <c r="W21" s="90">
        <f t="shared" si="16"/>
        <v>86.000000000000014</v>
      </c>
      <c r="X21" s="96"/>
      <c r="Y21" s="96"/>
      <c r="Z21" s="54"/>
      <c r="AA21" s="54"/>
      <c r="AB21" s="673"/>
      <c r="AC21" s="673"/>
      <c r="AD21" s="500"/>
      <c r="AE21" s="500"/>
      <c r="AF21" s="48">
        <f t="shared" si="6"/>
        <v>-132.67441860465124</v>
      </c>
      <c r="AG21" s="490">
        <f t="shared" si="7"/>
        <v>0.91522401367114936</v>
      </c>
      <c r="AH21" s="716"/>
    </row>
    <row r="22" spans="1:34" ht="19.2" customHeight="1">
      <c r="A22" s="671"/>
      <c r="B22" s="497" t="s">
        <v>124</v>
      </c>
      <c r="C22" s="97"/>
      <c r="D22" s="42" t="s">
        <v>205</v>
      </c>
      <c r="E22" s="43"/>
      <c r="F22" s="343">
        <v>49.91</v>
      </c>
      <c r="G22" s="44">
        <v>2941</v>
      </c>
      <c r="H22" s="84">
        <f t="shared" si="12"/>
        <v>146785.31</v>
      </c>
      <c r="I22" s="486"/>
      <c r="J22" s="93">
        <v>17</v>
      </c>
      <c r="K22" s="44">
        <v>1565</v>
      </c>
      <c r="L22" s="47">
        <v>92.058823529411768</v>
      </c>
      <c r="M22" s="93">
        <v>17</v>
      </c>
      <c r="N22" s="94">
        <f t="shared" si="13"/>
        <v>1411.6800000000005</v>
      </c>
      <c r="O22" s="95">
        <f t="shared" si="14"/>
        <v>83.040000000000035</v>
      </c>
      <c r="P22" s="54">
        <f t="shared" si="10"/>
        <v>0</v>
      </c>
      <c r="Q22" s="88">
        <f t="shared" si="11"/>
        <v>-9.0188235294117334</v>
      </c>
      <c r="R22" s="493">
        <f t="shared" si="15"/>
        <v>0.9020319488817895</v>
      </c>
      <c r="S22" s="672"/>
      <c r="T22" s="89">
        <v>0.35555555555555557</v>
      </c>
      <c r="U22" s="89">
        <v>0.44236111111111109</v>
      </c>
      <c r="V22" s="500">
        <v>22</v>
      </c>
      <c r="W22" s="90">
        <f t="shared" si="16"/>
        <v>124.99999999999996</v>
      </c>
      <c r="X22" s="96">
        <v>0.3444444444444445</v>
      </c>
      <c r="Y22" s="96">
        <v>0.35416666666666669</v>
      </c>
      <c r="Z22" s="54"/>
      <c r="AA22" s="54"/>
      <c r="AB22" s="673"/>
      <c r="AC22" s="673"/>
      <c r="AD22" s="500"/>
      <c r="AE22" s="500"/>
      <c r="AF22" s="91">
        <f t="shared" si="6"/>
        <v>-153.31999999999948</v>
      </c>
      <c r="AG22" s="92">
        <f t="shared" si="7"/>
        <v>0.9020319488817895</v>
      </c>
      <c r="AH22" s="716"/>
    </row>
    <row r="23" spans="1:34" ht="19.2" customHeight="1">
      <c r="A23" s="671"/>
      <c r="B23" s="497" t="s">
        <v>122</v>
      </c>
      <c r="C23" s="97"/>
      <c r="D23" s="42" t="s">
        <v>59</v>
      </c>
      <c r="E23" s="43"/>
      <c r="F23" s="343">
        <v>36.86</v>
      </c>
      <c r="G23" s="44">
        <v>2089.85</v>
      </c>
      <c r="H23" s="84">
        <f t="shared" si="12"/>
        <v>77031.870999999999</v>
      </c>
      <c r="I23" s="486">
        <v>1</v>
      </c>
      <c r="J23" s="93">
        <v>18</v>
      </c>
      <c r="K23" s="44">
        <v>2400</v>
      </c>
      <c r="L23" s="47">
        <v>133.33333333333334</v>
      </c>
      <c r="M23" s="93">
        <v>18</v>
      </c>
      <c r="N23" s="94">
        <f t="shared" si="13"/>
        <v>2125.2711864406797</v>
      </c>
      <c r="O23" s="95">
        <f t="shared" si="14"/>
        <v>118.07062146892665</v>
      </c>
      <c r="P23" s="54">
        <f t="shared" si="10"/>
        <v>0</v>
      </c>
      <c r="Q23" s="88">
        <f t="shared" si="11"/>
        <v>-15.262711864406697</v>
      </c>
      <c r="R23" s="493">
        <f t="shared" si="15"/>
        <v>0.88552966101694974</v>
      </c>
      <c r="S23" s="672"/>
      <c r="T23" s="89">
        <v>0.48263888888888884</v>
      </c>
      <c r="U23" s="89">
        <v>0.52361111111111103</v>
      </c>
      <c r="V23" s="500">
        <v>5</v>
      </c>
      <c r="W23" s="90">
        <f t="shared" si="16"/>
        <v>58.99999999999995</v>
      </c>
      <c r="X23" s="96"/>
      <c r="Y23" s="96"/>
      <c r="Z23" s="54"/>
      <c r="AA23" s="54"/>
      <c r="AB23" s="673"/>
      <c r="AC23" s="673"/>
      <c r="AD23" s="500"/>
      <c r="AE23" s="500"/>
      <c r="AF23" s="48">
        <f t="shared" si="6"/>
        <v>-274.72881355932032</v>
      </c>
      <c r="AG23" s="490">
        <f t="shared" si="7"/>
        <v>0.88552966101694985</v>
      </c>
      <c r="AH23" s="716"/>
    </row>
    <row r="24" spans="1:34" ht="19.2" customHeight="1">
      <c r="A24" s="671"/>
      <c r="B24" s="497">
        <v>0</v>
      </c>
      <c r="C24" s="81"/>
      <c r="D24" s="82"/>
      <c r="E24" s="83"/>
      <c r="F24" s="343" t="s">
        <v>128</v>
      </c>
      <c r="G24" s="57"/>
      <c r="H24" s="84">
        <f t="shared" si="12"/>
        <v>0</v>
      </c>
      <c r="I24" s="486"/>
      <c r="J24" s="93"/>
      <c r="K24" s="44"/>
      <c r="L24" s="47"/>
      <c r="M24" s="93"/>
      <c r="N24" s="94"/>
      <c r="O24" s="95"/>
      <c r="P24" s="54"/>
      <c r="Q24" s="88"/>
      <c r="R24" s="493"/>
      <c r="S24" s="672"/>
      <c r="T24" s="89"/>
      <c r="U24" s="89"/>
      <c r="V24" s="500"/>
      <c r="W24" s="90">
        <f t="shared" si="16"/>
        <v>0</v>
      </c>
      <c r="X24" s="96"/>
      <c r="Y24" s="96"/>
      <c r="Z24" s="54"/>
      <c r="AA24" s="54"/>
      <c r="AB24" s="673"/>
      <c r="AC24" s="673"/>
      <c r="AD24" s="500"/>
      <c r="AE24" s="500"/>
      <c r="AF24" s="91">
        <f t="shared" si="6"/>
        <v>0</v>
      </c>
      <c r="AG24" s="92" t="e">
        <f t="shared" si="7"/>
        <v>#DIV/0!</v>
      </c>
      <c r="AH24" s="716"/>
    </row>
    <row r="25" spans="1:34" ht="19.2" customHeight="1">
      <c r="A25" s="671"/>
      <c r="B25" s="497">
        <v>0</v>
      </c>
      <c r="C25" s="81"/>
      <c r="D25" s="82"/>
      <c r="E25" s="83"/>
      <c r="F25" s="343" t="s">
        <v>128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493"/>
      <c r="S25" s="672"/>
      <c r="T25" s="89"/>
      <c r="U25" s="89"/>
      <c r="V25" s="500"/>
      <c r="W25" s="90">
        <f t="shared" si="16"/>
        <v>0</v>
      </c>
      <c r="X25" s="500"/>
      <c r="Y25" s="500"/>
      <c r="Z25" s="54"/>
      <c r="AA25" s="54"/>
      <c r="AB25" s="673"/>
      <c r="AC25" s="673"/>
      <c r="AD25" s="500"/>
      <c r="AE25" s="500"/>
      <c r="AF25" s="48">
        <f t="shared" si="6"/>
        <v>0</v>
      </c>
      <c r="AG25" s="490" t="e">
        <f t="shared" si="7"/>
        <v>#DIV/0!</v>
      </c>
      <c r="AH25" s="716"/>
    </row>
    <row r="26" spans="1:34" ht="19.2" customHeight="1">
      <c r="A26" s="671"/>
      <c r="B26" s="497">
        <v>0</v>
      </c>
      <c r="C26" s="81"/>
      <c r="D26" s="82"/>
      <c r="E26" s="83"/>
      <c r="F26" s="343" t="s">
        <v>128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93"/>
      <c r="S26" s="672"/>
      <c r="T26" s="89"/>
      <c r="U26" s="89"/>
      <c r="V26" s="500"/>
      <c r="W26" s="90">
        <f t="shared" si="16"/>
        <v>0</v>
      </c>
      <c r="X26" s="500"/>
      <c r="Y26" s="500"/>
      <c r="Z26" s="54"/>
      <c r="AA26" s="54"/>
      <c r="AB26" s="673"/>
      <c r="AC26" s="673"/>
      <c r="AD26" s="500"/>
      <c r="AE26" s="500"/>
      <c r="AF26" s="91">
        <f t="shared" si="6"/>
        <v>0</v>
      </c>
      <c r="AG26" s="92" t="e">
        <f t="shared" si="7"/>
        <v>#DIV/0!</v>
      </c>
      <c r="AH26" s="716"/>
    </row>
    <row r="27" spans="1:34" ht="19.2" customHeight="1">
      <c r="A27" s="671"/>
      <c r="B27" s="80">
        <v>0</v>
      </c>
      <c r="C27" s="81"/>
      <c r="D27" s="82"/>
      <c r="E27" s="83"/>
      <c r="F27" s="346" t="s">
        <v>128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93"/>
      <c r="S27" s="672"/>
      <c r="T27" s="89"/>
      <c r="U27" s="89"/>
      <c r="V27" s="500"/>
      <c r="W27" s="90">
        <f t="shared" si="16"/>
        <v>0</v>
      </c>
      <c r="X27" s="500"/>
      <c r="Y27" s="500"/>
      <c r="Z27" s="54"/>
      <c r="AA27" s="54"/>
      <c r="AB27" s="673"/>
      <c r="AC27" s="673"/>
      <c r="AD27" s="500"/>
      <c r="AE27" s="500"/>
      <c r="AF27" s="48">
        <f t="shared" si="6"/>
        <v>0</v>
      </c>
      <c r="AG27" s="490" t="e">
        <f t="shared" si="7"/>
        <v>#DIV/0!</v>
      </c>
      <c r="AH27" s="716"/>
    </row>
    <row r="28" spans="1:34" ht="19.2" customHeight="1">
      <c r="A28" s="671"/>
      <c r="B28" s="80">
        <v>0</v>
      </c>
      <c r="C28" s="81"/>
      <c r="D28" s="82"/>
      <c r="E28" s="83"/>
      <c r="F28" s="346" t="s">
        <v>128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93"/>
      <c r="S28" s="672"/>
      <c r="T28" s="89"/>
      <c r="U28" s="89"/>
      <c r="V28" s="500"/>
      <c r="W28" s="90">
        <f t="shared" si="16"/>
        <v>0</v>
      </c>
      <c r="X28" s="500"/>
      <c r="Y28" s="500"/>
      <c r="Z28" s="54"/>
      <c r="AA28" s="54"/>
      <c r="AB28" s="673"/>
      <c r="AC28" s="673"/>
      <c r="AD28" s="500"/>
      <c r="AE28" s="500"/>
      <c r="AF28" s="91">
        <f t="shared" si="6"/>
        <v>0</v>
      </c>
      <c r="AG28" s="92" t="e">
        <f t="shared" si="7"/>
        <v>#DIV/0!</v>
      </c>
      <c r="AH28" s="716"/>
    </row>
    <row r="29" spans="1:34" ht="19.2" customHeight="1">
      <c r="A29" s="671"/>
      <c r="B29" s="80">
        <v>0</v>
      </c>
      <c r="C29" s="81"/>
      <c r="D29" s="82"/>
      <c r="E29" s="83"/>
      <c r="F29" s="346" t="s">
        <v>128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93"/>
      <c r="S29" s="672"/>
      <c r="T29" s="89"/>
      <c r="U29" s="89"/>
      <c r="V29" s="500"/>
      <c r="W29" s="90">
        <f t="shared" si="16"/>
        <v>0</v>
      </c>
      <c r="X29" s="500"/>
      <c r="Y29" s="500"/>
      <c r="Z29" s="54"/>
      <c r="AA29" s="54"/>
      <c r="AB29" s="673"/>
      <c r="AC29" s="673"/>
      <c r="AD29" s="500"/>
      <c r="AE29" s="500"/>
      <c r="AF29" s="48">
        <f t="shared" si="6"/>
        <v>0</v>
      </c>
      <c r="AG29" s="490"/>
      <c r="AH29" s="716"/>
    </row>
    <row r="30" spans="1:34" ht="19.2" customHeight="1">
      <c r="A30" s="671"/>
      <c r="B30" s="99">
        <v>0</v>
      </c>
      <c r="C30" s="100" t="s">
        <v>508</v>
      </c>
      <c r="D30" s="718" t="s">
        <v>455</v>
      </c>
      <c r="E30" s="718"/>
      <c r="F30" s="347"/>
      <c r="G30" s="101"/>
      <c r="H30" s="102"/>
      <c r="I30" s="103"/>
      <c r="J30" s="101">
        <v>16.666666666666668</v>
      </c>
      <c r="K30" s="101">
        <v>1905</v>
      </c>
      <c r="L30" s="104">
        <v>116.76198257080613</v>
      </c>
      <c r="M30" s="101">
        <f t="shared" ref="M30:O30" si="17">AVERAGE(M18:M29)</f>
        <v>16.666666666666668</v>
      </c>
      <c r="N30" s="101">
        <f t="shared" si="17"/>
        <v>1676.7728141578807</v>
      </c>
      <c r="O30" s="104">
        <f t="shared" si="17"/>
        <v>101.62690076401118</v>
      </c>
      <c r="P30" s="54">
        <f t="shared" ref="P30:P38" si="18">M30-J30</f>
        <v>0</v>
      </c>
      <c r="Q30" s="88">
        <f t="shared" ref="Q30:Q38" si="19">O30-L30</f>
        <v>-15.135081806794943</v>
      </c>
      <c r="R30" s="105">
        <f t="shared" ref="R30:R38" si="20">O30/L30</f>
        <v>0.87037662881737377</v>
      </c>
      <c r="S30" s="672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673"/>
      <c r="AC30" s="673"/>
      <c r="AD30" s="107">
        <f>SUM(AD18:AD29)</f>
        <v>0</v>
      </c>
      <c r="AE30" s="107">
        <f>SUM(AE18:AE29)</f>
        <v>0</v>
      </c>
      <c r="AF30" s="108">
        <f t="shared" si="6"/>
        <v>-228.2271858421193</v>
      </c>
      <c r="AG30" s="109">
        <f t="shared" ref="AG30" si="21">N30/K30</f>
        <v>0.88019570297001615</v>
      </c>
      <c r="AH30" s="717"/>
    </row>
    <row r="31" spans="1:34" ht="19.2" customHeight="1">
      <c r="A31" s="708" t="s">
        <v>509</v>
      </c>
      <c r="B31" s="110" t="s">
        <v>125</v>
      </c>
      <c r="C31" s="66"/>
      <c r="D31" s="42" t="s">
        <v>190</v>
      </c>
      <c r="E31" s="111"/>
      <c r="F31" s="348">
        <v>26.5</v>
      </c>
      <c r="G31" s="134">
        <v>1300</v>
      </c>
      <c r="H31" s="112">
        <f t="shared" ref="H31:H40" si="22">F31*G31</f>
        <v>34450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1418.181818181818</v>
      </c>
      <c r="O31" s="115">
        <f t="shared" ref="O31:O38" si="24">N31/M31</f>
        <v>118.18181818181817</v>
      </c>
      <c r="P31" s="116">
        <f t="shared" si="18"/>
        <v>0</v>
      </c>
      <c r="Q31" s="117">
        <f t="shared" si="19"/>
        <v>-48.484848484848484</v>
      </c>
      <c r="R31" s="494">
        <f t="shared" si="20"/>
        <v>0.70909090909090911</v>
      </c>
      <c r="S31" s="709">
        <f>R43</f>
        <v>0.84783245565015675</v>
      </c>
      <c r="T31" s="118">
        <v>0.125</v>
      </c>
      <c r="U31" s="118">
        <v>0.16319444444444445</v>
      </c>
      <c r="V31" s="142">
        <v>5</v>
      </c>
      <c r="W31" s="119">
        <f t="shared" ref="W31:W42" si="25">(U31-T31)*24*60</f>
        <v>55.000000000000007</v>
      </c>
      <c r="X31" s="52"/>
      <c r="Y31" s="52"/>
      <c r="Z31" s="51"/>
      <c r="AA31" s="51"/>
      <c r="AB31" s="673"/>
      <c r="AC31" s="673"/>
      <c r="AD31" s="52"/>
      <c r="AE31" s="52"/>
      <c r="AF31" s="116">
        <f t="shared" si="6"/>
        <v>-581.81818181818198</v>
      </c>
      <c r="AG31" s="120">
        <f t="shared" si="7"/>
        <v>0.70909090909090899</v>
      </c>
      <c r="AH31" s="687">
        <f>AG43</f>
        <v>0.84617261652532905</v>
      </c>
    </row>
    <row r="32" spans="1:34" ht="19.2" customHeight="1">
      <c r="A32" s="701"/>
      <c r="B32" s="121" t="s">
        <v>126</v>
      </c>
      <c r="C32" s="122"/>
      <c r="D32" s="42" t="s">
        <v>61</v>
      </c>
      <c r="E32" s="43"/>
      <c r="F32" s="343">
        <v>35.33</v>
      </c>
      <c r="G32" s="134">
        <v>1893</v>
      </c>
      <c r="H32" s="84">
        <f t="shared" si="22"/>
        <v>66879.69</v>
      </c>
      <c r="I32" s="48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1893.0000000000005</v>
      </c>
      <c r="O32" s="47">
        <f t="shared" si="24"/>
        <v>157.75000000000003</v>
      </c>
      <c r="P32" s="116">
        <f t="shared" si="18"/>
        <v>0</v>
      </c>
      <c r="Q32" s="49">
        <f t="shared" si="19"/>
        <v>-18.749999999999972</v>
      </c>
      <c r="R32" s="490">
        <f t="shared" si="20"/>
        <v>0.89376770538243644</v>
      </c>
      <c r="S32" s="672"/>
      <c r="T32" s="89">
        <v>0.16736111111111113</v>
      </c>
      <c r="U32" s="89">
        <v>0.20902777777777778</v>
      </c>
      <c r="V32" s="142">
        <v>6</v>
      </c>
      <c r="W32" s="90">
        <f t="shared" si="25"/>
        <v>59.999999999999986</v>
      </c>
      <c r="X32" s="123"/>
      <c r="Y32" s="123"/>
      <c r="Z32" s="124"/>
      <c r="AA32" s="124"/>
      <c r="AB32" s="673"/>
      <c r="AC32" s="673"/>
      <c r="AD32" s="500"/>
      <c r="AE32" s="500"/>
      <c r="AF32" s="48">
        <f t="shared" si="6"/>
        <v>-224.99999999999955</v>
      </c>
      <c r="AG32" s="490">
        <f t="shared" si="7"/>
        <v>0.89376770538243644</v>
      </c>
      <c r="AH32" s="688"/>
    </row>
    <row r="33" spans="1:34" ht="19.2" customHeight="1">
      <c r="A33" s="701"/>
      <c r="B33" s="121" t="s">
        <v>126</v>
      </c>
      <c r="C33" s="500"/>
      <c r="D33" s="42" t="s">
        <v>88</v>
      </c>
      <c r="E33" s="83"/>
      <c r="F33" s="343">
        <v>34.229999999999997</v>
      </c>
      <c r="G33" s="134">
        <v>2760</v>
      </c>
      <c r="H33" s="84">
        <f t="shared" si="22"/>
        <v>94474.799999999988</v>
      </c>
      <c r="I33" s="500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2044.444444444445</v>
      </c>
      <c r="O33" s="47">
        <f t="shared" si="24"/>
        <v>157.2649572649573</v>
      </c>
      <c r="P33" s="116">
        <f t="shared" si="18"/>
        <v>0</v>
      </c>
      <c r="Q33" s="49">
        <f t="shared" si="19"/>
        <v>-15.811965811965763</v>
      </c>
      <c r="R33" s="490">
        <f t="shared" si="20"/>
        <v>0.90864197530864221</v>
      </c>
      <c r="S33" s="672"/>
      <c r="T33" s="89">
        <v>0.22500000000000001</v>
      </c>
      <c r="U33" s="89">
        <v>0.28125</v>
      </c>
      <c r="V33" s="142">
        <v>23</v>
      </c>
      <c r="W33" s="90">
        <f t="shared" si="25"/>
        <v>80.999999999999986</v>
      </c>
      <c r="X33" s="123">
        <v>0.21388888888888891</v>
      </c>
      <c r="Y33" s="123">
        <v>0.22361111111111109</v>
      </c>
      <c r="Z33" s="124"/>
      <c r="AA33" s="124"/>
      <c r="AB33" s="673"/>
      <c r="AC33" s="673"/>
      <c r="AD33" s="500"/>
      <c r="AE33" s="500"/>
      <c r="AF33" s="48">
        <f t="shared" si="6"/>
        <v>-205.55555555555497</v>
      </c>
      <c r="AG33" s="125">
        <f t="shared" si="7"/>
        <v>0.90864197530864221</v>
      </c>
      <c r="AH33" s="688"/>
    </row>
    <row r="34" spans="1:34" ht="19.2" customHeight="1">
      <c r="A34" s="701"/>
      <c r="B34" s="121" t="s">
        <v>126</v>
      </c>
      <c r="C34" s="126"/>
      <c r="D34" s="147" t="s">
        <v>90</v>
      </c>
      <c r="E34" s="83"/>
      <c r="F34" s="343">
        <v>35.83</v>
      </c>
      <c r="G34" s="137">
        <v>1569.2</v>
      </c>
      <c r="H34" s="84">
        <f t="shared" si="22"/>
        <v>56224.436000000002</v>
      </c>
      <c r="I34" s="500"/>
      <c r="J34" s="113">
        <v>11</v>
      </c>
      <c r="K34" s="94">
        <v>2250</v>
      </c>
      <c r="L34" s="95">
        <v>204.54545454545453</v>
      </c>
      <c r="M34" s="149">
        <v>11</v>
      </c>
      <c r="N34" s="44">
        <f t="shared" si="23"/>
        <v>2003.2340425531918</v>
      </c>
      <c r="O34" s="47">
        <f t="shared" si="24"/>
        <v>182.11218568665379</v>
      </c>
      <c r="P34" s="116">
        <f t="shared" si="18"/>
        <v>0</v>
      </c>
      <c r="Q34" s="49">
        <f t="shared" si="19"/>
        <v>-22.433268858800744</v>
      </c>
      <c r="R34" s="490">
        <f t="shared" si="20"/>
        <v>0.89032624113475189</v>
      </c>
      <c r="S34" s="672"/>
      <c r="T34" s="89">
        <v>0.28611111111111109</v>
      </c>
      <c r="U34" s="89">
        <v>0.31874999999999998</v>
      </c>
      <c r="V34" s="137">
        <v>7</v>
      </c>
      <c r="W34" s="90">
        <f t="shared" si="25"/>
        <v>46.999999999999993</v>
      </c>
      <c r="X34" s="123"/>
      <c r="Y34" s="123"/>
      <c r="Z34" s="124"/>
      <c r="AA34" s="124"/>
      <c r="AB34" s="673"/>
      <c r="AC34" s="673"/>
      <c r="AD34" s="500">
        <v>1</v>
      </c>
      <c r="AE34" s="500"/>
      <c r="AF34" s="48">
        <f t="shared" si="6"/>
        <v>-246.76595744680822</v>
      </c>
      <c r="AG34" s="125">
        <f t="shared" si="7"/>
        <v>0.89032624113475189</v>
      </c>
      <c r="AH34" s="688"/>
    </row>
    <row r="35" spans="1:34" ht="19.2" customHeight="1">
      <c r="A35" s="701"/>
      <c r="B35" s="121" t="s">
        <v>124</v>
      </c>
      <c r="C35" s="41"/>
      <c r="D35" s="150" t="s">
        <v>173</v>
      </c>
      <c r="E35" s="43"/>
      <c r="F35" s="343">
        <v>49.91</v>
      </c>
      <c r="G35" s="137">
        <v>2574</v>
      </c>
      <c r="H35" s="84">
        <f t="shared" si="22"/>
        <v>128468.34</v>
      </c>
      <c r="I35" s="486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1342.9565217391307</v>
      </c>
      <c r="O35" s="47">
        <f t="shared" si="24"/>
        <v>78.997442455242989</v>
      </c>
      <c r="P35" s="116">
        <f t="shared" si="18"/>
        <v>0</v>
      </c>
      <c r="Q35" s="49">
        <f t="shared" si="19"/>
        <v>-13.061381074168779</v>
      </c>
      <c r="R35" s="490">
        <f t="shared" si="20"/>
        <v>0.85811918321989189</v>
      </c>
      <c r="S35" s="672"/>
      <c r="T35" s="89">
        <v>0.33402777777777776</v>
      </c>
      <c r="U35" s="89">
        <v>0.41388888888888886</v>
      </c>
      <c r="V35" s="134">
        <v>22</v>
      </c>
      <c r="W35" s="90">
        <f t="shared" si="25"/>
        <v>114.99999999999999</v>
      </c>
      <c r="X35" s="123">
        <v>0.32291666666666669</v>
      </c>
      <c r="Y35" s="123">
        <v>0.33333333333333331</v>
      </c>
      <c r="Z35" s="124"/>
      <c r="AA35" s="124"/>
      <c r="AB35" s="673"/>
      <c r="AC35" s="673"/>
      <c r="AD35" s="500"/>
      <c r="AE35" s="500"/>
      <c r="AF35" s="116">
        <f t="shared" si="6"/>
        <v>-222.04347826086928</v>
      </c>
      <c r="AG35" s="120">
        <f t="shared" si="7"/>
        <v>0.85811918321989189</v>
      </c>
      <c r="AH35" s="689"/>
    </row>
    <row r="36" spans="1:34" ht="19.2" customHeight="1">
      <c r="A36" s="701"/>
      <c r="B36" s="121" t="s">
        <v>122</v>
      </c>
      <c r="C36" s="128"/>
      <c r="D36" s="150" t="s">
        <v>194</v>
      </c>
      <c r="E36" s="83"/>
      <c r="F36" s="343">
        <v>46.93</v>
      </c>
      <c r="G36" s="134">
        <v>1224</v>
      </c>
      <c r="H36" s="84">
        <f t="shared" si="22"/>
        <v>57442.32</v>
      </c>
      <c r="I36" s="500"/>
      <c r="J36" s="113">
        <v>19</v>
      </c>
      <c r="K36" s="94">
        <v>2400</v>
      </c>
      <c r="L36" s="95">
        <v>126.31578947368421</v>
      </c>
      <c r="M36" s="149">
        <v>19</v>
      </c>
      <c r="N36" s="44">
        <f t="shared" si="23"/>
        <v>1984.8648648648632</v>
      </c>
      <c r="O36" s="47">
        <f t="shared" si="24"/>
        <v>104.46657183499281</v>
      </c>
      <c r="P36" s="116">
        <f t="shared" si="18"/>
        <v>0</v>
      </c>
      <c r="Q36" s="49">
        <f t="shared" si="19"/>
        <v>-21.8492176386914</v>
      </c>
      <c r="R36" s="490">
        <f t="shared" si="20"/>
        <v>0.82702702702702646</v>
      </c>
      <c r="S36" s="672"/>
      <c r="T36" s="89">
        <v>0.45416666666666661</v>
      </c>
      <c r="U36" s="89">
        <v>0.47986111111111107</v>
      </c>
      <c r="V36" s="134">
        <v>5</v>
      </c>
      <c r="W36" s="90">
        <f t="shared" si="25"/>
        <v>37.000000000000028</v>
      </c>
      <c r="X36" s="123"/>
      <c r="Y36" s="123"/>
      <c r="Z36" s="124"/>
      <c r="AA36" s="124"/>
      <c r="AB36" s="673"/>
      <c r="AC36" s="673"/>
      <c r="AD36" s="500"/>
      <c r="AE36" s="500"/>
      <c r="AF36" s="48">
        <f t="shared" si="6"/>
        <v>-415.13513513513681</v>
      </c>
      <c r="AG36" s="490">
        <f t="shared" si="7"/>
        <v>0.82702702702702635</v>
      </c>
      <c r="AH36" s="689"/>
    </row>
    <row r="37" spans="1:34" ht="19.2" customHeight="1">
      <c r="A37" s="701"/>
      <c r="B37" s="121" t="s">
        <v>122</v>
      </c>
      <c r="C37" s="128"/>
      <c r="D37" s="150" t="s">
        <v>201</v>
      </c>
      <c r="E37" s="83"/>
      <c r="F37" s="343">
        <v>43.96</v>
      </c>
      <c r="G37" s="134">
        <v>1091.3</v>
      </c>
      <c r="H37" s="84">
        <f t="shared" si="22"/>
        <v>47973.548000000003</v>
      </c>
      <c r="I37" s="500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2046.1874999999973</v>
      </c>
      <c r="O37" s="47">
        <f t="shared" si="24"/>
        <v>107.69407894736828</v>
      </c>
      <c r="P37" s="116">
        <f t="shared" si="18"/>
        <v>0</v>
      </c>
      <c r="Q37" s="49">
        <f t="shared" si="19"/>
        <v>-18.621710526315923</v>
      </c>
      <c r="R37" s="490">
        <f t="shared" si="20"/>
        <v>0.85257812499999897</v>
      </c>
      <c r="S37" s="672"/>
      <c r="T37" s="89">
        <v>0.48472222222222217</v>
      </c>
      <c r="U37" s="89">
        <v>0.50694444444444442</v>
      </c>
      <c r="V37" s="134">
        <v>7</v>
      </c>
      <c r="W37" s="90">
        <f t="shared" si="25"/>
        <v>32.000000000000043</v>
      </c>
      <c r="X37" s="123"/>
      <c r="Y37" s="123"/>
      <c r="Z37" s="124"/>
      <c r="AA37" s="124"/>
      <c r="AB37" s="673"/>
      <c r="AC37" s="673"/>
      <c r="AD37" s="500"/>
      <c r="AE37" s="500">
        <v>1</v>
      </c>
      <c r="AF37" s="48">
        <f t="shared" si="6"/>
        <v>-353.81250000000273</v>
      </c>
      <c r="AG37" s="125">
        <f t="shared" si="7"/>
        <v>0.85257812499999885</v>
      </c>
      <c r="AH37" s="689"/>
    </row>
    <row r="38" spans="1:34" ht="19.2" customHeight="1">
      <c r="A38" s="701"/>
      <c r="B38" s="121" t="s">
        <v>122</v>
      </c>
      <c r="C38" s="128"/>
      <c r="D38" s="150" t="s">
        <v>54</v>
      </c>
      <c r="E38" s="83"/>
      <c r="F38" s="343">
        <v>38.479999999999997</v>
      </c>
      <c r="G38" s="134">
        <v>3547</v>
      </c>
      <c r="H38" s="84">
        <f t="shared" si="22"/>
        <v>136488.56</v>
      </c>
      <c r="I38" s="500"/>
      <c r="J38" s="113">
        <v>19</v>
      </c>
      <c r="K38" s="94">
        <v>2769</v>
      </c>
      <c r="L38" s="95">
        <v>145.73684210526315</v>
      </c>
      <c r="M38" s="149">
        <v>19</v>
      </c>
      <c r="N38" s="44">
        <f t="shared" si="23"/>
        <v>2288.3870967741941</v>
      </c>
      <c r="O38" s="47">
        <f t="shared" si="24"/>
        <v>120.44142614601022</v>
      </c>
      <c r="P38" s="116">
        <f t="shared" si="18"/>
        <v>0</v>
      </c>
      <c r="Q38" s="49">
        <f t="shared" si="19"/>
        <v>-25.295415959252935</v>
      </c>
      <c r="R38" s="490">
        <f t="shared" si="20"/>
        <v>0.82643087640815971</v>
      </c>
      <c r="S38" s="672"/>
      <c r="T38" s="151">
        <v>0.51180555555555551</v>
      </c>
      <c r="U38" s="151">
        <v>0.57638888888888884</v>
      </c>
      <c r="V38" s="134">
        <v>7</v>
      </c>
      <c r="W38" s="90">
        <f t="shared" si="25"/>
        <v>92.999999999999986</v>
      </c>
      <c r="X38" s="123"/>
      <c r="Y38" s="123"/>
      <c r="Z38" s="124"/>
      <c r="AA38" s="124"/>
      <c r="AB38" s="673"/>
      <c r="AC38" s="673"/>
      <c r="AD38" s="500"/>
      <c r="AE38" s="500"/>
      <c r="AF38" s="48">
        <f t="shared" si="6"/>
        <v>-480.61290322580589</v>
      </c>
      <c r="AG38" s="125">
        <f t="shared" si="7"/>
        <v>0.82643087640815971</v>
      </c>
      <c r="AH38" s="689"/>
    </row>
    <row r="39" spans="1:34" ht="19.2" customHeight="1">
      <c r="A39" s="701"/>
      <c r="B39" s="121">
        <v>0</v>
      </c>
      <c r="C39" s="126"/>
      <c r="D39" s="42"/>
      <c r="E39" s="43"/>
      <c r="F39" s="343" t="s">
        <v>128</v>
      </c>
      <c r="G39" s="57"/>
      <c r="H39" s="84">
        <f t="shared" si="22"/>
        <v>0</v>
      </c>
      <c r="I39" s="500"/>
      <c r="J39" s="113"/>
      <c r="K39" s="94"/>
      <c r="L39" s="95"/>
      <c r="M39" s="489"/>
      <c r="N39" s="44"/>
      <c r="O39" s="47"/>
      <c r="P39" s="116"/>
      <c r="Q39" s="49"/>
      <c r="R39" s="490"/>
      <c r="S39" s="672"/>
      <c r="T39" s="89"/>
      <c r="U39" s="89"/>
      <c r="V39" s="500" t="s">
        <v>15</v>
      </c>
      <c r="W39" s="90">
        <f t="shared" si="25"/>
        <v>0</v>
      </c>
      <c r="X39" s="123"/>
      <c r="Y39" s="123"/>
      <c r="Z39" s="124"/>
      <c r="AA39" s="124"/>
      <c r="AB39" s="673"/>
      <c r="AC39" s="673"/>
      <c r="AD39" s="500"/>
      <c r="AE39" s="500"/>
      <c r="AF39" s="116">
        <f t="shared" si="6"/>
        <v>0</v>
      </c>
      <c r="AG39" s="120" t="e">
        <f t="shared" si="7"/>
        <v>#DIV/0!</v>
      </c>
      <c r="AH39" s="689"/>
    </row>
    <row r="40" spans="1:34" ht="19.2" customHeight="1">
      <c r="A40" s="701"/>
      <c r="B40" s="130">
        <v>0</v>
      </c>
      <c r="C40" s="97"/>
      <c r="D40" s="42"/>
      <c r="E40" s="43"/>
      <c r="F40" s="343" t="s">
        <v>128</v>
      </c>
      <c r="G40" s="44"/>
      <c r="H40" s="84">
        <f t="shared" si="22"/>
        <v>0</v>
      </c>
      <c r="I40" s="486"/>
      <c r="J40" s="46"/>
      <c r="K40" s="44"/>
      <c r="L40" s="47"/>
      <c r="M40" s="484" t="s">
        <v>15</v>
      </c>
      <c r="N40" s="44"/>
      <c r="O40" s="47"/>
      <c r="P40" s="116"/>
      <c r="Q40" s="49"/>
      <c r="R40" s="490"/>
      <c r="S40" s="672"/>
      <c r="T40" s="89"/>
      <c r="U40" s="89"/>
      <c r="V40" s="500"/>
      <c r="W40" s="90">
        <f t="shared" si="25"/>
        <v>0</v>
      </c>
      <c r="X40" s="123"/>
      <c r="Y40" s="123"/>
      <c r="Z40" s="124"/>
      <c r="AA40" s="124"/>
      <c r="AB40" s="673"/>
      <c r="AC40" s="673"/>
      <c r="AD40" s="500"/>
      <c r="AE40" s="500"/>
      <c r="AF40" s="48">
        <f t="shared" si="6"/>
        <v>0</v>
      </c>
      <c r="AG40" s="490" t="e">
        <f t="shared" si="7"/>
        <v>#DIV/0!</v>
      </c>
      <c r="AH40" s="689"/>
    </row>
    <row r="41" spans="1:34" ht="19.2" customHeight="1">
      <c r="A41" s="701"/>
      <c r="B41" s="500">
        <v>0</v>
      </c>
      <c r="C41" s="55"/>
      <c r="D41" s="82"/>
      <c r="E41" s="83"/>
      <c r="F41" s="343" t="s">
        <v>128</v>
      </c>
      <c r="G41" s="57"/>
      <c r="H41" s="84"/>
      <c r="I41" s="500"/>
      <c r="J41" s="87"/>
      <c r="K41" s="57"/>
      <c r="L41" s="86"/>
      <c r="M41" s="489"/>
      <c r="N41" s="57"/>
      <c r="O41" s="86"/>
      <c r="P41" s="54"/>
      <c r="Q41" s="88"/>
      <c r="R41" s="493"/>
      <c r="S41" s="672"/>
      <c r="T41" s="89"/>
      <c r="U41" s="89"/>
      <c r="V41" s="500"/>
      <c r="W41" s="90">
        <f t="shared" si="25"/>
        <v>0</v>
      </c>
      <c r="X41" s="123"/>
      <c r="Y41" s="123"/>
      <c r="Z41" s="124"/>
      <c r="AA41" s="124"/>
      <c r="AB41" s="673"/>
      <c r="AC41" s="673"/>
      <c r="AD41" s="500"/>
      <c r="AE41" s="500"/>
      <c r="AF41" s="48"/>
      <c r="AG41" s="129"/>
      <c r="AH41" s="689"/>
    </row>
    <row r="42" spans="1:34" ht="19.2" customHeight="1">
      <c r="A42" s="701"/>
      <c r="B42" s="500">
        <v>0</v>
      </c>
      <c r="C42" s="55"/>
      <c r="D42" s="82"/>
      <c r="E42" s="83"/>
      <c r="F42" s="349" t="s">
        <v>128</v>
      </c>
      <c r="G42" s="57"/>
      <c r="H42" s="84">
        <f>F42*G42</f>
        <v>0</v>
      </c>
      <c r="I42" s="500"/>
      <c r="J42" s="87"/>
      <c r="K42" s="57"/>
      <c r="L42" s="86"/>
      <c r="M42" s="489"/>
      <c r="N42" s="57"/>
      <c r="O42" s="86"/>
      <c r="P42" s="54"/>
      <c r="Q42" s="88"/>
      <c r="R42" s="493"/>
      <c r="S42" s="672"/>
      <c r="T42" s="89"/>
      <c r="U42" s="89"/>
      <c r="V42" s="500"/>
      <c r="W42" s="90">
        <f t="shared" si="25"/>
        <v>0</v>
      </c>
      <c r="X42" s="123"/>
      <c r="Y42" s="123"/>
      <c r="Z42" s="124"/>
      <c r="AA42" s="124"/>
      <c r="AB42" s="673"/>
      <c r="AC42" s="673"/>
      <c r="AD42" s="500"/>
      <c r="AE42" s="500"/>
      <c r="AF42" s="48"/>
      <c r="AG42" s="129"/>
      <c r="AH42" s="689"/>
    </row>
    <row r="43" spans="1:34" ht="19.2" customHeight="1">
      <c r="A43" s="701"/>
      <c r="B43" s="121">
        <v>0</v>
      </c>
      <c r="C43" s="100" t="s">
        <v>510</v>
      </c>
      <c r="D43" s="669" t="s">
        <v>511</v>
      </c>
      <c r="E43" s="669"/>
      <c r="F43" s="347"/>
      <c r="G43" s="101"/>
      <c r="H43" s="102"/>
      <c r="I43" s="103"/>
      <c r="J43" s="101">
        <v>15.25</v>
      </c>
      <c r="K43" s="101">
        <v>2219</v>
      </c>
      <c r="L43" s="104">
        <v>151.40203610888594</v>
      </c>
      <c r="M43" s="101">
        <f t="shared" ref="M43:O43" si="26">AVERAGE(M31:M42)</f>
        <v>15.25</v>
      </c>
      <c r="N43" s="101">
        <f t="shared" si="26"/>
        <v>1877.6570360697051</v>
      </c>
      <c r="O43" s="104">
        <f t="shared" si="26"/>
        <v>128.36356006463046</v>
      </c>
      <c r="P43" s="54">
        <f>M43-J43</f>
        <v>0</v>
      </c>
      <c r="Q43" s="88">
        <f>N43-K43</f>
        <v>-341.3429639302949</v>
      </c>
      <c r="R43" s="105">
        <f t="shared" ref="R43:R50" si="27">O43/L43</f>
        <v>0.84783245565015675</v>
      </c>
      <c r="S43" s="672"/>
      <c r="T43" s="89"/>
      <c r="U43" s="89"/>
      <c r="V43" s="500"/>
      <c r="W43" s="500"/>
      <c r="X43" s="123"/>
      <c r="Y43" s="123"/>
      <c r="Z43" s="132">
        <f>SUM(Z31:Z42)</f>
        <v>0</v>
      </c>
      <c r="AA43" s="132">
        <f>SUM(AA31:AA42)</f>
        <v>0</v>
      </c>
      <c r="AB43" s="673"/>
      <c r="AC43" s="673"/>
      <c r="AD43" s="107">
        <f>SUM(AD31:AD42)</f>
        <v>1</v>
      </c>
      <c r="AE43" s="107">
        <f>SUM(AE31:AE42)</f>
        <v>1</v>
      </c>
      <c r="AF43" s="48">
        <f t="shared" ref="AF43:AF54" si="28">N43-K43</f>
        <v>-341.3429639302949</v>
      </c>
      <c r="AG43" s="491">
        <f t="shared" si="7"/>
        <v>0.84617261652532905</v>
      </c>
      <c r="AH43" s="689"/>
    </row>
    <row r="44" spans="1:34" s="145" customFormat="1" ht="19.2" customHeight="1">
      <c r="A44" s="711" t="s">
        <v>512</v>
      </c>
      <c r="B44" s="97" t="s">
        <v>126</v>
      </c>
      <c r="C44" s="133"/>
      <c r="D44" s="164" t="s">
        <v>73</v>
      </c>
      <c r="E44" s="43"/>
      <c r="F44" s="350">
        <v>24.73</v>
      </c>
      <c r="G44" s="134">
        <v>1349</v>
      </c>
      <c r="H44" s="45">
        <f>F44*G44</f>
        <v>33360.770000000004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2130.0000000000009</v>
      </c>
      <c r="O44" s="138">
        <f t="shared" ref="O44:O50" si="30">N44/M44</f>
        <v>426.00000000000017</v>
      </c>
      <c r="P44" s="51">
        <f t="shared" ref="P44:P50" si="31">M44-J44</f>
        <v>1</v>
      </c>
      <c r="Q44" s="139">
        <f t="shared" ref="Q44:Q50" si="32">O44-L44</f>
        <v>-73.999999999999829</v>
      </c>
      <c r="R44" s="140">
        <f t="shared" si="27"/>
        <v>0.85200000000000031</v>
      </c>
      <c r="S44" s="688">
        <f>R56</f>
        <v>0.90501678397740959</v>
      </c>
      <c r="T44" s="118">
        <v>0.125</v>
      </c>
      <c r="U44" s="118">
        <v>0.15138888888888888</v>
      </c>
      <c r="V44" s="142">
        <v>5</v>
      </c>
      <c r="W44" s="143">
        <f t="shared" ref="W44:W56" si="33">(U44-T44)*24*60</f>
        <v>37.999999999999986</v>
      </c>
      <c r="X44" s="123"/>
      <c r="Y44" s="123"/>
      <c r="Z44" s="124"/>
      <c r="AA44" s="124"/>
      <c r="AB44" s="673"/>
      <c r="AC44" s="673"/>
      <c r="AD44" s="500"/>
      <c r="AE44" s="500"/>
      <c r="AF44" s="144">
        <f t="shared" si="28"/>
        <v>130.00000000000091</v>
      </c>
      <c r="AG44" s="495">
        <f t="shared" si="7"/>
        <v>1.0650000000000004</v>
      </c>
      <c r="AH44" s="705">
        <f>AG56</f>
        <v>0.99013354187252445</v>
      </c>
    </row>
    <row r="45" spans="1:34" s="145" customFormat="1" ht="19.2" customHeight="1">
      <c r="A45" s="712"/>
      <c r="B45" s="97" t="s">
        <v>126</v>
      </c>
      <c r="C45" s="133"/>
      <c r="D45" s="42" t="s">
        <v>74</v>
      </c>
      <c r="E45" s="43"/>
      <c r="F45" s="350">
        <v>24.73</v>
      </c>
      <c r="G45" s="134">
        <v>1329</v>
      </c>
      <c r="H45" s="45">
        <f>F45*G45</f>
        <v>32866.17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2098.4210526315796</v>
      </c>
      <c r="O45" s="138">
        <f t="shared" si="30"/>
        <v>419.68421052631595</v>
      </c>
      <c r="P45" s="51">
        <f t="shared" si="31"/>
        <v>1</v>
      </c>
      <c r="Q45" s="139">
        <f t="shared" si="32"/>
        <v>-80.315789473684049</v>
      </c>
      <c r="R45" s="140">
        <f t="shared" si="27"/>
        <v>0.83936842105263187</v>
      </c>
      <c r="S45" s="688"/>
      <c r="T45" s="89">
        <v>0.15486111111111109</v>
      </c>
      <c r="U45" s="89">
        <v>0.18124999999999997</v>
      </c>
      <c r="V45" s="142">
        <v>5</v>
      </c>
      <c r="W45" s="143">
        <f t="shared" si="33"/>
        <v>37.999999999999986</v>
      </c>
      <c r="X45" s="123"/>
      <c r="Y45" s="123"/>
      <c r="Z45" s="124"/>
      <c r="AA45" s="124"/>
      <c r="AB45" s="673"/>
      <c r="AC45" s="673"/>
      <c r="AD45" s="500"/>
      <c r="AE45" s="500"/>
      <c r="AF45" s="144">
        <f t="shared" si="28"/>
        <v>98.421052631579641</v>
      </c>
      <c r="AG45" s="495">
        <f t="shared" si="7"/>
        <v>1.0492105263157898</v>
      </c>
      <c r="AH45" s="705"/>
    </row>
    <row r="46" spans="1:34" s="145" customFormat="1" ht="19.2" customHeight="1">
      <c r="A46" s="712"/>
      <c r="B46" s="97" t="s">
        <v>125</v>
      </c>
      <c r="C46" s="133"/>
      <c r="D46" s="42" t="s">
        <v>65</v>
      </c>
      <c r="E46" s="43"/>
      <c r="F46" s="350">
        <v>31.43</v>
      </c>
      <c r="G46" s="134">
        <v>1523</v>
      </c>
      <c r="H46" s="45">
        <f t="shared" ref="H46:H51" si="34">F46*G46</f>
        <v>47867.89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1450.4761904761908</v>
      </c>
      <c r="O46" s="138">
        <f t="shared" si="30"/>
        <v>207.21088435374153</v>
      </c>
      <c r="P46" s="51">
        <f t="shared" si="31"/>
        <v>0</v>
      </c>
      <c r="Q46" s="139">
        <f t="shared" si="32"/>
        <v>-7.0748299319727437</v>
      </c>
      <c r="R46" s="140">
        <f t="shared" si="27"/>
        <v>0.96698412698412717</v>
      </c>
      <c r="S46" s="688"/>
      <c r="T46" s="89">
        <v>0.19166666666666662</v>
      </c>
      <c r="U46" s="89">
        <v>0.23541666666666661</v>
      </c>
      <c r="V46" s="142">
        <v>15</v>
      </c>
      <c r="W46" s="143">
        <f t="shared" si="33"/>
        <v>62.999999999999979</v>
      </c>
      <c r="X46" s="123"/>
      <c r="Y46" s="123"/>
      <c r="Z46" s="124"/>
      <c r="AA46" s="124"/>
      <c r="AB46" s="673"/>
      <c r="AC46" s="673"/>
      <c r="AD46" s="500"/>
      <c r="AE46" s="500"/>
      <c r="AF46" s="144">
        <f t="shared" si="28"/>
        <v>-49.523809523809177</v>
      </c>
      <c r="AG46" s="495">
        <f t="shared" si="7"/>
        <v>0.96698412698412717</v>
      </c>
      <c r="AH46" s="705"/>
    </row>
    <row r="47" spans="1:34" s="145" customFormat="1" ht="19.2" customHeight="1">
      <c r="A47" s="712"/>
      <c r="B47" s="97" t="s">
        <v>125</v>
      </c>
      <c r="C47" s="133"/>
      <c r="D47" s="42" t="s">
        <v>202</v>
      </c>
      <c r="E47" s="148"/>
      <c r="F47" s="350">
        <v>28.47</v>
      </c>
      <c r="G47" s="137">
        <v>1230</v>
      </c>
      <c r="H47" s="45">
        <f t="shared" si="34"/>
        <v>35018.1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1447.058823529411</v>
      </c>
      <c r="O47" s="138">
        <f t="shared" si="30"/>
        <v>206.72268907563014</v>
      </c>
      <c r="P47" s="51">
        <f t="shared" si="31"/>
        <v>0</v>
      </c>
      <c r="Q47" s="139">
        <f t="shared" si="32"/>
        <v>-7.5630252100841346</v>
      </c>
      <c r="R47" s="140">
        <f t="shared" si="27"/>
        <v>0.96470588235294075</v>
      </c>
      <c r="S47" s="688"/>
      <c r="T47" s="89">
        <v>0.24583333333333326</v>
      </c>
      <c r="U47" s="89">
        <v>0.28124999999999994</v>
      </c>
      <c r="V47" s="137">
        <v>15</v>
      </c>
      <c r="W47" s="143">
        <f t="shared" si="33"/>
        <v>51.000000000000021</v>
      </c>
      <c r="X47" s="123"/>
      <c r="Y47" s="123"/>
      <c r="Z47" s="124"/>
      <c r="AA47" s="124"/>
      <c r="AB47" s="673"/>
      <c r="AC47" s="673"/>
      <c r="AD47" s="500"/>
      <c r="AE47" s="500"/>
      <c r="AF47" s="144">
        <f t="shared" si="28"/>
        <v>-52.941176470588971</v>
      </c>
      <c r="AG47" s="495">
        <f t="shared" si="7"/>
        <v>0.96470588235294064</v>
      </c>
      <c r="AH47" s="705"/>
    </row>
    <row r="48" spans="1:34" s="145" customFormat="1" ht="19.2" customHeight="1">
      <c r="A48" s="712"/>
      <c r="B48" s="97" t="s">
        <v>125</v>
      </c>
      <c r="C48" s="133"/>
      <c r="D48" s="42" t="s">
        <v>172</v>
      </c>
      <c r="E48" s="148"/>
      <c r="F48" s="350">
        <v>11.86</v>
      </c>
      <c r="G48" s="137">
        <v>1270</v>
      </c>
      <c r="H48" s="45">
        <f t="shared" si="34"/>
        <v>15062.199999999999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1465.3846153846162</v>
      </c>
      <c r="O48" s="138">
        <f t="shared" si="30"/>
        <v>244.23076923076937</v>
      </c>
      <c r="P48" s="51">
        <f t="shared" si="31"/>
        <v>0</v>
      </c>
      <c r="Q48" s="139">
        <f t="shared" si="32"/>
        <v>-28.435897435897317</v>
      </c>
      <c r="R48" s="140">
        <f t="shared" si="27"/>
        <v>0.8957118675945086</v>
      </c>
      <c r="S48" s="688"/>
      <c r="T48" s="89">
        <v>0.29166666666666663</v>
      </c>
      <c r="U48" s="89">
        <v>0.32777777777777772</v>
      </c>
      <c r="V48" s="134">
        <v>15</v>
      </c>
      <c r="W48" s="143">
        <f t="shared" si="33"/>
        <v>51.999999999999972</v>
      </c>
      <c r="X48" s="123"/>
      <c r="Y48" s="123"/>
      <c r="Z48" s="124"/>
      <c r="AA48" s="124"/>
      <c r="AB48" s="673"/>
      <c r="AC48" s="673"/>
      <c r="AD48" s="500"/>
      <c r="AE48" s="500"/>
      <c r="AF48" s="144">
        <f t="shared" si="28"/>
        <v>-170.61538461538385</v>
      </c>
      <c r="AG48" s="495">
        <f t="shared" si="7"/>
        <v>0.8957118675945086</v>
      </c>
      <c r="AH48" s="705"/>
    </row>
    <row r="49" spans="1:34" s="145" customFormat="1" ht="19.2" customHeight="1">
      <c r="A49" s="712"/>
      <c r="B49" s="97" t="s">
        <v>127</v>
      </c>
      <c r="C49" s="133"/>
      <c r="D49" s="42" t="s">
        <v>64</v>
      </c>
      <c r="E49" s="148"/>
      <c r="F49" s="350">
        <v>10.09</v>
      </c>
      <c r="G49" s="134">
        <v>3536.52</v>
      </c>
      <c r="H49" s="45">
        <f t="shared" si="34"/>
        <v>35683.486799999999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1463.387586206896</v>
      </c>
      <c r="O49" s="138">
        <f t="shared" si="30"/>
        <v>243.89793103448267</v>
      </c>
      <c r="P49" s="51">
        <f t="shared" si="31"/>
        <v>0</v>
      </c>
      <c r="Q49" s="139">
        <f t="shared" si="32"/>
        <v>-6.1020689655173328</v>
      </c>
      <c r="R49" s="140">
        <f t="shared" si="27"/>
        <v>0.97559172413793072</v>
      </c>
      <c r="S49" s="688"/>
      <c r="T49" s="89">
        <v>0.34513888888888883</v>
      </c>
      <c r="U49" s="89">
        <v>0.4458333333333333</v>
      </c>
      <c r="V49" s="134">
        <v>25</v>
      </c>
      <c r="W49" s="143">
        <f t="shared" si="33"/>
        <v>145.00000000000006</v>
      </c>
      <c r="X49" s="152">
        <v>0.33194444444444443</v>
      </c>
      <c r="Y49" s="152">
        <v>0.3444444444444445</v>
      </c>
      <c r="Z49" s="153"/>
      <c r="AA49" s="124"/>
      <c r="AB49" s="673"/>
      <c r="AC49" s="673"/>
      <c r="AD49" s="500"/>
      <c r="AE49" s="500"/>
      <c r="AF49" s="144">
        <f t="shared" si="28"/>
        <v>-36.612413793103997</v>
      </c>
      <c r="AG49" s="495">
        <f t="shared" si="7"/>
        <v>0.97559172413793072</v>
      </c>
      <c r="AH49" s="705"/>
    </row>
    <row r="50" spans="1:34" s="145" customFormat="1" ht="19.2" customHeight="1">
      <c r="A50" s="712"/>
      <c r="B50" s="97" t="s">
        <v>127</v>
      </c>
      <c r="C50" s="133"/>
      <c r="D50" s="42" t="s">
        <v>64</v>
      </c>
      <c r="E50" s="148"/>
      <c r="F50" s="350">
        <v>10.09</v>
      </c>
      <c r="G50" s="134">
        <v>3128.46</v>
      </c>
      <c r="H50" s="45">
        <f t="shared" si="34"/>
        <v>31566.161400000001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1466.4656250000007</v>
      </c>
      <c r="O50" s="138">
        <f t="shared" si="30"/>
        <v>244.41093750000013</v>
      </c>
      <c r="P50" s="51">
        <f t="shared" si="31"/>
        <v>0</v>
      </c>
      <c r="Q50" s="139">
        <f t="shared" si="32"/>
        <v>-5.5890624999998693</v>
      </c>
      <c r="R50" s="140">
        <f t="shared" si="27"/>
        <v>0.97764375000000048</v>
      </c>
      <c r="S50" s="688"/>
      <c r="T50" s="89">
        <v>0.46319444444444441</v>
      </c>
      <c r="U50" s="89">
        <v>0.55208333333333326</v>
      </c>
      <c r="V50" s="134">
        <v>25</v>
      </c>
      <c r="W50" s="143">
        <f t="shared" si="33"/>
        <v>127.99999999999994</v>
      </c>
      <c r="X50" s="152">
        <v>0.45</v>
      </c>
      <c r="Y50" s="152">
        <v>0.46249999999999997</v>
      </c>
      <c r="Z50" s="153"/>
      <c r="AA50" s="153"/>
      <c r="AB50" s="673"/>
      <c r="AC50" s="673"/>
      <c r="AD50" s="500"/>
      <c r="AE50" s="500"/>
      <c r="AF50" s="144">
        <f t="shared" si="28"/>
        <v>-33.534374999999272</v>
      </c>
      <c r="AG50" s="495">
        <f t="shared" si="7"/>
        <v>0.97764375000000048</v>
      </c>
      <c r="AH50" s="705"/>
    </row>
    <row r="51" spans="1:34" s="145" customFormat="1" ht="19.2" customHeight="1">
      <c r="A51" s="712"/>
      <c r="B51" s="97">
        <v>0</v>
      </c>
      <c r="C51" s="133"/>
      <c r="D51" s="150"/>
      <c r="E51" s="148"/>
      <c r="F51" s="350" t="s">
        <v>128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688"/>
      <c r="T51" s="151"/>
      <c r="U51" s="151"/>
      <c r="V51" s="134" t="s">
        <v>15</v>
      </c>
      <c r="W51" s="143">
        <f t="shared" si="33"/>
        <v>0</v>
      </c>
      <c r="X51" s="152"/>
      <c r="Y51" s="152"/>
      <c r="Z51" s="153"/>
      <c r="AA51" s="153"/>
      <c r="AB51" s="673"/>
      <c r="AC51" s="673"/>
      <c r="AD51" s="500"/>
      <c r="AE51" s="500"/>
      <c r="AF51" s="144">
        <f t="shared" si="28"/>
        <v>0</v>
      </c>
      <c r="AG51" s="495" t="e">
        <f t="shared" si="7"/>
        <v>#DIV/0!</v>
      </c>
      <c r="AH51" s="705"/>
    </row>
    <row r="52" spans="1:34" s="145" customFormat="1" ht="19.2" customHeight="1">
      <c r="A52" s="712"/>
      <c r="B52" s="97">
        <v>0</v>
      </c>
      <c r="C52" s="133"/>
      <c r="D52" s="150"/>
      <c r="E52" s="148"/>
      <c r="F52" s="350" t="s">
        <v>128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688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673"/>
      <c r="AC52" s="673"/>
      <c r="AD52" s="500"/>
      <c r="AE52" s="500"/>
      <c r="AF52" s="144">
        <f t="shared" si="28"/>
        <v>0</v>
      </c>
      <c r="AG52" s="495" t="e">
        <f t="shared" si="7"/>
        <v>#DIV/0!</v>
      </c>
      <c r="AH52" s="705"/>
    </row>
    <row r="53" spans="1:34" s="145" customFormat="1" ht="19.2" customHeight="1">
      <c r="A53" s="712"/>
      <c r="B53" s="97">
        <v>0</v>
      </c>
      <c r="C53" s="133"/>
      <c r="D53" s="150"/>
      <c r="E53" s="148"/>
      <c r="F53" s="350" t="s">
        <v>128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93"/>
      <c r="S53" s="688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673"/>
      <c r="AC53" s="673"/>
      <c r="AD53" s="500"/>
      <c r="AE53" s="500"/>
      <c r="AF53" s="144">
        <f t="shared" si="28"/>
        <v>0</v>
      </c>
      <c r="AG53" s="495" t="e">
        <f t="shared" si="7"/>
        <v>#DIV/0!</v>
      </c>
      <c r="AH53" s="705"/>
    </row>
    <row r="54" spans="1:34" s="145" customFormat="1" ht="19.2" customHeight="1">
      <c r="A54" s="712"/>
      <c r="B54" s="156">
        <v>0</v>
      </c>
      <c r="C54" s="133"/>
      <c r="D54" s="150"/>
      <c r="E54" s="148"/>
      <c r="F54" s="351" t="s">
        <v>128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93"/>
      <c r="S54" s="688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673"/>
      <c r="AC54" s="673"/>
      <c r="AD54" s="500"/>
      <c r="AE54" s="500"/>
      <c r="AF54" s="144">
        <f t="shared" si="28"/>
        <v>0</v>
      </c>
      <c r="AG54" s="495" t="e">
        <f t="shared" si="7"/>
        <v>#DIV/0!</v>
      </c>
      <c r="AH54" s="705"/>
    </row>
    <row r="55" spans="1:34" s="145" customFormat="1" ht="19.2" customHeight="1">
      <c r="A55" s="712"/>
      <c r="B55" s="156">
        <v>0</v>
      </c>
      <c r="C55" s="133"/>
      <c r="D55" s="150"/>
      <c r="E55" s="148"/>
      <c r="F55" s="351" t="s">
        <v>128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93"/>
      <c r="S55" s="688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673"/>
      <c r="AC55" s="673"/>
      <c r="AD55" s="500"/>
      <c r="AE55" s="500"/>
      <c r="AF55" s="144"/>
      <c r="AG55" s="495"/>
      <c r="AH55" s="705"/>
    </row>
    <row r="56" spans="1:34" ht="19.2" customHeight="1">
      <c r="A56" s="713"/>
      <c r="B56" s="157">
        <v>0</v>
      </c>
      <c r="C56" s="268" t="s">
        <v>513</v>
      </c>
      <c r="D56" s="710" t="s">
        <v>514</v>
      </c>
      <c r="E56" s="669"/>
      <c r="F56" s="34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1645.8848418898135</v>
      </c>
      <c r="O56" s="104">
        <f t="shared" si="35"/>
        <v>284.59391738870568</v>
      </c>
      <c r="P56" s="158">
        <f>M56-J56</f>
        <v>0.28571428571428559</v>
      </c>
      <c r="Q56" s="117">
        <f>N56-K56</f>
        <v>-16.400872395900706</v>
      </c>
      <c r="R56" s="159">
        <f t="shared" ref="R56:R61" si="36">O56/L56</f>
        <v>0.90501678397740959</v>
      </c>
      <c r="S56" s="688"/>
      <c r="T56" s="160"/>
      <c r="U56" s="160"/>
      <c r="V56" s="488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673"/>
      <c r="AC56" s="673"/>
      <c r="AD56" s="107">
        <f>SUM(AD44:AD55)</f>
        <v>0</v>
      </c>
      <c r="AE56" s="107">
        <f>SUM(AE44:AE55)</f>
        <v>0</v>
      </c>
      <c r="AF56" s="162">
        <f>N56-K56</f>
        <v>-16.400872395900706</v>
      </c>
      <c r="AG56" s="493">
        <f>N56/K56</f>
        <v>0.99013354187252445</v>
      </c>
      <c r="AH56" s="705"/>
    </row>
    <row r="57" spans="1:34" ht="19.2" customHeight="1">
      <c r="A57" s="700" t="s">
        <v>515</v>
      </c>
      <c r="B57" s="121" t="s">
        <v>125</v>
      </c>
      <c r="C57" s="121"/>
      <c r="D57" s="42" t="s">
        <v>66</v>
      </c>
      <c r="E57" s="43"/>
      <c r="F57" s="343">
        <v>28.26</v>
      </c>
      <c r="G57" s="57">
        <v>972</v>
      </c>
      <c r="H57" s="84">
        <f t="shared" ref="H57:H66" si="37">F57*G57</f>
        <v>27468.720000000001</v>
      </c>
      <c r="I57" s="500"/>
      <c r="J57" s="87">
        <v>7</v>
      </c>
      <c r="K57" s="57">
        <v>1500</v>
      </c>
      <c r="L57" s="86">
        <v>214.28571428571428</v>
      </c>
      <c r="M57" s="489">
        <v>7</v>
      </c>
      <c r="N57" s="57">
        <f t="shared" ref="N57:N61" si="38">G57/W57*60</f>
        <v>1457.9999999999993</v>
      </c>
      <c r="O57" s="86">
        <f t="shared" ref="O57:O61" si="39">N57/M57</f>
        <v>208.28571428571419</v>
      </c>
      <c r="P57" s="165">
        <f t="shared" ref="P57:P61" si="40">M57-J57</f>
        <v>0</v>
      </c>
      <c r="Q57" s="49">
        <f t="shared" ref="Q57:Q61" si="41">O57-L57</f>
        <v>-6.0000000000000853</v>
      </c>
      <c r="R57" s="490">
        <f t="shared" si="36"/>
        <v>0.97199999999999964</v>
      </c>
      <c r="S57" s="688">
        <f>R69</f>
        <v>0.98419156144167064</v>
      </c>
      <c r="T57" s="50">
        <v>0.125</v>
      </c>
      <c r="U57" s="50">
        <v>0.15277777777777779</v>
      </c>
      <c r="V57" s="486">
        <v>5</v>
      </c>
      <c r="W57" s="483">
        <f>(U57-T57)*24*60</f>
        <v>40.000000000000014</v>
      </c>
      <c r="X57" s="53"/>
      <c r="Y57" s="53"/>
      <c r="Z57" s="54"/>
      <c r="AA57" s="54"/>
      <c r="AB57" s="673"/>
      <c r="AC57" s="673"/>
      <c r="AD57" s="500"/>
      <c r="AE57" s="500"/>
      <c r="AF57" s="48">
        <f t="shared" si="6"/>
        <v>-42.000000000000682</v>
      </c>
      <c r="AG57" s="494">
        <f t="shared" si="7"/>
        <v>0.97199999999999953</v>
      </c>
      <c r="AH57" s="687">
        <f>AG69</f>
        <v>0.98396589413245361</v>
      </c>
    </row>
    <row r="58" spans="1:34" ht="19.2" customHeight="1">
      <c r="A58" s="701"/>
      <c r="B58" s="121" t="s">
        <v>125</v>
      </c>
      <c r="C58" s="500"/>
      <c r="D58" s="42" t="s">
        <v>67</v>
      </c>
      <c r="E58" s="43"/>
      <c r="F58" s="343">
        <v>27.88</v>
      </c>
      <c r="G58" s="44">
        <v>2822</v>
      </c>
      <c r="H58" s="45">
        <f t="shared" si="37"/>
        <v>78677.36</v>
      </c>
      <c r="I58" s="486"/>
      <c r="J58" s="46">
        <v>7</v>
      </c>
      <c r="K58" s="44">
        <v>1500</v>
      </c>
      <c r="L58" s="86">
        <v>214.28571428571428</v>
      </c>
      <c r="M58" s="484">
        <v>7</v>
      </c>
      <c r="N58" s="44">
        <f t="shared" si="38"/>
        <v>1472.3478260869565</v>
      </c>
      <c r="O58" s="47">
        <f t="shared" si="39"/>
        <v>210.33540372670808</v>
      </c>
      <c r="P58" s="165">
        <f t="shared" si="40"/>
        <v>0</v>
      </c>
      <c r="Q58" s="49">
        <f t="shared" si="41"/>
        <v>-3.9503105590061978</v>
      </c>
      <c r="R58" s="490">
        <f t="shared" si="36"/>
        <v>0.98156521739130442</v>
      </c>
      <c r="S58" s="688"/>
      <c r="T58" s="50">
        <v>0.15972222222222224</v>
      </c>
      <c r="U58" s="50">
        <v>0.23958333333333334</v>
      </c>
      <c r="V58" s="486">
        <v>10</v>
      </c>
      <c r="W58" s="483">
        <f>(U58-T58)*24*60</f>
        <v>114.99999999999999</v>
      </c>
      <c r="X58" s="53"/>
      <c r="Y58" s="53"/>
      <c r="Z58" s="54"/>
      <c r="AA58" s="54"/>
      <c r="AB58" s="706"/>
      <c r="AC58" s="707"/>
      <c r="AD58" s="500"/>
      <c r="AE58" s="500"/>
      <c r="AF58" s="48">
        <f t="shared" si="6"/>
        <v>-27.652173913043498</v>
      </c>
      <c r="AG58" s="490">
        <f t="shared" si="7"/>
        <v>0.98156521739130431</v>
      </c>
      <c r="AH58" s="688"/>
    </row>
    <row r="59" spans="1:34" ht="19.2" customHeight="1">
      <c r="A59" s="701"/>
      <c r="B59" s="121" t="s">
        <v>125</v>
      </c>
      <c r="C59" s="500"/>
      <c r="D59" s="42" t="s">
        <v>68</v>
      </c>
      <c r="E59" s="43"/>
      <c r="F59" s="343">
        <v>28</v>
      </c>
      <c r="G59" s="44">
        <v>2676</v>
      </c>
      <c r="H59" s="45">
        <f t="shared" si="37"/>
        <v>74928</v>
      </c>
      <c r="I59" s="486"/>
      <c r="J59" s="46">
        <v>7</v>
      </c>
      <c r="K59" s="44">
        <v>1500</v>
      </c>
      <c r="L59" s="86">
        <v>214.28571428571428</v>
      </c>
      <c r="M59" s="484">
        <v>7</v>
      </c>
      <c r="N59" s="44">
        <f t="shared" si="38"/>
        <v>1486.6666666666665</v>
      </c>
      <c r="O59" s="47">
        <f t="shared" si="39"/>
        <v>212.38095238095235</v>
      </c>
      <c r="P59" s="165">
        <f t="shared" si="40"/>
        <v>0</v>
      </c>
      <c r="Q59" s="49">
        <f t="shared" si="41"/>
        <v>-1.9047619047619264</v>
      </c>
      <c r="R59" s="490">
        <f t="shared" si="36"/>
        <v>0.99111111111111105</v>
      </c>
      <c r="S59" s="688"/>
      <c r="T59" s="50">
        <v>0.25</v>
      </c>
      <c r="U59" s="50">
        <v>0.32500000000000001</v>
      </c>
      <c r="V59" s="142">
        <v>15</v>
      </c>
      <c r="W59" s="483">
        <f t="shared" ref="W59:W69" si="42">(U59-T59)*24*60</f>
        <v>108.00000000000001</v>
      </c>
      <c r="X59" s="53"/>
      <c r="Y59" s="53"/>
      <c r="Z59" s="54"/>
      <c r="AA59" s="54"/>
      <c r="AB59" s="673"/>
      <c r="AC59" s="673"/>
      <c r="AD59" s="500">
        <v>1</v>
      </c>
      <c r="AE59" s="500"/>
      <c r="AF59" s="48">
        <f t="shared" si="6"/>
        <v>-13.333333333333485</v>
      </c>
      <c r="AG59" s="490">
        <f t="shared" si="7"/>
        <v>0.99111111111111105</v>
      </c>
      <c r="AH59" s="688"/>
    </row>
    <row r="60" spans="1:34" ht="19.2" customHeight="1">
      <c r="A60" s="701"/>
      <c r="B60" s="121" t="s">
        <v>127</v>
      </c>
      <c r="C60" s="500"/>
      <c r="D60" s="42" t="s">
        <v>64</v>
      </c>
      <c r="E60" s="43"/>
      <c r="F60" s="343">
        <v>10.09</v>
      </c>
      <c r="G60" s="44">
        <v>3264.48</v>
      </c>
      <c r="H60" s="45">
        <f t="shared" si="37"/>
        <v>32938.603199999998</v>
      </c>
      <c r="I60" s="486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1483.8545454545454</v>
      </c>
      <c r="O60" s="47">
        <f t="shared" si="39"/>
        <v>247.30909090909088</v>
      </c>
      <c r="P60" s="165">
        <f t="shared" si="40"/>
        <v>0</v>
      </c>
      <c r="Q60" s="49">
        <f t="shared" si="41"/>
        <v>-2.6909090909091162</v>
      </c>
      <c r="R60" s="490">
        <f t="shared" si="36"/>
        <v>0.98923636363636358</v>
      </c>
      <c r="S60" s="688"/>
      <c r="T60" s="50">
        <v>0.34236111111111112</v>
      </c>
      <c r="U60" s="50">
        <v>0.43402777777777779</v>
      </c>
      <c r="V60" s="142">
        <v>25</v>
      </c>
      <c r="W60" s="483">
        <f t="shared" si="42"/>
        <v>132</v>
      </c>
      <c r="X60" s="53">
        <v>0.32916666666666666</v>
      </c>
      <c r="Y60" s="53">
        <v>0.34166666666666662</v>
      </c>
      <c r="Z60" s="54"/>
      <c r="AA60" s="54"/>
      <c r="AB60" s="673"/>
      <c r="AC60" s="673"/>
      <c r="AD60" s="500"/>
      <c r="AE60" s="500"/>
      <c r="AF60" s="48">
        <f t="shared" si="6"/>
        <v>-16.145454545454641</v>
      </c>
      <c r="AG60" s="494">
        <f t="shared" si="7"/>
        <v>0.98923636363636358</v>
      </c>
      <c r="AH60" s="688"/>
    </row>
    <row r="61" spans="1:34" ht="19.2" customHeight="1">
      <c r="A61" s="701"/>
      <c r="B61" s="121" t="s">
        <v>127</v>
      </c>
      <c r="C61" s="500"/>
      <c r="D61" s="42" t="s">
        <v>64</v>
      </c>
      <c r="E61" s="43"/>
      <c r="F61" s="343">
        <v>10.09</v>
      </c>
      <c r="G61" s="44">
        <v>3672.5400000000004</v>
      </c>
      <c r="H61" s="45">
        <f t="shared" si="37"/>
        <v>37055.928600000007</v>
      </c>
      <c r="I61" s="486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1478.8751677852347</v>
      </c>
      <c r="O61" s="47">
        <f t="shared" si="39"/>
        <v>246.47919463087246</v>
      </c>
      <c r="P61" s="165">
        <f t="shared" si="40"/>
        <v>0</v>
      </c>
      <c r="Q61" s="49">
        <f t="shared" si="41"/>
        <v>-3.5208053691275438</v>
      </c>
      <c r="R61" s="490">
        <f t="shared" si="36"/>
        <v>0.9859167785234898</v>
      </c>
      <c r="S61" s="688"/>
      <c r="T61" s="50">
        <v>0.4513888888888889</v>
      </c>
      <c r="U61" s="50">
        <v>0.55486111111111114</v>
      </c>
      <c r="V61" s="142">
        <v>25</v>
      </c>
      <c r="W61" s="483">
        <f t="shared" si="42"/>
        <v>149.00000000000003</v>
      </c>
      <c r="X61" s="53">
        <v>0.43888888888888888</v>
      </c>
      <c r="Y61" s="53">
        <v>0.45</v>
      </c>
      <c r="Z61" s="54"/>
      <c r="AA61" s="54"/>
      <c r="AB61" s="673"/>
      <c r="AC61" s="673"/>
      <c r="AD61" s="500"/>
      <c r="AE61" s="500"/>
      <c r="AF61" s="48">
        <f t="shared" si="6"/>
        <v>-21.12483221476532</v>
      </c>
      <c r="AG61" s="490">
        <f t="shared" si="7"/>
        <v>0.9859167785234898</v>
      </c>
      <c r="AH61" s="688"/>
    </row>
    <row r="62" spans="1:34" ht="19.2" customHeight="1">
      <c r="A62" s="701"/>
      <c r="B62" s="121">
        <v>0</v>
      </c>
      <c r="C62" s="500"/>
      <c r="D62" s="42"/>
      <c r="E62" s="43"/>
      <c r="F62" s="343" t="s">
        <v>128</v>
      </c>
      <c r="G62" s="134"/>
      <c r="H62" s="45">
        <f t="shared" si="37"/>
        <v>0</v>
      </c>
      <c r="I62" s="486"/>
      <c r="J62" s="46"/>
      <c r="K62" s="44"/>
      <c r="L62" s="86"/>
      <c r="M62" s="62"/>
      <c r="N62" s="44"/>
      <c r="O62" s="47"/>
      <c r="P62" s="165"/>
      <c r="Q62" s="49"/>
      <c r="R62" s="490"/>
      <c r="S62" s="688"/>
      <c r="T62" s="166"/>
      <c r="U62" s="166"/>
      <c r="V62" s="142"/>
      <c r="W62" s="483">
        <f t="shared" si="42"/>
        <v>0</v>
      </c>
      <c r="X62" s="53"/>
      <c r="Y62" s="53"/>
      <c r="Z62" s="54"/>
      <c r="AA62" s="54"/>
      <c r="AB62" s="673"/>
      <c r="AC62" s="673"/>
      <c r="AD62" s="500"/>
      <c r="AE62" s="500"/>
      <c r="AF62" s="48">
        <f t="shared" si="6"/>
        <v>0</v>
      </c>
      <c r="AG62" s="490" t="e">
        <f t="shared" si="7"/>
        <v>#DIV/0!</v>
      </c>
      <c r="AH62" s="688"/>
    </row>
    <row r="63" spans="1:34" ht="19.2" customHeight="1">
      <c r="A63" s="701"/>
      <c r="B63" s="121">
        <v>0</v>
      </c>
      <c r="C63" s="500"/>
      <c r="D63" s="42"/>
      <c r="E63" s="43"/>
      <c r="F63" s="343" t="s">
        <v>128</v>
      </c>
      <c r="G63" s="134"/>
      <c r="H63" s="45">
        <f t="shared" si="37"/>
        <v>0</v>
      </c>
      <c r="I63" s="486"/>
      <c r="J63" s="46"/>
      <c r="K63" s="44"/>
      <c r="L63" s="86"/>
      <c r="M63" s="62" t="s">
        <v>15</v>
      </c>
      <c r="N63" s="44"/>
      <c r="O63" s="47"/>
      <c r="P63" s="165"/>
      <c r="Q63" s="49"/>
      <c r="R63" s="490"/>
      <c r="S63" s="688"/>
      <c r="T63" s="166"/>
      <c r="U63" s="166"/>
      <c r="V63" s="142"/>
      <c r="W63" s="483">
        <f t="shared" si="42"/>
        <v>0</v>
      </c>
      <c r="X63" s="53"/>
      <c r="Y63" s="53"/>
      <c r="Z63" s="54"/>
      <c r="AA63" s="54"/>
      <c r="AB63" s="673"/>
      <c r="AC63" s="673"/>
      <c r="AD63" s="500"/>
      <c r="AE63" s="500"/>
      <c r="AF63" s="48">
        <f t="shared" si="6"/>
        <v>0</v>
      </c>
      <c r="AG63" s="494" t="e">
        <f t="shared" si="7"/>
        <v>#DIV/0!</v>
      </c>
      <c r="AH63" s="688"/>
    </row>
    <row r="64" spans="1:34" ht="19.2" customHeight="1">
      <c r="A64" s="702"/>
      <c r="B64" s="163">
        <v>0</v>
      </c>
      <c r="C64" s="393"/>
      <c r="D64" s="42"/>
      <c r="E64" s="43"/>
      <c r="F64" s="343" t="s">
        <v>128</v>
      </c>
      <c r="G64" s="134"/>
      <c r="H64" s="45">
        <f t="shared" si="37"/>
        <v>0</v>
      </c>
      <c r="I64" s="486"/>
      <c r="J64" s="167"/>
      <c r="K64" s="61"/>
      <c r="L64" s="86"/>
      <c r="M64" s="62"/>
      <c r="N64" s="44"/>
      <c r="O64" s="47"/>
      <c r="P64" s="165"/>
      <c r="Q64" s="49"/>
      <c r="R64" s="490"/>
      <c r="S64" s="688"/>
      <c r="T64" s="166"/>
      <c r="U64" s="166"/>
      <c r="V64" s="142"/>
      <c r="W64" s="483">
        <f t="shared" si="42"/>
        <v>0</v>
      </c>
      <c r="X64" s="486"/>
      <c r="Y64" s="486"/>
      <c r="Z64" s="54"/>
      <c r="AA64" s="54"/>
      <c r="AB64" s="673"/>
      <c r="AC64" s="673"/>
      <c r="AD64" s="500"/>
      <c r="AE64" s="500"/>
      <c r="AF64" s="48">
        <f t="shared" si="6"/>
        <v>0</v>
      </c>
      <c r="AG64" s="490" t="e">
        <f t="shared" si="7"/>
        <v>#DIV/0!</v>
      </c>
      <c r="AH64" s="688"/>
    </row>
    <row r="65" spans="1:34" ht="19.2" customHeight="1">
      <c r="A65" s="702"/>
      <c r="B65" s="97">
        <v>0</v>
      </c>
      <c r="C65" s="496"/>
      <c r="D65" s="42"/>
      <c r="E65" s="43"/>
      <c r="F65" s="343" t="s">
        <v>128</v>
      </c>
      <c r="G65" s="134"/>
      <c r="H65" s="45">
        <f t="shared" si="37"/>
        <v>0</v>
      </c>
      <c r="I65" s="486"/>
      <c r="J65" s="167"/>
      <c r="K65" s="61"/>
      <c r="L65" s="86"/>
      <c r="M65" s="62"/>
      <c r="N65" s="61"/>
      <c r="O65" s="77"/>
      <c r="P65" s="48"/>
      <c r="Q65" s="49"/>
      <c r="R65" s="490"/>
      <c r="S65" s="688"/>
      <c r="T65" s="166"/>
      <c r="U65" s="166"/>
      <c r="V65" s="142"/>
      <c r="W65" s="483">
        <f t="shared" si="42"/>
        <v>0</v>
      </c>
      <c r="X65" s="486"/>
      <c r="Y65" s="486"/>
      <c r="Z65" s="54"/>
      <c r="AA65" s="54"/>
      <c r="AB65" s="673"/>
      <c r="AC65" s="673"/>
      <c r="AD65" s="500"/>
      <c r="AE65" s="500"/>
      <c r="AF65" s="48">
        <f t="shared" si="6"/>
        <v>0</v>
      </c>
      <c r="AG65" s="490" t="e">
        <f t="shared" si="7"/>
        <v>#DIV/0!</v>
      </c>
      <c r="AH65" s="688"/>
    </row>
    <row r="66" spans="1:34" ht="19.2" customHeight="1">
      <c r="A66" s="702"/>
      <c r="B66" s="97">
        <v>0</v>
      </c>
      <c r="C66" s="496"/>
      <c r="D66" s="42"/>
      <c r="E66" s="43"/>
      <c r="F66" s="343" t="s">
        <v>128</v>
      </c>
      <c r="G66" s="134"/>
      <c r="H66" s="45">
        <f t="shared" si="37"/>
        <v>0</v>
      </c>
      <c r="I66" s="486"/>
      <c r="J66" s="167"/>
      <c r="K66" s="61"/>
      <c r="L66" s="86"/>
      <c r="M66" s="62"/>
      <c r="N66" s="61"/>
      <c r="O66" s="77"/>
      <c r="P66" s="48"/>
      <c r="Q66" s="49"/>
      <c r="R66" s="490"/>
      <c r="S66" s="688"/>
      <c r="T66" s="166"/>
      <c r="U66" s="166"/>
      <c r="V66" s="142"/>
      <c r="W66" s="483">
        <f t="shared" si="42"/>
        <v>0</v>
      </c>
      <c r="X66" s="486"/>
      <c r="Y66" s="486"/>
      <c r="Z66" s="54"/>
      <c r="AA66" s="54"/>
      <c r="AB66" s="673"/>
      <c r="AC66" s="673"/>
      <c r="AD66" s="500"/>
      <c r="AE66" s="500"/>
      <c r="AF66" s="48">
        <f t="shared" si="6"/>
        <v>0</v>
      </c>
      <c r="AG66" s="494" t="e">
        <f t="shared" si="7"/>
        <v>#DIV/0!</v>
      </c>
      <c r="AH66" s="688"/>
    </row>
    <row r="67" spans="1:34" ht="19.2" customHeight="1">
      <c r="A67" s="702"/>
      <c r="B67" s="97">
        <v>0</v>
      </c>
      <c r="C67" s="496"/>
      <c r="D67" s="42"/>
      <c r="E67" s="43"/>
      <c r="F67" s="343" t="s">
        <v>128</v>
      </c>
      <c r="G67" s="134"/>
      <c r="H67" s="45">
        <f>F67*G67</f>
        <v>0</v>
      </c>
      <c r="I67" s="486"/>
      <c r="J67" s="167"/>
      <c r="K67" s="61"/>
      <c r="L67" s="86"/>
      <c r="M67" s="62"/>
      <c r="N67" s="61"/>
      <c r="O67" s="77"/>
      <c r="P67" s="48"/>
      <c r="Q67" s="49"/>
      <c r="R67" s="490"/>
      <c r="S67" s="688"/>
      <c r="T67" s="166"/>
      <c r="U67" s="166"/>
      <c r="V67" s="142"/>
      <c r="W67" s="483">
        <f t="shared" si="42"/>
        <v>0</v>
      </c>
      <c r="X67" s="486"/>
      <c r="Y67" s="486"/>
      <c r="Z67" s="54"/>
      <c r="AA67" s="54"/>
      <c r="AB67" s="673"/>
      <c r="AC67" s="673"/>
      <c r="AD67" s="500"/>
      <c r="AE67" s="500"/>
      <c r="AF67" s="48">
        <f t="shared" si="6"/>
        <v>0</v>
      </c>
      <c r="AG67" s="490" t="e">
        <f t="shared" si="7"/>
        <v>#DIV/0!</v>
      </c>
      <c r="AH67" s="688"/>
    </row>
    <row r="68" spans="1:34" ht="19.2" customHeight="1">
      <c r="A68" s="702"/>
      <c r="B68" s="486">
        <v>0</v>
      </c>
      <c r="C68" s="496"/>
      <c r="D68" s="42"/>
      <c r="E68" s="43"/>
      <c r="F68" s="350" t="s">
        <v>128</v>
      </c>
      <c r="G68" s="134"/>
      <c r="H68" s="45">
        <f>F68*G68</f>
        <v>0</v>
      </c>
      <c r="I68" s="486"/>
      <c r="J68" s="167"/>
      <c r="K68" s="61"/>
      <c r="L68" s="86"/>
      <c r="M68" s="62"/>
      <c r="N68" s="61"/>
      <c r="O68" s="77"/>
      <c r="P68" s="48"/>
      <c r="Q68" s="49"/>
      <c r="R68" s="490"/>
      <c r="S68" s="688"/>
      <c r="T68" s="166"/>
      <c r="U68" s="166"/>
      <c r="V68" s="142"/>
      <c r="W68" s="483">
        <f t="shared" si="42"/>
        <v>0</v>
      </c>
      <c r="X68" s="486"/>
      <c r="Y68" s="486"/>
      <c r="Z68" s="54"/>
      <c r="AA68" s="54"/>
      <c r="AB68" s="673"/>
      <c r="AC68" s="673"/>
      <c r="AD68" s="500"/>
      <c r="AE68" s="500"/>
      <c r="AF68" s="48"/>
      <c r="AG68" s="490"/>
      <c r="AH68" s="688"/>
    </row>
    <row r="69" spans="1:34" ht="19.2" customHeight="1">
      <c r="A69" s="702"/>
      <c r="B69" s="168">
        <v>0</v>
      </c>
      <c r="C69" s="6" t="s">
        <v>516</v>
      </c>
      <c r="D69" s="669" t="s">
        <v>517</v>
      </c>
      <c r="E69" s="669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1475.9488411986804</v>
      </c>
      <c r="O69" s="73">
        <f t="shared" si="43"/>
        <v>224.95807118666758</v>
      </c>
      <c r="P69" s="48">
        <f>M69-J69</f>
        <v>0</v>
      </c>
      <c r="Q69" s="49">
        <f>N69-K69</f>
        <v>-24.051158801319616</v>
      </c>
      <c r="R69" s="172">
        <f t="shared" ref="R69:R75" si="44">O69/L69</f>
        <v>0.98419156144167064</v>
      </c>
      <c r="S69" s="688"/>
      <c r="T69" s="141"/>
      <c r="U69" s="141"/>
      <c r="V69" s="44"/>
      <c r="W69" s="48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673"/>
      <c r="AC69" s="673"/>
      <c r="AD69" s="107">
        <f>SUM(AD57:AD68)</f>
        <v>1</v>
      </c>
      <c r="AE69" s="107">
        <f>SUM(AE57:AE68)</f>
        <v>0</v>
      </c>
      <c r="AF69" s="48">
        <f t="shared" si="6"/>
        <v>-24.051158801319616</v>
      </c>
      <c r="AG69" s="490">
        <f t="shared" si="7"/>
        <v>0.98396589413245361</v>
      </c>
      <c r="AH69" s="688"/>
    </row>
    <row r="70" spans="1:34" ht="19.2" customHeight="1">
      <c r="A70" s="703" t="s">
        <v>518</v>
      </c>
      <c r="B70" s="486" t="s">
        <v>127</v>
      </c>
      <c r="C70" s="97"/>
      <c r="D70" s="42" t="s">
        <v>138</v>
      </c>
      <c r="E70" s="43"/>
      <c r="F70" s="343">
        <v>54.09</v>
      </c>
      <c r="G70" s="57">
        <v>682.5</v>
      </c>
      <c r="H70" s="45">
        <f>F70*G70</f>
        <v>36916.425000000003</v>
      </c>
      <c r="I70" s="486"/>
      <c r="J70" s="46">
        <v>16</v>
      </c>
      <c r="K70" s="44">
        <v>1500</v>
      </c>
      <c r="L70" s="47">
        <v>93.75</v>
      </c>
      <c r="M70" s="484">
        <v>17</v>
      </c>
      <c r="N70" s="44">
        <f t="shared" ref="N70:N75" si="45">G70/W70*60</f>
        <v>1412.0689655172425</v>
      </c>
      <c r="O70" s="47">
        <f t="shared" ref="O70:O75" si="46">N70/M70</f>
        <v>83.062880324543684</v>
      </c>
      <c r="P70" s="48">
        <f t="shared" ref="P70:P75" si="47">M70-J70</f>
        <v>1</v>
      </c>
      <c r="Q70" s="49">
        <f t="shared" ref="Q70:Q75" si="48">O70-L70</f>
        <v>-10.687119675456316</v>
      </c>
      <c r="R70" s="490">
        <f t="shared" si="44"/>
        <v>0.88600405679513261</v>
      </c>
      <c r="S70" s="688">
        <f>R82</f>
        <v>0.90011969916369261</v>
      </c>
      <c r="T70" s="50">
        <v>0.25</v>
      </c>
      <c r="U70" s="50">
        <v>0.27013888888888887</v>
      </c>
      <c r="V70" s="486">
        <v>5</v>
      </c>
      <c r="W70" s="483">
        <f>(U70-T70)*24*60</f>
        <v>28.999999999999979</v>
      </c>
      <c r="X70" s="486"/>
      <c r="Y70" s="486"/>
      <c r="Z70" s="54"/>
      <c r="AA70" s="54"/>
      <c r="AB70" s="673"/>
      <c r="AC70" s="673"/>
      <c r="AD70" s="500"/>
      <c r="AE70" s="500"/>
      <c r="AF70" s="48">
        <f t="shared" si="6"/>
        <v>-87.931034482757468</v>
      </c>
      <c r="AG70" s="490">
        <f t="shared" si="7"/>
        <v>0.94137931034482836</v>
      </c>
      <c r="AH70" s="688">
        <f>AG82</f>
        <v>0.90830710672588211</v>
      </c>
    </row>
    <row r="71" spans="1:34" ht="19.2" customHeight="1">
      <c r="A71" s="703"/>
      <c r="B71" s="486" t="s">
        <v>123</v>
      </c>
      <c r="C71" s="41"/>
      <c r="D71" s="173" t="s">
        <v>69</v>
      </c>
      <c r="E71" s="43"/>
      <c r="F71" s="343">
        <v>53.36</v>
      </c>
      <c r="G71" s="44">
        <v>2480.64</v>
      </c>
      <c r="H71" s="45">
        <f>F71*G71</f>
        <v>132366.9504</v>
      </c>
      <c r="I71" s="486"/>
      <c r="J71" s="46">
        <v>19</v>
      </c>
      <c r="K71" s="174">
        <v>1636</v>
      </c>
      <c r="L71" s="47">
        <v>86.10526315789474</v>
      </c>
      <c r="M71" s="489">
        <v>19</v>
      </c>
      <c r="N71" s="44">
        <f t="shared" si="45"/>
        <v>1459.1999999999994</v>
      </c>
      <c r="O71" s="47">
        <f t="shared" si="46"/>
        <v>76.799999999999969</v>
      </c>
      <c r="P71" s="48">
        <f t="shared" si="47"/>
        <v>0</v>
      </c>
      <c r="Q71" s="49">
        <f t="shared" si="48"/>
        <v>-9.3052631578947711</v>
      </c>
      <c r="R71" s="490">
        <f t="shared" si="44"/>
        <v>0.89193154034229793</v>
      </c>
      <c r="S71" s="688"/>
      <c r="T71" s="50">
        <v>0.27499999999999997</v>
      </c>
      <c r="U71" s="50">
        <v>0.34583333333333333</v>
      </c>
      <c r="V71" s="486">
        <v>7</v>
      </c>
      <c r="W71" s="483">
        <f t="shared" ref="W71:W81" si="49">(U71-T71)*24*60</f>
        <v>102.00000000000004</v>
      </c>
      <c r="X71" s="53"/>
      <c r="Y71" s="53"/>
      <c r="Z71" s="54"/>
      <c r="AA71" s="54"/>
      <c r="AB71" s="673"/>
      <c r="AC71" s="673"/>
      <c r="AD71" s="500"/>
      <c r="AE71" s="500"/>
      <c r="AF71" s="48">
        <f>N71-K71</f>
        <v>-176.80000000000064</v>
      </c>
      <c r="AG71" s="490">
        <f>N71/K71</f>
        <v>0.89193154034229793</v>
      </c>
      <c r="AH71" s="688"/>
    </row>
    <row r="72" spans="1:34" ht="19.2" customHeight="1">
      <c r="A72" s="703"/>
      <c r="B72" s="486" t="s">
        <v>123</v>
      </c>
      <c r="C72" s="66"/>
      <c r="D72" s="173" t="s">
        <v>69</v>
      </c>
      <c r="E72" s="43"/>
      <c r="F72" s="343">
        <v>53.36</v>
      </c>
      <c r="G72" s="44">
        <v>1871.36</v>
      </c>
      <c r="H72" s="45">
        <f t="shared" ref="H72:H80" si="50">F72*G72</f>
        <v>99855.7696</v>
      </c>
      <c r="I72" s="486"/>
      <c r="J72" s="87">
        <v>19</v>
      </c>
      <c r="K72" s="57">
        <v>1636</v>
      </c>
      <c r="L72" s="86">
        <v>86.10526315789474</v>
      </c>
      <c r="M72" s="484">
        <v>19</v>
      </c>
      <c r="N72" s="44">
        <f t="shared" si="45"/>
        <v>1458.202597402598</v>
      </c>
      <c r="O72" s="47">
        <f t="shared" si="46"/>
        <v>76.747505126452523</v>
      </c>
      <c r="P72" s="48">
        <f t="shared" si="47"/>
        <v>0</v>
      </c>
      <c r="Q72" s="49">
        <f t="shared" si="48"/>
        <v>-9.3577580314422164</v>
      </c>
      <c r="R72" s="490">
        <f t="shared" si="44"/>
        <v>0.89132188105293275</v>
      </c>
      <c r="S72" s="688"/>
      <c r="T72" s="50">
        <v>0.3611111111111111</v>
      </c>
      <c r="U72" s="50">
        <v>0.4145833333333333</v>
      </c>
      <c r="V72" s="486">
        <v>22</v>
      </c>
      <c r="W72" s="483">
        <f t="shared" si="49"/>
        <v>76.999999999999972</v>
      </c>
      <c r="X72" s="53">
        <v>0.35000000000000003</v>
      </c>
      <c r="Y72" s="53">
        <v>0.35972222222222222</v>
      </c>
      <c r="Z72" s="54"/>
      <c r="AA72" s="54"/>
      <c r="AB72" s="673"/>
      <c r="AC72" s="673"/>
      <c r="AD72" s="500"/>
      <c r="AE72" s="500"/>
      <c r="AF72" s="48">
        <f>N72-K72</f>
        <v>-177.79740259740197</v>
      </c>
      <c r="AG72" s="490">
        <f>N72/K72</f>
        <v>0.89132188105293275</v>
      </c>
      <c r="AH72" s="688"/>
    </row>
    <row r="73" spans="1:34" ht="19.2" customHeight="1">
      <c r="A73" s="703"/>
      <c r="B73" s="486" t="s">
        <v>123</v>
      </c>
      <c r="C73" s="175"/>
      <c r="D73" s="176" t="s">
        <v>71</v>
      </c>
      <c r="E73" s="177"/>
      <c r="F73" s="343">
        <v>47.51</v>
      </c>
      <c r="G73" s="44">
        <v>1593</v>
      </c>
      <c r="H73" s="45">
        <f t="shared" si="50"/>
        <v>75683.429999999993</v>
      </c>
      <c r="I73" s="500"/>
      <c r="J73" s="178">
        <v>17</v>
      </c>
      <c r="K73" s="179">
        <v>1440</v>
      </c>
      <c r="L73" s="86">
        <v>84.705882352941174</v>
      </c>
      <c r="M73" s="489">
        <v>17</v>
      </c>
      <c r="N73" s="44">
        <f t="shared" si="45"/>
        <v>1346.1971830985917</v>
      </c>
      <c r="O73" s="47">
        <f t="shared" si="46"/>
        <v>79.188069594034801</v>
      </c>
      <c r="P73" s="48">
        <f t="shared" si="47"/>
        <v>0</v>
      </c>
      <c r="Q73" s="49">
        <f t="shared" si="48"/>
        <v>-5.5178127589063735</v>
      </c>
      <c r="R73" s="490">
        <f t="shared" si="44"/>
        <v>0.9348591549295775</v>
      </c>
      <c r="S73" s="688"/>
      <c r="T73" s="50">
        <v>0.4194444444444444</v>
      </c>
      <c r="U73" s="50">
        <v>0.46874999999999994</v>
      </c>
      <c r="V73" s="486">
        <v>7</v>
      </c>
      <c r="W73" s="483">
        <f t="shared" si="49"/>
        <v>70.999999999999986</v>
      </c>
      <c r="X73" s="180"/>
      <c r="Y73" s="180"/>
      <c r="Z73" s="124"/>
      <c r="AA73" s="124"/>
      <c r="AB73" s="673"/>
      <c r="AC73" s="673"/>
      <c r="AD73" s="500"/>
      <c r="AE73" s="500"/>
      <c r="AF73" s="48">
        <f>N73-K73</f>
        <v>-93.802816901408278</v>
      </c>
      <c r="AG73" s="490">
        <f>N73/K73</f>
        <v>0.93485915492957761</v>
      </c>
      <c r="AH73" s="688"/>
    </row>
    <row r="74" spans="1:34" ht="19.2" customHeight="1">
      <c r="A74" s="703"/>
      <c r="B74" s="486" t="s">
        <v>127</v>
      </c>
      <c r="C74" s="175"/>
      <c r="D74" s="176" t="s">
        <v>76</v>
      </c>
      <c r="E74" s="177"/>
      <c r="F74" s="343">
        <v>56.43</v>
      </c>
      <c r="G74" s="44">
        <v>817</v>
      </c>
      <c r="H74" s="45">
        <f t="shared" si="50"/>
        <v>46103.31</v>
      </c>
      <c r="I74" s="486"/>
      <c r="J74" s="46">
        <v>18</v>
      </c>
      <c r="K74" s="174">
        <v>1500</v>
      </c>
      <c r="L74" s="47">
        <v>83.333333333333329</v>
      </c>
      <c r="M74" s="484">
        <v>18</v>
      </c>
      <c r="N74" s="44">
        <f t="shared" si="45"/>
        <v>1289.9999999999989</v>
      </c>
      <c r="O74" s="47">
        <f t="shared" si="46"/>
        <v>71.6666666666666</v>
      </c>
      <c r="P74" s="48">
        <f t="shared" si="47"/>
        <v>0</v>
      </c>
      <c r="Q74" s="49">
        <f t="shared" si="48"/>
        <v>-11.666666666666728</v>
      </c>
      <c r="R74" s="490">
        <f t="shared" si="44"/>
        <v>0.85999999999999921</v>
      </c>
      <c r="S74" s="688"/>
      <c r="T74" s="50">
        <v>0.50902777777777775</v>
      </c>
      <c r="U74" s="50">
        <v>0.53541666666666665</v>
      </c>
      <c r="V74" s="486">
        <v>5</v>
      </c>
      <c r="W74" s="483">
        <f t="shared" si="49"/>
        <v>38.000000000000028</v>
      </c>
      <c r="X74" s="180"/>
      <c r="Y74" s="180"/>
      <c r="Z74" s="124"/>
      <c r="AA74" s="124"/>
      <c r="AB74" s="673"/>
      <c r="AC74" s="673"/>
      <c r="AD74" s="500"/>
      <c r="AE74" s="500"/>
      <c r="AF74" s="48">
        <f t="shared" ref="AF74:AF80" si="51">N74-K74</f>
        <v>-210.00000000000114</v>
      </c>
      <c r="AG74" s="490">
        <f t="shared" ref="AG74:AG80" si="52">N74/K74</f>
        <v>0.85999999999999921</v>
      </c>
      <c r="AH74" s="688"/>
    </row>
    <row r="75" spans="1:34" ht="19.2" customHeight="1">
      <c r="A75" s="703"/>
      <c r="B75" s="486" t="s">
        <v>123</v>
      </c>
      <c r="C75" s="66"/>
      <c r="D75" s="173" t="s">
        <v>70</v>
      </c>
      <c r="E75" s="43"/>
      <c r="F75" s="343">
        <v>53.76</v>
      </c>
      <c r="G75" s="57">
        <v>2133</v>
      </c>
      <c r="H75" s="45">
        <f t="shared" si="50"/>
        <v>114670.08</v>
      </c>
      <c r="I75" s="486"/>
      <c r="J75" s="87">
        <v>16</v>
      </c>
      <c r="K75" s="57">
        <v>1440</v>
      </c>
      <c r="L75" s="86">
        <v>90</v>
      </c>
      <c r="M75" s="484">
        <v>16</v>
      </c>
      <c r="N75" s="44">
        <f t="shared" si="45"/>
        <v>1347.1578947368423</v>
      </c>
      <c r="O75" s="47">
        <f t="shared" si="46"/>
        <v>84.197368421052644</v>
      </c>
      <c r="P75" s="48">
        <f t="shared" si="47"/>
        <v>0</v>
      </c>
      <c r="Q75" s="49">
        <f t="shared" si="48"/>
        <v>-5.8026315789473557</v>
      </c>
      <c r="R75" s="490">
        <f t="shared" si="44"/>
        <v>0.93552631578947387</v>
      </c>
      <c r="S75" s="688"/>
      <c r="T75" s="50">
        <v>0.54097222222222219</v>
      </c>
      <c r="U75" s="50">
        <v>0.6069444444444444</v>
      </c>
      <c r="V75" s="486">
        <v>8</v>
      </c>
      <c r="W75" s="483">
        <f t="shared" si="49"/>
        <v>94.999999999999986</v>
      </c>
      <c r="X75" s="180"/>
      <c r="Y75" s="180"/>
      <c r="Z75" s="124"/>
      <c r="AA75" s="124"/>
      <c r="AB75" s="673"/>
      <c r="AC75" s="673"/>
      <c r="AD75" s="500"/>
      <c r="AE75" s="500"/>
      <c r="AF75" s="48">
        <f t="shared" si="51"/>
        <v>-92.842105263157691</v>
      </c>
      <c r="AG75" s="490">
        <f t="shared" si="52"/>
        <v>0.93552631578947387</v>
      </c>
      <c r="AH75" s="688"/>
    </row>
    <row r="76" spans="1:34" ht="19.2" customHeight="1">
      <c r="A76" s="703"/>
      <c r="B76" s="486">
        <v>0</v>
      </c>
      <c r="C76" s="175"/>
      <c r="D76" s="176"/>
      <c r="E76" s="177"/>
      <c r="F76" s="343" t="s">
        <v>128</v>
      </c>
      <c r="G76" s="174"/>
      <c r="H76" s="45">
        <f t="shared" si="50"/>
        <v>0</v>
      </c>
      <c r="I76" s="486"/>
      <c r="J76" s="87"/>
      <c r="K76" s="57"/>
      <c r="L76" s="86"/>
      <c r="M76" s="489"/>
      <c r="N76" s="44"/>
      <c r="O76" s="47"/>
      <c r="P76" s="48"/>
      <c r="Q76" s="49"/>
      <c r="R76" s="490"/>
      <c r="S76" s="688"/>
      <c r="T76" s="50"/>
      <c r="U76" s="50"/>
      <c r="V76" s="486"/>
      <c r="W76" s="483">
        <f t="shared" si="49"/>
        <v>0</v>
      </c>
      <c r="X76" s="180"/>
      <c r="Y76" s="180"/>
      <c r="Z76" s="124"/>
      <c r="AA76" s="124"/>
      <c r="AB76" s="673"/>
      <c r="AC76" s="673"/>
      <c r="AD76" s="500"/>
      <c r="AE76" s="500"/>
      <c r="AF76" s="48">
        <f t="shared" si="51"/>
        <v>0</v>
      </c>
      <c r="AG76" s="490" t="e">
        <f t="shared" si="52"/>
        <v>#DIV/0!</v>
      </c>
      <c r="AH76" s="688"/>
    </row>
    <row r="77" spans="1:34" ht="19.2" customHeight="1">
      <c r="A77" s="703"/>
      <c r="B77" s="486">
        <v>0</v>
      </c>
      <c r="C77" s="496"/>
      <c r="D77" s="42"/>
      <c r="E77" s="43"/>
      <c r="F77" s="343" t="s">
        <v>128</v>
      </c>
      <c r="G77" s="174"/>
      <c r="H77" s="45">
        <f t="shared" si="50"/>
        <v>0</v>
      </c>
      <c r="I77" s="500"/>
      <c r="J77" s="46"/>
      <c r="K77" s="174"/>
      <c r="L77" s="47"/>
      <c r="M77" s="489"/>
      <c r="N77" s="44"/>
      <c r="O77" s="47"/>
      <c r="P77" s="48"/>
      <c r="Q77" s="49"/>
      <c r="R77" s="490"/>
      <c r="S77" s="688"/>
      <c r="T77" s="50"/>
      <c r="U77" s="50"/>
      <c r="V77" s="486"/>
      <c r="W77" s="483">
        <f t="shared" si="49"/>
        <v>0</v>
      </c>
      <c r="X77" s="180"/>
      <c r="Y77" s="180"/>
      <c r="Z77" s="124"/>
      <c r="AA77" s="124"/>
      <c r="AB77" s="673"/>
      <c r="AC77" s="673"/>
      <c r="AD77" s="500"/>
      <c r="AE77" s="500"/>
      <c r="AF77" s="48">
        <f t="shared" si="51"/>
        <v>0</v>
      </c>
      <c r="AG77" s="490" t="e">
        <f t="shared" si="52"/>
        <v>#DIV/0!</v>
      </c>
      <c r="AH77" s="688"/>
    </row>
    <row r="78" spans="1:34" ht="19.2" customHeight="1">
      <c r="A78" s="703"/>
      <c r="B78" s="486">
        <v>0</v>
      </c>
      <c r="C78" s="496"/>
      <c r="D78" s="42"/>
      <c r="E78" s="43"/>
      <c r="F78" s="343" t="s">
        <v>128</v>
      </c>
      <c r="G78" s="57"/>
      <c r="H78" s="45">
        <f t="shared" si="50"/>
        <v>0</v>
      </c>
      <c r="I78" s="500"/>
      <c r="J78" s="87"/>
      <c r="K78" s="57"/>
      <c r="L78" s="86"/>
      <c r="M78" s="489"/>
      <c r="N78" s="44"/>
      <c r="O78" s="47"/>
      <c r="P78" s="48"/>
      <c r="Q78" s="49"/>
      <c r="R78" s="490"/>
      <c r="S78" s="688"/>
      <c r="T78" s="50"/>
      <c r="U78" s="50"/>
      <c r="V78" s="486"/>
      <c r="W78" s="483">
        <f t="shared" si="49"/>
        <v>0</v>
      </c>
      <c r="X78" s="180"/>
      <c r="Y78" s="180"/>
      <c r="Z78" s="124"/>
      <c r="AA78" s="124"/>
      <c r="AB78" s="673"/>
      <c r="AC78" s="673"/>
      <c r="AD78" s="500"/>
      <c r="AE78" s="500"/>
      <c r="AF78" s="48">
        <f t="shared" si="51"/>
        <v>0</v>
      </c>
      <c r="AG78" s="490" t="e">
        <f t="shared" si="52"/>
        <v>#DIV/0!</v>
      </c>
      <c r="AH78" s="688"/>
    </row>
    <row r="79" spans="1:34" ht="19.2" customHeight="1">
      <c r="A79" s="703"/>
      <c r="B79" s="486">
        <v>0</v>
      </c>
      <c r="C79" s="175"/>
      <c r="D79" s="176"/>
      <c r="E79" s="177"/>
      <c r="F79" s="343" t="s">
        <v>128</v>
      </c>
      <c r="G79" s="57"/>
      <c r="H79" s="45">
        <f t="shared" si="50"/>
        <v>0</v>
      </c>
      <c r="I79" s="500"/>
      <c r="J79" s="87"/>
      <c r="K79" s="57"/>
      <c r="L79" s="86"/>
      <c r="M79" s="489"/>
      <c r="N79" s="57"/>
      <c r="O79" s="181"/>
      <c r="P79" s="108"/>
      <c r="Q79" s="182"/>
      <c r="R79" s="109"/>
      <c r="S79" s="688"/>
      <c r="T79" s="50"/>
      <c r="U79" s="50"/>
      <c r="V79" s="486"/>
      <c r="W79" s="483">
        <f t="shared" si="49"/>
        <v>0</v>
      </c>
      <c r="X79" s="180"/>
      <c r="Y79" s="180"/>
      <c r="Z79" s="124"/>
      <c r="AA79" s="124"/>
      <c r="AB79" s="673"/>
      <c r="AC79" s="673"/>
      <c r="AD79" s="500"/>
      <c r="AE79" s="500"/>
      <c r="AF79" s="48">
        <f t="shared" si="51"/>
        <v>0</v>
      </c>
      <c r="AG79" s="490" t="e">
        <f t="shared" si="52"/>
        <v>#DIV/0!</v>
      </c>
      <c r="AH79" s="688"/>
    </row>
    <row r="80" spans="1:34" ht="19.2" customHeight="1">
      <c r="A80" s="703"/>
      <c r="B80" s="486">
        <v>0</v>
      </c>
      <c r="C80" s="496"/>
      <c r="D80" s="42"/>
      <c r="E80" s="43"/>
      <c r="F80" s="343"/>
      <c r="G80" s="57"/>
      <c r="H80" s="45">
        <f t="shared" si="50"/>
        <v>0</v>
      </c>
      <c r="I80" s="500"/>
      <c r="J80" s="87"/>
      <c r="K80" s="57"/>
      <c r="L80" s="86"/>
      <c r="M80" s="489"/>
      <c r="N80" s="57"/>
      <c r="O80" s="183"/>
      <c r="P80" s="54"/>
      <c r="Q80" s="88"/>
      <c r="R80" s="499"/>
      <c r="S80" s="688"/>
      <c r="T80" s="50"/>
      <c r="U80" s="50"/>
      <c r="V80" s="486"/>
      <c r="W80" s="483">
        <f t="shared" si="49"/>
        <v>0</v>
      </c>
      <c r="X80" s="180"/>
      <c r="Y80" s="180"/>
      <c r="Z80" s="124"/>
      <c r="AA80" s="124"/>
      <c r="AB80" s="673"/>
      <c r="AC80" s="673"/>
      <c r="AD80" s="500"/>
      <c r="AE80" s="500"/>
      <c r="AF80" s="48">
        <f t="shared" si="51"/>
        <v>0</v>
      </c>
      <c r="AG80" s="490" t="e">
        <f t="shared" si="52"/>
        <v>#DIV/0!</v>
      </c>
      <c r="AH80" s="688"/>
    </row>
    <row r="81" spans="1:34" ht="19.2" customHeight="1">
      <c r="A81" s="703"/>
      <c r="B81" s="486">
        <v>0</v>
      </c>
      <c r="C81" s="496"/>
      <c r="D81" s="42"/>
      <c r="E81" s="43"/>
      <c r="F81" s="350"/>
      <c r="G81" s="57"/>
      <c r="H81" s="84"/>
      <c r="I81" s="500"/>
      <c r="J81" s="87"/>
      <c r="K81" s="57"/>
      <c r="L81" s="86"/>
      <c r="M81" s="489"/>
      <c r="N81" s="57"/>
      <c r="O81" s="183"/>
      <c r="P81" s="54"/>
      <c r="Q81" s="88"/>
      <c r="R81" s="499"/>
      <c r="S81" s="688"/>
      <c r="T81" s="50"/>
      <c r="U81" s="50"/>
      <c r="V81" s="486"/>
      <c r="W81" s="483">
        <f t="shared" si="49"/>
        <v>0</v>
      </c>
      <c r="X81" s="180"/>
      <c r="Y81" s="180"/>
      <c r="Z81" s="124"/>
      <c r="AA81" s="124"/>
      <c r="AB81" s="673"/>
      <c r="AC81" s="673"/>
      <c r="AD81" s="500"/>
      <c r="AE81" s="500"/>
      <c r="AF81" s="48"/>
      <c r="AG81" s="125"/>
      <c r="AH81" s="688"/>
    </row>
    <row r="82" spans="1:34" ht="19.2" customHeight="1">
      <c r="A82" s="704"/>
      <c r="B82" s="168">
        <v>0</v>
      </c>
      <c r="C82" s="100" t="s">
        <v>519</v>
      </c>
      <c r="D82" s="669" t="s">
        <v>520</v>
      </c>
      <c r="E82" s="669"/>
      <c r="F82" s="353"/>
      <c r="G82" s="101"/>
      <c r="H82" s="102"/>
      <c r="I82" s="103"/>
      <c r="J82" s="101">
        <v>17.5</v>
      </c>
      <c r="K82" s="101">
        <v>1525.3333333333333</v>
      </c>
      <c r="L82" s="104">
        <v>87.333290333677326</v>
      </c>
      <c r="M82" s="101">
        <f t="shared" ref="M82:O82" si="53">AVERAGE(M70:M81)</f>
        <v>17.666666666666668</v>
      </c>
      <c r="N82" s="101">
        <f t="shared" si="53"/>
        <v>1385.4711067925455</v>
      </c>
      <c r="O82" s="184">
        <f t="shared" si="53"/>
        <v>78.610415022125053</v>
      </c>
      <c r="P82" s="116">
        <f>M82-J82</f>
        <v>0.16666666666666785</v>
      </c>
      <c r="Q82" s="117">
        <f>N82-K82</f>
        <v>-139.86222654078779</v>
      </c>
      <c r="R82" s="172">
        <f>O82/L82</f>
        <v>0.90011969916369261</v>
      </c>
      <c r="S82" s="688"/>
      <c r="T82" s="50"/>
      <c r="U82" s="50"/>
      <c r="V82" s="486"/>
      <c r="W82" s="44"/>
      <c r="X82" s="47"/>
      <c r="Y82" s="47"/>
      <c r="Z82" s="106">
        <f>SUM(Z70:Z81)</f>
        <v>0</v>
      </c>
      <c r="AA82" s="106">
        <f>SUM(AA70:AA81)</f>
        <v>0</v>
      </c>
      <c r="AB82" s="673"/>
      <c r="AC82" s="673"/>
      <c r="AD82" s="107">
        <f>SUM(AD70:AD81)</f>
        <v>0</v>
      </c>
      <c r="AE82" s="107">
        <f>SUM(AE70:AE81)</f>
        <v>0</v>
      </c>
      <c r="AF82" s="48">
        <f>N82-K82</f>
        <v>-139.86222654078779</v>
      </c>
      <c r="AG82" s="490">
        <f>N82/K82</f>
        <v>0.90830710672588211</v>
      </c>
      <c r="AH82" s="688"/>
    </row>
    <row r="83" spans="1:34" ht="19.2" customHeight="1">
      <c r="A83" s="696" t="s">
        <v>521</v>
      </c>
      <c r="B83" s="110" t="s">
        <v>123</v>
      </c>
      <c r="C83" s="66"/>
      <c r="D83" s="358" t="s">
        <v>179</v>
      </c>
      <c r="E83" s="43"/>
      <c r="F83" s="350">
        <v>61.02</v>
      </c>
      <c r="G83" s="57">
        <v>1566</v>
      </c>
      <c r="H83" s="84">
        <f t="shared" ref="H83:H94" si="54">F83*G83</f>
        <v>95557.32</v>
      </c>
      <c r="I83" s="500"/>
      <c r="J83" s="87">
        <v>17</v>
      </c>
      <c r="K83" s="57">
        <v>1440</v>
      </c>
      <c r="L83" s="86">
        <v>84.705882352941174</v>
      </c>
      <c r="M83" s="489">
        <v>17</v>
      </c>
      <c r="N83" s="57">
        <f t="shared" ref="N83:N87" si="55">G83/W83*60</f>
        <v>1323.3802816901411</v>
      </c>
      <c r="O83" s="183">
        <f t="shared" ref="O83:O87" si="56">N83/M83</f>
        <v>77.845898922949473</v>
      </c>
      <c r="P83" s="54">
        <f t="shared" ref="P83:P87" si="57">M83-J83</f>
        <v>0</v>
      </c>
      <c r="Q83" s="88">
        <f t="shared" ref="Q83:Q87" si="58">O83-L83</f>
        <v>-6.8599834299917006</v>
      </c>
      <c r="R83" s="185">
        <f t="shared" ref="R83:R87" si="59">O83/L83</f>
        <v>0.91901408450704247</v>
      </c>
      <c r="S83" s="688">
        <f>R95</f>
        <v>0.86310860756687124</v>
      </c>
      <c r="T83" s="50">
        <v>0.33333333333333331</v>
      </c>
      <c r="U83" s="50">
        <v>0.38263888888888886</v>
      </c>
      <c r="V83" s="486">
        <v>5</v>
      </c>
      <c r="W83" s="483">
        <f t="shared" ref="W83:W93" si="60">(U83-T83)*24*60</f>
        <v>70.999999999999986</v>
      </c>
      <c r="X83" s="53"/>
      <c r="Y83" s="53"/>
      <c r="Z83" s="54"/>
      <c r="AA83" s="54"/>
      <c r="AB83" s="673"/>
      <c r="AC83" s="673"/>
      <c r="AD83" s="500"/>
      <c r="AE83" s="500"/>
      <c r="AF83" s="48">
        <f t="shared" ref="AF83:AF173" si="61">N83-K83</f>
        <v>-116.61971830985885</v>
      </c>
      <c r="AG83" s="490">
        <f t="shared" ref="AG83:AG173" si="62">N83/K83</f>
        <v>0.91901408450704247</v>
      </c>
      <c r="AH83" s="688">
        <f>AG95</f>
        <v>0.86114363357383061</v>
      </c>
    </row>
    <row r="84" spans="1:34" ht="19.2" customHeight="1">
      <c r="A84" s="697"/>
      <c r="B84" s="110" t="s">
        <v>124</v>
      </c>
      <c r="C84" s="496"/>
      <c r="D84" s="186" t="s">
        <v>195</v>
      </c>
      <c r="E84" s="43"/>
      <c r="F84" s="350">
        <v>50.67</v>
      </c>
      <c r="G84" s="44">
        <v>2454</v>
      </c>
      <c r="H84" s="84">
        <f t="shared" si="54"/>
        <v>124344.18000000001</v>
      </c>
      <c r="I84" s="486"/>
      <c r="J84" s="87">
        <v>19</v>
      </c>
      <c r="K84" s="57">
        <v>1500</v>
      </c>
      <c r="L84" s="86">
        <v>78.94736842105263</v>
      </c>
      <c r="M84" s="489">
        <v>19</v>
      </c>
      <c r="N84" s="57">
        <f t="shared" si="55"/>
        <v>1326.4864864864865</v>
      </c>
      <c r="O84" s="183">
        <f t="shared" si="56"/>
        <v>69.815078236130873</v>
      </c>
      <c r="P84" s="54">
        <f t="shared" si="57"/>
        <v>0</v>
      </c>
      <c r="Q84" s="88">
        <f t="shared" si="58"/>
        <v>-9.1322901849217573</v>
      </c>
      <c r="R84" s="185">
        <f t="shared" si="59"/>
        <v>0.8843243243243244</v>
      </c>
      <c r="S84" s="688"/>
      <c r="T84" s="50">
        <v>0.39791666666666664</v>
      </c>
      <c r="U84" s="50">
        <v>0.47499999999999998</v>
      </c>
      <c r="V84" s="486">
        <v>22</v>
      </c>
      <c r="W84" s="483">
        <f t="shared" si="60"/>
        <v>111</v>
      </c>
      <c r="X84" s="53">
        <v>0.38750000000000001</v>
      </c>
      <c r="Y84" s="53">
        <v>0.3972222222222222</v>
      </c>
      <c r="Z84" s="54"/>
      <c r="AA84" s="54"/>
      <c r="AB84" s="673"/>
      <c r="AC84" s="673"/>
      <c r="AD84" s="500"/>
      <c r="AE84" s="500"/>
      <c r="AF84" s="48">
        <f t="shared" si="61"/>
        <v>-173.51351351351354</v>
      </c>
      <c r="AG84" s="490">
        <f t="shared" si="62"/>
        <v>0.88432432432432428</v>
      </c>
      <c r="AH84" s="688"/>
    </row>
    <row r="85" spans="1:34" ht="19.2" customHeight="1">
      <c r="A85" s="697"/>
      <c r="B85" s="110" t="s">
        <v>123</v>
      </c>
      <c r="C85" s="122"/>
      <c r="D85" s="186" t="s">
        <v>192</v>
      </c>
      <c r="E85" s="43"/>
      <c r="F85" s="350">
        <v>61.09</v>
      </c>
      <c r="G85" s="44">
        <v>1599</v>
      </c>
      <c r="H85" s="84">
        <f t="shared" si="54"/>
        <v>97682.91</v>
      </c>
      <c r="I85" s="486"/>
      <c r="J85" s="87">
        <v>17</v>
      </c>
      <c r="K85" s="57">
        <v>1440</v>
      </c>
      <c r="L85" s="86">
        <v>84.705882352941174</v>
      </c>
      <c r="M85" s="489">
        <v>17</v>
      </c>
      <c r="N85" s="57">
        <f t="shared" si="55"/>
        <v>1279.1999999999989</v>
      </c>
      <c r="O85" s="183">
        <f t="shared" si="56"/>
        <v>75.247058823529343</v>
      </c>
      <c r="P85" s="54">
        <f t="shared" si="57"/>
        <v>0</v>
      </c>
      <c r="Q85" s="88">
        <f t="shared" si="58"/>
        <v>-9.4588235294118306</v>
      </c>
      <c r="R85" s="185">
        <f t="shared" si="59"/>
        <v>0.88833333333333253</v>
      </c>
      <c r="S85" s="688"/>
      <c r="T85" s="50">
        <v>0.51527777777777772</v>
      </c>
      <c r="U85" s="50">
        <v>0.56736111111111109</v>
      </c>
      <c r="V85" s="486">
        <v>5</v>
      </c>
      <c r="W85" s="483">
        <f t="shared" si="60"/>
        <v>75.000000000000057</v>
      </c>
      <c r="X85" s="53"/>
      <c r="Y85" s="53"/>
      <c r="Z85" s="54"/>
      <c r="AA85" s="54"/>
      <c r="AB85" s="673"/>
      <c r="AC85" s="673"/>
      <c r="AD85" s="500"/>
      <c r="AE85" s="500"/>
      <c r="AF85" s="48">
        <f t="shared" si="61"/>
        <v>-160.80000000000109</v>
      </c>
      <c r="AG85" s="490">
        <f t="shared" si="62"/>
        <v>0.88833333333333253</v>
      </c>
      <c r="AH85" s="688"/>
    </row>
    <row r="86" spans="1:34" ht="19.2" customHeight="1">
      <c r="A86" s="697"/>
      <c r="B86" s="110" t="s">
        <v>122</v>
      </c>
      <c r="C86" s="97"/>
      <c r="D86" s="186" t="s">
        <v>55</v>
      </c>
      <c r="E86" s="43"/>
      <c r="F86" s="350">
        <v>37.799999999999997</v>
      </c>
      <c r="G86" s="44">
        <v>5266</v>
      </c>
      <c r="H86" s="84">
        <f t="shared" si="54"/>
        <v>199054.8</v>
      </c>
      <c r="I86" s="486">
        <v>1</v>
      </c>
      <c r="J86" s="87">
        <v>20</v>
      </c>
      <c r="K86" s="57">
        <v>2769</v>
      </c>
      <c r="L86" s="86">
        <v>138.44999999999999</v>
      </c>
      <c r="M86" s="489">
        <v>20</v>
      </c>
      <c r="N86" s="57">
        <f t="shared" si="55"/>
        <v>2289.565217391304</v>
      </c>
      <c r="O86" s="183">
        <f t="shared" si="56"/>
        <v>114.4782608695652</v>
      </c>
      <c r="P86" s="54">
        <f t="shared" si="57"/>
        <v>0</v>
      </c>
      <c r="Q86" s="88">
        <f t="shared" si="58"/>
        <v>-23.971739130434784</v>
      </c>
      <c r="R86" s="185">
        <f t="shared" si="59"/>
        <v>0.82685634430888566</v>
      </c>
      <c r="S86" s="688"/>
      <c r="T86" s="50">
        <v>0.58263888888888882</v>
      </c>
      <c r="U86" s="50">
        <v>0.67847222222222214</v>
      </c>
      <c r="V86" s="486">
        <v>22</v>
      </c>
      <c r="W86" s="483">
        <f t="shared" si="60"/>
        <v>138</v>
      </c>
      <c r="X86" s="53">
        <v>0.57222222222222219</v>
      </c>
      <c r="Y86" s="53">
        <v>0.58194444444444449</v>
      </c>
      <c r="Z86" s="54"/>
      <c r="AA86" s="54"/>
      <c r="AB86" s="673"/>
      <c r="AC86" s="673"/>
      <c r="AD86" s="500">
        <v>1</v>
      </c>
      <c r="AE86" s="500">
        <v>1</v>
      </c>
      <c r="AF86" s="48">
        <f t="shared" si="61"/>
        <v>-479.43478260869597</v>
      </c>
      <c r="AG86" s="490">
        <f t="shared" si="62"/>
        <v>0.82685634430888555</v>
      </c>
      <c r="AH86" s="688"/>
    </row>
    <row r="87" spans="1:34" ht="19.2" customHeight="1">
      <c r="A87" s="697"/>
      <c r="B87" s="110" t="s">
        <v>122</v>
      </c>
      <c r="C87" s="97"/>
      <c r="D87" s="186" t="s">
        <v>201</v>
      </c>
      <c r="E87" s="43"/>
      <c r="F87" s="350">
        <v>43.96</v>
      </c>
      <c r="G87" s="44">
        <v>467.7</v>
      </c>
      <c r="H87" s="84">
        <f t="shared" si="54"/>
        <v>20560.092000000001</v>
      </c>
      <c r="I87" s="486">
        <v>1</v>
      </c>
      <c r="J87" s="87">
        <v>19</v>
      </c>
      <c r="K87" s="57">
        <v>2400</v>
      </c>
      <c r="L87" s="86">
        <v>126.31578947368421</v>
      </c>
      <c r="M87" s="489">
        <v>19</v>
      </c>
      <c r="N87" s="57">
        <f t="shared" si="55"/>
        <v>2004.4285714285784</v>
      </c>
      <c r="O87" s="183">
        <f t="shared" si="56"/>
        <v>105.49624060150413</v>
      </c>
      <c r="P87" s="54">
        <f t="shared" si="57"/>
        <v>0</v>
      </c>
      <c r="Q87" s="88">
        <f t="shared" si="58"/>
        <v>-20.819548872180079</v>
      </c>
      <c r="R87" s="185">
        <f t="shared" si="59"/>
        <v>0.83517857142857432</v>
      </c>
      <c r="S87" s="688"/>
      <c r="T87" s="50">
        <v>0.68333333333333324</v>
      </c>
      <c r="U87" s="50">
        <v>0.69305555555555542</v>
      </c>
      <c r="V87" s="486">
        <v>7</v>
      </c>
      <c r="W87" s="483">
        <f t="shared" si="60"/>
        <v>13.99999999999995</v>
      </c>
      <c r="X87" s="53"/>
      <c r="Y87" s="53"/>
      <c r="Z87" s="54"/>
      <c r="AA87" s="54"/>
      <c r="AB87" s="673"/>
      <c r="AC87" s="673"/>
      <c r="AD87" s="500">
        <v>1</v>
      </c>
      <c r="AE87" s="500"/>
      <c r="AF87" s="48">
        <f t="shared" si="61"/>
        <v>-395.57142857142162</v>
      </c>
      <c r="AG87" s="490">
        <f t="shared" si="62"/>
        <v>0.83517857142857432</v>
      </c>
      <c r="AH87" s="688"/>
    </row>
    <row r="88" spans="1:34" ht="19.2" customHeight="1">
      <c r="A88" s="697"/>
      <c r="B88" s="110">
        <v>0</v>
      </c>
      <c r="C88" s="496"/>
      <c r="D88" s="186"/>
      <c r="E88" s="43"/>
      <c r="F88" s="350" t="s">
        <v>128</v>
      </c>
      <c r="G88" s="57"/>
      <c r="H88" s="84">
        <f t="shared" si="54"/>
        <v>0</v>
      </c>
      <c r="I88" s="486"/>
      <c r="J88" s="87"/>
      <c r="K88" s="57"/>
      <c r="L88" s="86"/>
      <c r="M88" s="489"/>
      <c r="N88" s="57"/>
      <c r="O88" s="183"/>
      <c r="P88" s="54"/>
      <c r="Q88" s="88"/>
      <c r="R88" s="185"/>
      <c r="S88" s="688"/>
      <c r="T88" s="50"/>
      <c r="U88" s="50"/>
      <c r="V88" s="486"/>
      <c r="W88" s="483">
        <f t="shared" si="60"/>
        <v>0</v>
      </c>
      <c r="X88" s="53"/>
      <c r="Y88" s="53"/>
      <c r="Z88" s="54"/>
      <c r="AA88" s="54"/>
      <c r="AB88" s="673"/>
      <c r="AC88" s="673"/>
      <c r="AD88" s="500"/>
      <c r="AE88" s="500"/>
      <c r="AF88" s="48">
        <f t="shared" si="61"/>
        <v>0</v>
      </c>
      <c r="AG88" s="490" t="e">
        <f t="shared" si="62"/>
        <v>#DIV/0!</v>
      </c>
      <c r="AH88" s="688"/>
    </row>
    <row r="89" spans="1:34" ht="19.2" customHeight="1">
      <c r="A89" s="697"/>
      <c r="B89" s="110">
        <v>0</v>
      </c>
      <c r="C89" s="496"/>
      <c r="D89" s="42"/>
      <c r="E89" s="43"/>
      <c r="F89" s="350" t="s">
        <v>128</v>
      </c>
      <c r="G89" s="114"/>
      <c r="H89" s="84">
        <f t="shared" si="54"/>
        <v>0</v>
      </c>
      <c r="I89" s="486"/>
      <c r="J89" s="87"/>
      <c r="K89" s="57"/>
      <c r="L89" s="86"/>
      <c r="M89" s="489"/>
      <c r="N89" s="57"/>
      <c r="O89" s="183"/>
      <c r="P89" s="54"/>
      <c r="Q89" s="88"/>
      <c r="R89" s="185"/>
      <c r="S89" s="688"/>
      <c r="T89" s="50"/>
      <c r="U89" s="50"/>
      <c r="V89" s="486"/>
      <c r="W89" s="483">
        <f t="shared" si="60"/>
        <v>0</v>
      </c>
      <c r="X89" s="53"/>
      <c r="Y89" s="53"/>
      <c r="Z89" s="54"/>
      <c r="AA89" s="54"/>
      <c r="AB89" s="673"/>
      <c r="AC89" s="673"/>
      <c r="AD89" s="500"/>
      <c r="AE89" s="500"/>
      <c r="AF89" s="48">
        <f t="shared" si="61"/>
        <v>0</v>
      </c>
      <c r="AG89" s="490" t="e">
        <f t="shared" si="62"/>
        <v>#DIV/0!</v>
      </c>
      <c r="AH89" s="688"/>
    </row>
    <row r="90" spans="1:34" ht="19.2" customHeight="1">
      <c r="A90" s="697"/>
      <c r="B90" s="110">
        <v>0</v>
      </c>
      <c r="C90" s="496"/>
      <c r="D90" s="42"/>
      <c r="E90" s="43"/>
      <c r="F90" s="350" t="s">
        <v>128</v>
      </c>
      <c r="G90" s="127"/>
      <c r="H90" s="84">
        <f t="shared" si="54"/>
        <v>0</v>
      </c>
      <c r="I90" s="187"/>
      <c r="J90" s="87"/>
      <c r="K90" s="57"/>
      <c r="L90" s="86"/>
      <c r="M90" s="489"/>
      <c r="N90" s="57"/>
      <c r="O90" s="183"/>
      <c r="P90" s="54"/>
      <c r="Q90" s="88"/>
      <c r="R90" s="185"/>
      <c r="S90" s="688"/>
      <c r="T90" s="50"/>
      <c r="U90" s="50"/>
      <c r="V90" s="486"/>
      <c r="W90" s="483">
        <f t="shared" si="60"/>
        <v>0</v>
      </c>
      <c r="X90" s="188"/>
      <c r="Y90" s="188"/>
      <c r="Z90" s="54"/>
      <c r="AA90" s="54"/>
      <c r="AB90" s="673"/>
      <c r="AC90" s="673"/>
      <c r="AD90" s="500"/>
      <c r="AE90" s="500"/>
      <c r="AF90" s="48">
        <f t="shared" si="61"/>
        <v>0</v>
      </c>
      <c r="AG90" s="490" t="e">
        <f t="shared" si="62"/>
        <v>#DIV/0!</v>
      </c>
      <c r="AH90" s="688"/>
    </row>
    <row r="91" spans="1:34" ht="19.2" customHeight="1">
      <c r="A91" s="697"/>
      <c r="B91" s="110">
        <v>0</v>
      </c>
      <c r="C91" s="496"/>
      <c r="D91" s="42"/>
      <c r="E91" s="43"/>
      <c r="F91" s="350" t="s">
        <v>128</v>
      </c>
      <c r="G91" s="44"/>
      <c r="H91" s="84">
        <f t="shared" si="54"/>
        <v>0</v>
      </c>
      <c r="I91" s="189"/>
      <c r="J91" s="87"/>
      <c r="K91" s="57"/>
      <c r="L91" s="86"/>
      <c r="M91" s="489"/>
      <c r="N91" s="57"/>
      <c r="O91" s="183"/>
      <c r="P91" s="54"/>
      <c r="Q91" s="88"/>
      <c r="R91" s="185"/>
      <c r="S91" s="689"/>
      <c r="T91" s="50"/>
      <c r="U91" s="50"/>
      <c r="V91" s="486"/>
      <c r="W91" s="483">
        <f t="shared" si="60"/>
        <v>0</v>
      </c>
      <c r="X91" s="115"/>
      <c r="Y91" s="115"/>
      <c r="Z91" s="54"/>
      <c r="AA91" s="54"/>
      <c r="AB91" s="673"/>
      <c r="AC91" s="673"/>
      <c r="AD91" s="500"/>
      <c r="AE91" s="500"/>
      <c r="AF91" s="48">
        <f t="shared" si="61"/>
        <v>0</v>
      </c>
      <c r="AG91" s="490" t="e">
        <f t="shared" si="62"/>
        <v>#DIV/0!</v>
      </c>
      <c r="AH91" s="689"/>
    </row>
    <row r="92" spans="1:34" ht="19.2" customHeight="1">
      <c r="A92" s="697"/>
      <c r="B92" s="110">
        <v>0</v>
      </c>
      <c r="C92" s="496"/>
      <c r="D92" s="42"/>
      <c r="E92" s="43"/>
      <c r="F92" s="350" t="s">
        <v>128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98"/>
      <c r="S92" s="689"/>
      <c r="T92" s="50"/>
      <c r="U92" s="50"/>
      <c r="V92" s="486"/>
      <c r="W92" s="483">
        <f t="shared" si="60"/>
        <v>0</v>
      </c>
      <c r="X92" s="180"/>
      <c r="Y92" s="180"/>
      <c r="Z92" s="124"/>
      <c r="AA92" s="124"/>
      <c r="AB92" s="673"/>
      <c r="AC92" s="673"/>
      <c r="AD92" s="500"/>
      <c r="AE92" s="500"/>
      <c r="AF92" s="48">
        <f t="shared" si="61"/>
        <v>0</v>
      </c>
      <c r="AG92" s="490" t="e">
        <f t="shared" si="62"/>
        <v>#DIV/0!</v>
      </c>
      <c r="AH92" s="689"/>
    </row>
    <row r="93" spans="1:34" ht="19.2" customHeight="1">
      <c r="A93" s="697"/>
      <c r="B93" s="487">
        <v>0</v>
      </c>
      <c r="C93" s="195"/>
      <c r="D93" s="59"/>
      <c r="E93" s="60"/>
      <c r="F93" s="350" t="s">
        <v>128</v>
      </c>
      <c r="G93" s="44"/>
      <c r="H93" s="84">
        <f t="shared" si="54"/>
        <v>0</v>
      </c>
      <c r="I93" s="196"/>
      <c r="J93" s="87"/>
      <c r="K93" s="57"/>
      <c r="L93" s="192"/>
      <c r="M93" s="489"/>
      <c r="N93" s="57"/>
      <c r="O93" s="86"/>
      <c r="P93" s="54"/>
      <c r="Q93" s="88"/>
      <c r="R93" s="493"/>
      <c r="S93" s="698"/>
      <c r="T93" s="63"/>
      <c r="U93" s="63"/>
      <c r="V93" s="487"/>
      <c r="W93" s="483">
        <f t="shared" si="60"/>
        <v>0</v>
      </c>
      <c r="X93" s="197"/>
      <c r="Y93" s="197"/>
      <c r="Z93" s="124"/>
      <c r="AA93" s="124"/>
      <c r="AB93" s="673"/>
      <c r="AC93" s="673"/>
      <c r="AD93" s="500"/>
      <c r="AE93" s="500"/>
      <c r="AF93" s="48">
        <f t="shared" si="61"/>
        <v>0</v>
      </c>
      <c r="AG93" s="490" t="e">
        <f t="shared" si="62"/>
        <v>#DIV/0!</v>
      </c>
      <c r="AH93" s="689"/>
    </row>
    <row r="94" spans="1:34" ht="19.2" customHeight="1">
      <c r="A94" s="697"/>
      <c r="B94" s="487">
        <v>0</v>
      </c>
      <c r="C94" s="195"/>
      <c r="D94" s="42"/>
      <c r="E94" s="43"/>
      <c r="F94" s="350" t="s">
        <v>128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93"/>
      <c r="S94" s="698"/>
      <c r="T94" s="63"/>
      <c r="U94" s="63"/>
      <c r="V94" s="487"/>
      <c r="W94" s="483">
        <f>(U94-T94)*24*60</f>
        <v>0</v>
      </c>
      <c r="X94" s="197"/>
      <c r="Y94" s="197"/>
      <c r="Z94" s="124"/>
      <c r="AA94" s="124"/>
      <c r="AB94" s="673"/>
      <c r="AC94" s="673"/>
      <c r="AD94" s="500"/>
      <c r="AE94" s="500"/>
      <c r="AF94" s="48">
        <f t="shared" si="61"/>
        <v>0</v>
      </c>
      <c r="AG94" s="490" t="e">
        <f t="shared" si="62"/>
        <v>#DIV/0!</v>
      </c>
      <c r="AH94" s="689"/>
    </row>
    <row r="95" spans="1:34" ht="19.2" customHeight="1">
      <c r="A95" s="697"/>
      <c r="B95" s="200">
        <v>0</v>
      </c>
      <c r="C95" s="100" t="s">
        <v>522</v>
      </c>
      <c r="D95" s="669" t="s">
        <v>455</v>
      </c>
      <c r="E95" s="669"/>
      <c r="F95" s="344"/>
      <c r="G95" s="70"/>
      <c r="H95" s="201"/>
      <c r="I95" s="103"/>
      <c r="J95" s="202">
        <v>18.399999999999999</v>
      </c>
      <c r="K95" s="202">
        <v>1909.8</v>
      </c>
      <c r="L95" s="203">
        <v>102.62498452012383</v>
      </c>
      <c r="M95" s="202">
        <f t="shared" ref="M95:O95" si="63">AVERAGE(M83:M94)</f>
        <v>18.399999999999999</v>
      </c>
      <c r="N95" s="202">
        <f t="shared" si="63"/>
        <v>1644.6121113993017</v>
      </c>
      <c r="O95" s="203">
        <f t="shared" si="63"/>
        <v>88.576507490735793</v>
      </c>
      <c r="P95" s="204">
        <f>M95-J95</f>
        <v>0</v>
      </c>
      <c r="Q95" s="205">
        <f t="shared" ref="Q95:Q102" si="64">O95-L95</f>
        <v>-14.048477029388039</v>
      </c>
      <c r="R95" s="206">
        <f>O95/L95</f>
        <v>0.86310860756687124</v>
      </c>
      <c r="S95" s="689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673"/>
      <c r="AC95" s="673"/>
      <c r="AD95" s="107">
        <f>SUM(AD83:AD94)</f>
        <v>2</v>
      </c>
      <c r="AE95" s="107">
        <f>SUM(AE83:AE94)</f>
        <v>1</v>
      </c>
      <c r="AF95" s="65">
        <f t="shared" si="61"/>
        <v>-265.18788860069822</v>
      </c>
      <c r="AG95" s="491">
        <f t="shared" si="62"/>
        <v>0.86114363357383061</v>
      </c>
      <c r="AH95" s="689"/>
    </row>
    <row r="96" spans="1:34" ht="19.2" customHeight="1">
      <c r="A96" s="699" t="s">
        <v>523</v>
      </c>
      <c r="B96" s="486" t="s">
        <v>125</v>
      </c>
      <c r="C96" s="97"/>
      <c r="D96" s="42" t="s">
        <v>200</v>
      </c>
      <c r="E96" s="43"/>
      <c r="F96" s="343">
        <v>29.46</v>
      </c>
      <c r="G96" s="44">
        <v>1143</v>
      </c>
      <c r="H96" s="45">
        <f t="shared" ref="H96:H105" si="65">F96*G96</f>
        <v>33672.78</v>
      </c>
      <c r="I96" s="486"/>
      <c r="J96" s="46">
        <v>16</v>
      </c>
      <c r="K96" s="44">
        <v>1385</v>
      </c>
      <c r="L96" s="47">
        <v>86.5625</v>
      </c>
      <c r="M96" s="484">
        <v>16</v>
      </c>
      <c r="N96" s="44">
        <f t="shared" ref="N96:N102" si="66">G96/W96*60</f>
        <v>1142.9999999999993</v>
      </c>
      <c r="O96" s="47">
        <f t="shared" ref="O96:O102" si="67">N96/M96</f>
        <v>71.437499999999957</v>
      </c>
      <c r="P96" s="48">
        <f t="shared" ref="P96:P102" si="68">M96-J96</f>
        <v>0</v>
      </c>
      <c r="Q96" s="49">
        <f t="shared" si="64"/>
        <v>-15.125000000000043</v>
      </c>
      <c r="R96" s="490">
        <f t="shared" ref="R96:R102" si="69">O96/L96</f>
        <v>0.8252707581227432</v>
      </c>
      <c r="S96" s="688">
        <f>R108</f>
        <v>0.8399534985055529</v>
      </c>
      <c r="T96" s="89">
        <v>0.33333333333333331</v>
      </c>
      <c r="U96" s="89">
        <v>0.375</v>
      </c>
      <c r="V96" s="500">
        <v>5</v>
      </c>
      <c r="W96" s="90">
        <f t="shared" ref="W96:W133" si="70">(U96-T96)*24*60</f>
        <v>60.000000000000028</v>
      </c>
      <c r="X96" s="96"/>
      <c r="Y96" s="96"/>
      <c r="Z96" s="54"/>
      <c r="AA96" s="54"/>
      <c r="AB96" s="673"/>
      <c r="AC96" s="673"/>
      <c r="AD96" s="500"/>
      <c r="AE96" s="500">
        <v>1</v>
      </c>
      <c r="AF96" s="54">
        <f t="shared" si="61"/>
        <v>-242.00000000000068</v>
      </c>
      <c r="AG96" s="493">
        <f t="shared" si="62"/>
        <v>0.8252707581227432</v>
      </c>
      <c r="AH96" s="672">
        <f>AG108</f>
        <v>0.84377260981912205</v>
      </c>
    </row>
    <row r="97" spans="1:34" s="215" customFormat="1" ht="19.2" customHeight="1">
      <c r="A97" s="699"/>
      <c r="B97" s="486" t="s">
        <v>125</v>
      </c>
      <c r="C97" s="207"/>
      <c r="D97" s="208" t="s">
        <v>63</v>
      </c>
      <c r="E97" s="56"/>
      <c r="F97" s="354">
        <v>29.113149847094796</v>
      </c>
      <c r="G97" s="209">
        <v>2623</v>
      </c>
      <c r="H97" s="210">
        <f t="shared" si="65"/>
        <v>76363.792048929652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1290.0000000000002</v>
      </c>
      <c r="O97" s="47">
        <f t="shared" si="67"/>
        <v>64.500000000000014</v>
      </c>
      <c r="P97" s="48">
        <f t="shared" si="68"/>
        <v>0</v>
      </c>
      <c r="Q97" s="49">
        <f t="shared" si="64"/>
        <v>-4.7499999999999858</v>
      </c>
      <c r="R97" s="490">
        <f t="shared" si="69"/>
        <v>0.93140794223826739</v>
      </c>
      <c r="S97" s="688"/>
      <c r="T97" s="211">
        <v>0.39027777777777778</v>
      </c>
      <c r="U97" s="211">
        <v>0.47499999999999998</v>
      </c>
      <c r="V97" s="212">
        <v>22</v>
      </c>
      <c r="W97" s="90">
        <f t="shared" si="70"/>
        <v>121.99999999999997</v>
      </c>
      <c r="X97" s="53">
        <v>0.37916666666666665</v>
      </c>
      <c r="Y97" s="53">
        <v>0.3888888888888889</v>
      </c>
      <c r="Z97" s="54"/>
      <c r="AA97" s="54"/>
      <c r="AB97" s="673"/>
      <c r="AC97" s="673"/>
      <c r="AD97" s="212"/>
      <c r="AE97" s="212"/>
      <c r="AF97" s="213">
        <f t="shared" si="61"/>
        <v>-94.999999999999773</v>
      </c>
      <c r="AG97" s="214">
        <f t="shared" si="62"/>
        <v>0.93140794223826728</v>
      </c>
      <c r="AH97" s="672"/>
    </row>
    <row r="98" spans="1:34" s="218" customFormat="1" ht="19.2" customHeight="1">
      <c r="A98" s="699"/>
      <c r="B98" s="486" t="s">
        <v>123</v>
      </c>
      <c r="C98" s="55"/>
      <c r="D98" s="42" t="s">
        <v>171</v>
      </c>
      <c r="E98" s="83"/>
      <c r="F98" s="354">
        <v>77.349999999999994</v>
      </c>
      <c r="G98" s="57">
        <v>211</v>
      </c>
      <c r="H98" s="210">
        <f t="shared" si="65"/>
        <v>16320.849999999999</v>
      </c>
      <c r="I98" s="50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1055.0000000000039</v>
      </c>
      <c r="O98" s="47">
        <f t="shared" si="67"/>
        <v>58.611111111111327</v>
      </c>
      <c r="P98" s="48">
        <f t="shared" si="68"/>
        <v>-1</v>
      </c>
      <c r="Q98" s="49">
        <f t="shared" si="64"/>
        <v>-17.178362573099193</v>
      </c>
      <c r="R98" s="490">
        <f t="shared" si="69"/>
        <v>0.77334104938271897</v>
      </c>
      <c r="S98" s="688"/>
      <c r="T98" s="89">
        <v>0.51527777777777772</v>
      </c>
      <c r="U98" s="89">
        <v>0.52361111111111103</v>
      </c>
      <c r="V98" s="500">
        <v>5</v>
      </c>
      <c r="W98" s="90">
        <f t="shared" si="70"/>
        <v>11.999999999999957</v>
      </c>
      <c r="X98" s="216"/>
      <c r="Y98" s="216"/>
      <c r="Z98" s="217"/>
      <c r="AA98" s="217"/>
      <c r="AB98" s="673"/>
      <c r="AC98" s="673"/>
      <c r="AD98" s="500"/>
      <c r="AE98" s="500"/>
      <c r="AF98" s="54">
        <f t="shared" si="61"/>
        <v>-384.99999999999613</v>
      </c>
      <c r="AG98" s="493">
        <f t="shared" si="62"/>
        <v>0.73263888888889162</v>
      </c>
      <c r="AH98" s="672"/>
    </row>
    <row r="99" spans="1:34" ht="19.2" customHeight="1">
      <c r="A99" s="699"/>
      <c r="B99" s="486" t="s">
        <v>123</v>
      </c>
      <c r="C99" s="81"/>
      <c r="D99" s="82" t="s">
        <v>57</v>
      </c>
      <c r="E99" s="83"/>
      <c r="F99" s="354">
        <v>77.34</v>
      </c>
      <c r="G99" s="57">
        <v>651</v>
      </c>
      <c r="H99" s="210">
        <f t="shared" si="65"/>
        <v>50348.340000000004</v>
      </c>
      <c r="I99" s="500"/>
      <c r="J99" s="46">
        <v>18</v>
      </c>
      <c r="K99" s="44">
        <v>1440</v>
      </c>
      <c r="L99" s="47">
        <v>80</v>
      </c>
      <c r="M99" s="484">
        <v>18</v>
      </c>
      <c r="N99" s="44">
        <f t="shared" si="66"/>
        <v>1301.9999999999977</v>
      </c>
      <c r="O99" s="47">
        <f t="shared" si="67"/>
        <v>72.333333333333201</v>
      </c>
      <c r="P99" s="48">
        <f t="shared" si="68"/>
        <v>0</v>
      </c>
      <c r="Q99" s="49">
        <f t="shared" si="64"/>
        <v>-7.6666666666667993</v>
      </c>
      <c r="R99" s="490">
        <f t="shared" si="69"/>
        <v>0.90416666666666501</v>
      </c>
      <c r="S99" s="688"/>
      <c r="T99" s="89">
        <v>0.52847222222222212</v>
      </c>
      <c r="U99" s="89">
        <v>0.54930555555555549</v>
      </c>
      <c r="V99" s="500">
        <v>7</v>
      </c>
      <c r="W99" s="90">
        <f t="shared" si="70"/>
        <v>30.000000000000053</v>
      </c>
      <c r="X99" s="180"/>
      <c r="Y99" s="180"/>
      <c r="Z99" s="124"/>
      <c r="AA99" s="124"/>
      <c r="AB99" s="673"/>
      <c r="AC99" s="673"/>
      <c r="AD99" s="500"/>
      <c r="AE99" s="500"/>
      <c r="AF99" s="213">
        <f t="shared" si="61"/>
        <v>-138.00000000000227</v>
      </c>
      <c r="AG99" s="214">
        <f t="shared" si="62"/>
        <v>0.90416666666666512</v>
      </c>
      <c r="AH99" s="672"/>
    </row>
    <row r="100" spans="1:34" s="218" customFormat="1" ht="19.2" customHeight="1">
      <c r="A100" s="699"/>
      <c r="B100" s="486" t="s">
        <v>127</v>
      </c>
      <c r="C100" s="55"/>
      <c r="D100" s="42" t="s">
        <v>209</v>
      </c>
      <c r="E100" s="83"/>
      <c r="F100" s="354">
        <v>51.44</v>
      </c>
      <c r="G100" s="57">
        <v>1554</v>
      </c>
      <c r="H100" s="210">
        <f t="shared" si="65"/>
        <v>79937.759999999995</v>
      </c>
      <c r="I100" s="500"/>
      <c r="J100" s="46">
        <v>20</v>
      </c>
      <c r="K100" s="44">
        <v>1440</v>
      </c>
      <c r="L100" s="47">
        <v>72</v>
      </c>
      <c r="M100" s="87">
        <v>21</v>
      </c>
      <c r="N100" s="44">
        <f t="shared" si="66"/>
        <v>1259.9999999999989</v>
      </c>
      <c r="O100" s="47">
        <f t="shared" si="67"/>
        <v>59.999999999999943</v>
      </c>
      <c r="P100" s="48">
        <f t="shared" si="68"/>
        <v>1</v>
      </c>
      <c r="Q100" s="49">
        <f t="shared" si="64"/>
        <v>-12.000000000000057</v>
      </c>
      <c r="R100" s="490">
        <f t="shared" si="69"/>
        <v>0.83333333333333259</v>
      </c>
      <c r="S100" s="688"/>
      <c r="T100" s="211">
        <v>0.55347222222222214</v>
      </c>
      <c r="U100" s="211">
        <v>0.60486111111111107</v>
      </c>
      <c r="V100" s="212">
        <v>6</v>
      </c>
      <c r="W100" s="90">
        <f t="shared" si="70"/>
        <v>74.000000000000057</v>
      </c>
      <c r="X100" s="219"/>
      <c r="Y100" s="219"/>
      <c r="Z100" s="217"/>
      <c r="AA100" s="217"/>
      <c r="AB100" s="673"/>
      <c r="AC100" s="673"/>
      <c r="AD100" s="500"/>
      <c r="AE100" s="500"/>
      <c r="AF100" s="54">
        <f t="shared" si="61"/>
        <v>-180.00000000000114</v>
      </c>
      <c r="AG100" s="493">
        <f t="shared" si="62"/>
        <v>0.87499999999999922</v>
      </c>
      <c r="AH100" s="672"/>
    </row>
    <row r="101" spans="1:34" s="218" customFormat="1" ht="19.2" customHeight="1">
      <c r="A101" s="699"/>
      <c r="B101" s="486" t="s">
        <v>125</v>
      </c>
      <c r="C101" s="55"/>
      <c r="D101" s="82" t="s">
        <v>200</v>
      </c>
      <c r="E101" s="83"/>
      <c r="F101" s="354">
        <v>29.46</v>
      </c>
      <c r="G101" s="57">
        <v>127</v>
      </c>
      <c r="H101" s="210">
        <f t="shared" si="65"/>
        <v>3741.42</v>
      </c>
      <c r="I101" s="500">
        <v>1</v>
      </c>
      <c r="J101" s="46">
        <v>16</v>
      </c>
      <c r="K101" s="44">
        <v>1385</v>
      </c>
      <c r="L101" s="47">
        <v>86.5625</v>
      </c>
      <c r="M101" s="87">
        <v>16</v>
      </c>
      <c r="N101" s="44">
        <f t="shared" si="66"/>
        <v>952.50000000000341</v>
      </c>
      <c r="O101" s="47">
        <f t="shared" si="67"/>
        <v>59.531250000000213</v>
      </c>
      <c r="P101" s="48">
        <f t="shared" si="68"/>
        <v>0</v>
      </c>
      <c r="Q101" s="49">
        <f t="shared" si="64"/>
        <v>-27.031249999999787</v>
      </c>
      <c r="R101" s="490">
        <f t="shared" si="69"/>
        <v>0.68772563176895551</v>
      </c>
      <c r="S101" s="688"/>
      <c r="T101" s="211">
        <v>0.6201388888888888</v>
      </c>
      <c r="U101" s="89">
        <v>0.62569444444444433</v>
      </c>
      <c r="V101" s="212">
        <v>22</v>
      </c>
      <c r="W101" s="90">
        <f t="shared" si="70"/>
        <v>7.9999999999999716</v>
      </c>
      <c r="X101" s="220">
        <v>0.60972222222222217</v>
      </c>
      <c r="Y101" s="220">
        <v>0.61944444444444446</v>
      </c>
      <c r="Z101" s="217"/>
      <c r="AA101" s="217"/>
      <c r="AB101" s="673"/>
      <c r="AC101" s="673"/>
      <c r="AD101" s="500"/>
      <c r="AE101" s="500"/>
      <c r="AF101" s="213">
        <f t="shared" si="61"/>
        <v>-432.49999999999659</v>
      </c>
      <c r="AG101" s="214">
        <f t="shared" si="62"/>
        <v>0.68772563176895551</v>
      </c>
      <c r="AH101" s="672"/>
    </row>
    <row r="102" spans="1:34" s="218" customFormat="1" ht="19.2" customHeight="1">
      <c r="A102" s="699"/>
      <c r="B102" s="486" t="s">
        <v>126</v>
      </c>
      <c r="C102" s="175"/>
      <c r="D102" s="176" t="s">
        <v>206</v>
      </c>
      <c r="E102" s="177"/>
      <c r="F102" s="354">
        <v>30.13</v>
      </c>
      <c r="G102" s="57">
        <v>967.5</v>
      </c>
      <c r="H102" s="210">
        <f t="shared" si="65"/>
        <v>29150.774999999998</v>
      </c>
      <c r="I102" s="486">
        <v>1</v>
      </c>
      <c r="J102" s="46">
        <v>18</v>
      </c>
      <c r="K102" s="44">
        <v>1200</v>
      </c>
      <c r="L102" s="47">
        <v>66.666666666666671</v>
      </c>
      <c r="M102" s="87">
        <v>18</v>
      </c>
      <c r="N102" s="44">
        <f t="shared" si="66"/>
        <v>1161.0000000000002</v>
      </c>
      <c r="O102" s="47">
        <f t="shared" si="67"/>
        <v>64.500000000000014</v>
      </c>
      <c r="P102" s="48">
        <f t="shared" si="68"/>
        <v>0</v>
      </c>
      <c r="Q102" s="49">
        <f t="shared" si="64"/>
        <v>-2.1666666666666572</v>
      </c>
      <c r="R102" s="490">
        <f t="shared" si="69"/>
        <v>0.96750000000000014</v>
      </c>
      <c r="S102" s="688"/>
      <c r="T102" s="211">
        <v>0.63055555555555542</v>
      </c>
      <c r="U102" s="211">
        <v>0.66527777777777763</v>
      </c>
      <c r="V102" s="212">
        <v>7</v>
      </c>
      <c r="W102" s="90">
        <f t="shared" si="70"/>
        <v>49.999999999999986</v>
      </c>
      <c r="X102" s="220"/>
      <c r="Y102" s="220"/>
      <c r="Z102" s="217"/>
      <c r="AA102" s="217"/>
      <c r="AB102" s="673"/>
      <c r="AC102" s="673"/>
      <c r="AD102" s="500"/>
      <c r="AE102" s="500"/>
      <c r="AF102" s="54">
        <f t="shared" si="61"/>
        <v>-38.999999999999773</v>
      </c>
      <c r="AG102" s="493">
        <f t="shared" si="62"/>
        <v>0.96750000000000014</v>
      </c>
      <c r="AH102" s="672"/>
    </row>
    <row r="103" spans="1:34" s="218" customFormat="1" ht="19.2" customHeight="1">
      <c r="A103" s="699"/>
      <c r="B103" s="486">
        <v>0</v>
      </c>
      <c r="C103" s="221"/>
      <c r="D103" s="82"/>
      <c r="E103" s="83"/>
      <c r="F103" s="354" t="s">
        <v>128</v>
      </c>
      <c r="G103" s="57"/>
      <c r="H103" s="210">
        <f t="shared" si="65"/>
        <v>0</v>
      </c>
      <c r="I103" s="222"/>
      <c r="J103" s="46"/>
      <c r="K103" s="44"/>
      <c r="L103" s="47"/>
      <c r="M103" s="87"/>
      <c r="N103" s="44"/>
      <c r="O103" s="47"/>
      <c r="P103" s="48"/>
      <c r="Q103" s="49"/>
      <c r="R103" s="490"/>
      <c r="S103" s="688"/>
      <c r="T103" s="211"/>
      <c r="U103" s="211"/>
      <c r="V103" s="212"/>
      <c r="W103" s="90">
        <f t="shared" si="70"/>
        <v>0</v>
      </c>
      <c r="X103" s="220"/>
      <c r="Y103" s="220"/>
      <c r="Z103" s="217"/>
      <c r="AA103" s="217"/>
      <c r="AB103" s="673"/>
      <c r="AC103" s="673"/>
      <c r="AD103" s="500"/>
      <c r="AE103" s="500"/>
      <c r="AF103" s="54">
        <f t="shared" si="61"/>
        <v>0</v>
      </c>
      <c r="AG103" s="493" t="e">
        <f t="shared" si="62"/>
        <v>#DIV/0!</v>
      </c>
      <c r="AH103" s="672"/>
    </row>
    <row r="104" spans="1:34" s="218" customFormat="1" ht="19.2" customHeight="1">
      <c r="A104" s="699"/>
      <c r="B104" s="486">
        <v>0</v>
      </c>
      <c r="C104" s="223"/>
      <c r="D104" s="82"/>
      <c r="E104" s="83"/>
      <c r="F104" s="354" t="s">
        <v>128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490"/>
      <c r="S104" s="689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673"/>
      <c r="AC104" s="673"/>
      <c r="AD104" s="500"/>
      <c r="AE104" s="500"/>
      <c r="AF104" s="213">
        <f t="shared" si="61"/>
        <v>0</v>
      </c>
      <c r="AG104" s="214" t="e">
        <f t="shared" si="62"/>
        <v>#DIV/0!</v>
      </c>
      <c r="AH104" s="672"/>
    </row>
    <row r="105" spans="1:34" s="218" customFormat="1" ht="19.2" customHeight="1">
      <c r="A105" s="699"/>
      <c r="B105" s="486">
        <v>0</v>
      </c>
      <c r="C105" s="223"/>
      <c r="D105" s="82"/>
      <c r="E105" s="83"/>
      <c r="F105" s="354" t="s">
        <v>128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90"/>
      <c r="S105" s="689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673"/>
      <c r="AC105" s="673"/>
      <c r="AD105" s="500"/>
      <c r="AE105" s="500"/>
      <c r="AF105" s="54">
        <f t="shared" si="61"/>
        <v>0</v>
      </c>
      <c r="AG105" s="493" t="e">
        <f t="shared" si="62"/>
        <v>#DIV/0!</v>
      </c>
      <c r="AH105" s="672"/>
    </row>
    <row r="106" spans="1:34" s="218" customFormat="1" ht="19.2" customHeight="1">
      <c r="A106" s="699"/>
      <c r="B106" s="221">
        <v>0</v>
      </c>
      <c r="C106" s="223"/>
      <c r="D106" s="82"/>
      <c r="E106" s="83"/>
      <c r="F106" s="343" t="s">
        <v>128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490"/>
      <c r="S106" s="698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673"/>
      <c r="AC106" s="673"/>
      <c r="AD106" s="500"/>
      <c r="AE106" s="500"/>
      <c r="AF106" s="54">
        <f t="shared" si="61"/>
        <v>0</v>
      </c>
      <c r="AG106" s="493" t="e">
        <f t="shared" si="62"/>
        <v>#DIV/0!</v>
      </c>
      <c r="AH106" s="672"/>
    </row>
    <row r="107" spans="1:34" s="218" customFormat="1" ht="19.2" customHeight="1">
      <c r="A107" s="699"/>
      <c r="B107" s="221">
        <v>0</v>
      </c>
      <c r="C107" s="223"/>
      <c r="D107" s="82"/>
      <c r="E107" s="83"/>
      <c r="F107" s="343" t="s">
        <v>128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93"/>
      <c r="S107" s="698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673"/>
      <c r="AC107" s="673"/>
      <c r="AD107" s="500"/>
      <c r="AE107" s="500"/>
      <c r="AF107" s="217"/>
      <c r="AG107" s="493"/>
      <c r="AH107" s="672"/>
    </row>
    <row r="108" spans="1:34" ht="19.2" customHeight="1">
      <c r="A108" s="699"/>
      <c r="B108" s="110">
        <v>0</v>
      </c>
      <c r="C108" s="100" t="s">
        <v>524</v>
      </c>
      <c r="D108" s="669" t="s">
        <v>455</v>
      </c>
      <c r="E108" s="669"/>
      <c r="F108" s="355"/>
      <c r="G108" s="101"/>
      <c r="H108" s="102"/>
      <c r="I108" s="103"/>
      <c r="J108" s="101">
        <v>18.142857142857142</v>
      </c>
      <c r="K108" s="101">
        <v>1382.1428571428571</v>
      </c>
      <c r="L108" s="104">
        <v>76.69016290726816</v>
      </c>
      <c r="M108" s="101">
        <f t="shared" ref="M108:O108" si="71">AVERAGE(M96:M107)</f>
        <v>18.142857142857142</v>
      </c>
      <c r="N108" s="101">
        <f t="shared" si="71"/>
        <v>1166.2142857142865</v>
      </c>
      <c r="O108" s="104">
        <f t="shared" si="71"/>
        <v>64.416170634920675</v>
      </c>
      <c r="P108" s="54">
        <f t="shared" ref="P108:P117" si="72">M108-J108</f>
        <v>0</v>
      </c>
      <c r="Q108" s="88">
        <f t="shared" ref="Q108:Q117" si="73">O108-L108</f>
        <v>-12.273992272347485</v>
      </c>
      <c r="R108" s="105">
        <f t="shared" ref="R108:R117" si="74">O108/L108</f>
        <v>0.8399534985055529</v>
      </c>
      <c r="S108" s="689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673"/>
      <c r="AC108" s="673"/>
      <c r="AD108" s="107">
        <f>SUM(AD96:AD107)</f>
        <v>0</v>
      </c>
      <c r="AE108" s="107">
        <f>SUM(AE96:AE107)</f>
        <v>1</v>
      </c>
      <c r="AF108" s="54">
        <f t="shared" si="61"/>
        <v>-215.92857142857065</v>
      </c>
      <c r="AG108" s="493">
        <f t="shared" si="62"/>
        <v>0.84377260981912205</v>
      </c>
      <c r="AH108" s="672"/>
    </row>
    <row r="109" spans="1:34" ht="19.2" customHeight="1">
      <c r="A109" s="690" t="s">
        <v>525</v>
      </c>
      <c r="B109" s="486" t="s">
        <v>126</v>
      </c>
      <c r="C109" s="496"/>
      <c r="D109" s="390" t="s">
        <v>207</v>
      </c>
      <c r="E109" s="43"/>
      <c r="F109" s="343">
        <v>29.965493443754308</v>
      </c>
      <c r="G109" s="44">
        <v>1442</v>
      </c>
      <c r="H109" s="45">
        <f t="shared" ref="H109:H119" si="75">F109*G109</f>
        <v>43210.24154589371</v>
      </c>
      <c r="I109" s="486"/>
      <c r="J109" s="46">
        <v>18</v>
      </c>
      <c r="K109" s="44">
        <v>1200</v>
      </c>
      <c r="L109" s="47">
        <v>66.666666666666671</v>
      </c>
      <c r="M109" s="484">
        <v>18</v>
      </c>
      <c r="N109" s="44">
        <f t="shared" ref="N109:N117" si="76">G109/W109*60</f>
        <v>1153.5999999999992</v>
      </c>
      <c r="O109" s="47">
        <f t="shared" ref="O109:O117" si="77">N109/M109</f>
        <v>64.088888888888846</v>
      </c>
      <c r="P109" s="48">
        <f t="shared" si="72"/>
        <v>0</v>
      </c>
      <c r="Q109" s="49">
        <f t="shared" si="73"/>
        <v>-2.5777777777778255</v>
      </c>
      <c r="R109" s="490">
        <f t="shared" si="74"/>
        <v>0.9613333333333326</v>
      </c>
      <c r="S109" s="693">
        <f>R121</f>
        <v>0.91220441684182818</v>
      </c>
      <c r="T109" s="226">
        <v>0.5</v>
      </c>
      <c r="U109" s="226">
        <v>0.55208333333333337</v>
      </c>
      <c r="V109" s="227">
        <v>5</v>
      </c>
      <c r="W109" s="483">
        <f t="shared" si="70"/>
        <v>75.000000000000057</v>
      </c>
      <c r="X109" s="53"/>
      <c r="Y109" s="53"/>
      <c r="Z109" s="54"/>
      <c r="AA109" s="54"/>
      <c r="AB109" s="673"/>
      <c r="AC109" s="673"/>
      <c r="AD109" s="500"/>
      <c r="AE109" s="500"/>
      <c r="AF109" s="48">
        <f t="shared" si="61"/>
        <v>-46.400000000000773</v>
      </c>
      <c r="AG109" s="125">
        <f t="shared" si="62"/>
        <v>0.96133333333333271</v>
      </c>
      <c r="AH109" s="672">
        <f>AG121</f>
        <v>0.90577927991347573</v>
      </c>
    </row>
    <row r="110" spans="1:34" ht="19.2" customHeight="1">
      <c r="A110" s="691"/>
      <c r="B110" s="486" t="s">
        <v>123</v>
      </c>
      <c r="C110" s="175"/>
      <c r="D110" s="42" t="s">
        <v>56</v>
      </c>
      <c r="E110" s="177"/>
      <c r="F110" s="343">
        <v>71.55</v>
      </c>
      <c r="G110" s="174">
        <v>693</v>
      </c>
      <c r="H110" s="45">
        <f t="shared" si="75"/>
        <v>49584.15</v>
      </c>
      <c r="I110" s="486"/>
      <c r="J110" s="46">
        <v>18</v>
      </c>
      <c r="K110" s="44">
        <v>1385</v>
      </c>
      <c r="L110" s="47">
        <v>76.944444444444443</v>
      </c>
      <c r="M110" s="484">
        <v>18</v>
      </c>
      <c r="N110" s="44">
        <f t="shared" si="76"/>
        <v>1260.0000000000043</v>
      </c>
      <c r="O110" s="47">
        <f t="shared" si="77"/>
        <v>70.000000000000242</v>
      </c>
      <c r="P110" s="48">
        <f t="shared" si="72"/>
        <v>0</v>
      </c>
      <c r="Q110" s="49">
        <f t="shared" si="73"/>
        <v>-6.9444444444442013</v>
      </c>
      <c r="R110" s="490">
        <f t="shared" si="74"/>
        <v>0.90974729241877572</v>
      </c>
      <c r="S110" s="679"/>
      <c r="T110" s="226">
        <v>0.55694444444444446</v>
      </c>
      <c r="U110" s="226">
        <v>0.57986111111111105</v>
      </c>
      <c r="V110" s="227">
        <v>7</v>
      </c>
      <c r="W110" s="483">
        <f t="shared" si="70"/>
        <v>32.999999999999886</v>
      </c>
      <c r="X110" s="188"/>
      <c r="Y110" s="188"/>
      <c r="Z110" s="54"/>
      <c r="AA110" s="54"/>
      <c r="AB110" s="673"/>
      <c r="AC110" s="673"/>
      <c r="AD110" s="500"/>
      <c r="AE110" s="500"/>
      <c r="AF110" s="48">
        <f t="shared" si="61"/>
        <v>-124.99999999999568</v>
      </c>
      <c r="AG110" s="125">
        <f t="shared" si="62"/>
        <v>0.90974729241877572</v>
      </c>
      <c r="AH110" s="672"/>
    </row>
    <row r="111" spans="1:34" ht="19.2" customHeight="1">
      <c r="A111" s="691"/>
      <c r="B111" s="486" t="s">
        <v>123</v>
      </c>
      <c r="C111" s="175"/>
      <c r="D111" s="176" t="s">
        <v>58</v>
      </c>
      <c r="E111" s="177"/>
      <c r="F111" s="343">
        <v>59.54</v>
      </c>
      <c r="G111" s="57">
        <v>1085</v>
      </c>
      <c r="H111" s="45">
        <f t="shared" si="75"/>
        <v>64600.9</v>
      </c>
      <c r="I111" s="500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1276.4705882352946</v>
      </c>
      <c r="O111" s="47">
        <f t="shared" si="77"/>
        <v>70.915032679738587</v>
      </c>
      <c r="P111" s="48">
        <f t="shared" si="72"/>
        <v>0</v>
      </c>
      <c r="Q111" s="49">
        <f t="shared" si="73"/>
        <v>-6.0294117647058556</v>
      </c>
      <c r="R111" s="490">
        <f t="shared" si="74"/>
        <v>0.9216394138882994</v>
      </c>
      <c r="S111" s="679"/>
      <c r="T111" s="226">
        <v>0.59513888888888888</v>
      </c>
      <c r="U111" s="226">
        <v>0.63055555555555554</v>
      </c>
      <c r="V111" s="227">
        <v>22</v>
      </c>
      <c r="W111" s="483">
        <f t="shared" si="70"/>
        <v>50.999999999999979</v>
      </c>
      <c r="X111" s="53">
        <v>0.58402777777777781</v>
      </c>
      <c r="Y111" s="53">
        <v>0.59375</v>
      </c>
      <c r="Z111" s="54"/>
      <c r="AA111" s="54"/>
      <c r="AB111" s="673"/>
      <c r="AC111" s="673"/>
      <c r="AD111" s="500"/>
      <c r="AE111" s="500"/>
      <c r="AF111" s="48">
        <f t="shared" si="61"/>
        <v>-108.5294117647054</v>
      </c>
      <c r="AG111" s="125">
        <f t="shared" si="62"/>
        <v>0.9216394138882994</v>
      </c>
      <c r="AH111" s="672"/>
    </row>
    <row r="112" spans="1:34" ht="19.2" customHeight="1">
      <c r="A112" s="691"/>
      <c r="B112" s="486" t="s">
        <v>127</v>
      </c>
      <c r="C112" s="175"/>
      <c r="D112" s="176" t="s">
        <v>77</v>
      </c>
      <c r="E112" s="83"/>
      <c r="F112" s="343">
        <v>55.56</v>
      </c>
      <c r="G112" s="57">
        <v>933</v>
      </c>
      <c r="H112" s="45">
        <f t="shared" si="75"/>
        <v>51837.48</v>
      </c>
      <c r="I112" s="500"/>
      <c r="J112" s="46">
        <v>16</v>
      </c>
      <c r="K112" s="44">
        <v>1440</v>
      </c>
      <c r="L112" s="47">
        <v>90</v>
      </c>
      <c r="M112" s="484">
        <v>16</v>
      </c>
      <c r="N112" s="44">
        <f t="shared" si="76"/>
        <v>1301.8604651162789</v>
      </c>
      <c r="O112" s="47">
        <f t="shared" si="77"/>
        <v>81.36627906976743</v>
      </c>
      <c r="P112" s="48">
        <f t="shared" si="72"/>
        <v>0</v>
      </c>
      <c r="Q112" s="49">
        <f t="shared" si="73"/>
        <v>-8.6337209302325704</v>
      </c>
      <c r="R112" s="490">
        <f t="shared" si="74"/>
        <v>0.90406976744186029</v>
      </c>
      <c r="S112" s="679"/>
      <c r="T112" s="226">
        <v>0.70833333333333337</v>
      </c>
      <c r="U112" s="226">
        <v>0.73819444444444449</v>
      </c>
      <c r="V112" s="227">
        <v>5</v>
      </c>
      <c r="W112" s="483">
        <f t="shared" si="70"/>
        <v>43.000000000000007</v>
      </c>
      <c r="X112" s="216"/>
      <c r="Y112" s="216"/>
      <c r="Z112" s="54"/>
      <c r="AA112" s="54"/>
      <c r="AB112" s="673"/>
      <c r="AC112" s="673"/>
      <c r="AD112" s="500"/>
      <c r="AE112" s="500"/>
      <c r="AF112" s="48">
        <f t="shared" si="61"/>
        <v>-138.13953488372113</v>
      </c>
      <c r="AG112" s="125">
        <f t="shared" si="62"/>
        <v>0.90406976744186029</v>
      </c>
      <c r="AH112" s="672"/>
    </row>
    <row r="113" spans="1:34" s="218" customFormat="1" ht="19.2" customHeight="1">
      <c r="A113" s="691"/>
      <c r="B113" s="486" t="s">
        <v>127</v>
      </c>
      <c r="C113" s="175"/>
      <c r="D113" s="176" t="s">
        <v>203</v>
      </c>
      <c r="E113" s="83"/>
      <c r="F113" s="343">
        <v>54.09</v>
      </c>
      <c r="G113" s="57">
        <v>831</v>
      </c>
      <c r="H113" s="45">
        <f t="shared" si="75"/>
        <v>44948.79</v>
      </c>
      <c r="I113" s="500"/>
      <c r="J113" s="46">
        <v>16</v>
      </c>
      <c r="K113" s="44">
        <v>1440</v>
      </c>
      <c r="L113" s="47">
        <v>90</v>
      </c>
      <c r="M113" s="489">
        <v>16</v>
      </c>
      <c r="N113" s="44">
        <f t="shared" si="76"/>
        <v>1312.1052631578937</v>
      </c>
      <c r="O113" s="47">
        <f t="shared" si="77"/>
        <v>82.006578947368354</v>
      </c>
      <c r="P113" s="48">
        <f t="shared" si="72"/>
        <v>0</v>
      </c>
      <c r="Q113" s="49">
        <f t="shared" si="73"/>
        <v>-7.9934210526316463</v>
      </c>
      <c r="R113" s="490">
        <f t="shared" si="74"/>
        <v>0.91118421052631504</v>
      </c>
      <c r="S113" s="679"/>
      <c r="T113" s="226">
        <v>0.74305555555555558</v>
      </c>
      <c r="U113" s="226">
        <v>0.76944444444444449</v>
      </c>
      <c r="V113" s="227">
        <v>7</v>
      </c>
      <c r="W113" s="483">
        <f t="shared" si="70"/>
        <v>38.000000000000028</v>
      </c>
      <c r="X113" s="216"/>
      <c r="Y113" s="216"/>
      <c r="Z113" s="217"/>
      <c r="AA113" s="217"/>
      <c r="AB113" s="673"/>
      <c r="AC113" s="673"/>
      <c r="AD113" s="221"/>
      <c r="AE113" s="221"/>
      <c r="AF113" s="48">
        <f t="shared" si="61"/>
        <v>-127.89473684210634</v>
      </c>
      <c r="AG113" s="125">
        <f t="shared" si="62"/>
        <v>0.91118421052631504</v>
      </c>
      <c r="AH113" s="672"/>
    </row>
    <row r="114" spans="1:34" s="218" customFormat="1" ht="19.2" customHeight="1">
      <c r="A114" s="691"/>
      <c r="B114" s="486" t="s">
        <v>127</v>
      </c>
      <c r="C114" s="175"/>
      <c r="D114" s="176" t="s">
        <v>208</v>
      </c>
      <c r="E114" s="43"/>
      <c r="F114" s="343">
        <v>52.21</v>
      </c>
      <c r="G114" s="44">
        <v>922</v>
      </c>
      <c r="H114" s="45">
        <f t="shared" si="75"/>
        <v>48137.62</v>
      </c>
      <c r="I114" s="500"/>
      <c r="J114" s="46">
        <v>17</v>
      </c>
      <c r="K114" s="44">
        <v>1440</v>
      </c>
      <c r="L114" s="47">
        <v>84.705882352941174</v>
      </c>
      <c r="M114" s="489">
        <v>17</v>
      </c>
      <c r="N114" s="44">
        <f t="shared" si="76"/>
        <v>1349.2682926829264</v>
      </c>
      <c r="O114" s="47">
        <f t="shared" si="77"/>
        <v>79.368723098995673</v>
      </c>
      <c r="P114" s="48">
        <f t="shared" si="72"/>
        <v>0</v>
      </c>
      <c r="Q114" s="49">
        <f t="shared" si="73"/>
        <v>-5.3371592539455008</v>
      </c>
      <c r="R114" s="490">
        <f t="shared" si="74"/>
        <v>0.93699186991869898</v>
      </c>
      <c r="S114" s="679"/>
      <c r="T114" s="226">
        <v>0.77361111111111114</v>
      </c>
      <c r="U114" s="226">
        <v>0.80208333333333337</v>
      </c>
      <c r="V114" s="227">
        <v>6</v>
      </c>
      <c r="W114" s="483">
        <f t="shared" si="70"/>
        <v>41.000000000000014</v>
      </c>
      <c r="X114" s="216"/>
      <c r="Y114" s="216"/>
      <c r="Z114" s="217"/>
      <c r="AA114" s="217"/>
      <c r="AB114" s="673"/>
      <c r="AC114" s="673"/>
      <c r="AD114" s="221"/>
      <c r="AE114" s="221"/>
      <c r="AF114" s="48">
        <f t="shared" si="61"/>
        <v>-90.731707317073642</v>
      </c>
      <c r="AG114" s="125">
        <f t="shared" si="62"/>
        <v>0.93699186991869887</v>
      </c>
      <c r="AH114" s="672"/>
    </row>
    <row r="115" spans="1:34" s="218" customFormat="1" ht="19.2" customHeight="1">
      <c r="A115" s="691"/>
      <c r="B115" s="486" t="s">
        <v>127</v>
      </c>
      <c r="C115" s="175"/>
      <c r="D115" s="82" t="s">
        <v>188</v>
      </c>
      <c r="E115" s="83"/>
      <c r="F115" s="343">
        <v>58.17</v>
      </c>
      <c r="G115" s="229">
        <v>1086</v>
      </c>
      <c r="H115" s="45">
        <f t="shared" si="75"/>
        <v>63172.62</v>
      </c>
      <c r="I115" s="500"/>
      <c r="J115" s="46">
        <v>16</v>
      </c>
      <c r="K115" s="44">
        <v>1636</v>
      </c>
      <c r="L115" s="47">
        <v>102.25</v>
      </c>
      <c r="M115" s="489">
        <v>16</v>
      </c>
      <c r="N115" s="44">
        <f t="shared" si="76"/>
        <v>1386.3829787234044</v>
      </c>
      <c r="O115" s="47">
        <f t="shared" si="77"/>
        <v>86.648936170212778</v>
      </c>
      <c r="P115" s="48">
        <f t="shared" si="72"/>
        <v>0</v>
      </c>
      <c r="Q115" s="49">
        <f t="shared" si="73"/>
        <v>-15.601063829787222</v>
      </c>
      <c r="R115" s="490">
        <f t="shared" si="74"/>
        <v>0.84742235863288784</v>
      </c>
      <c r="S115" s="679"/>
      <c r="T115" s="226">
        <v>0.80694444444444446</v>
      </c>
      <c r="U115" s="226">
        <v>0.83958333333333335</v>
      </c>
      <c r="V115" s="227">
        <v>7</v>
      </c>
      <c r="W115" s="483">
        <f t="shared" si="70"/>
        <v>46.999999999999993</v>
      </c>
      <c r="X115" s="216"/>
      <c r="Y115" s="216"/>
      <c r="Z115" s="217"/>
      <c r="AA115" s="217"/>
      <c r="AB115" s="673"/>
      <c r="AC115" s="673"/>
      <c r="AD115" s="221"/>
      <c r="AE115" s="221"/>
      <c r="AF115" s="48">
        <f t="shared" si="61"/>
        <v>-249.61702127659555</v>
      </c>
      <c r="AG115" s="125">
        <f t="shared" si="62"/>
        <v>0.84742235863288784</v>
      </c>
      <c r="AH115" s="672"/>
    </row>
    <row r="116" spans="1:34" s="218" customFormat="1" ht="19.2" customHeight="1">
      <c r="A116" s="691"/>
      <c r="B116" s="486" t="s">
        <v>127</v>
      </c>
      <c r="C116" s="55"/>
      <c r="D116" s="82" t="s">
        <v>210</v>
      </c>
      <c r="E116" s="83"/>
      <c r="F116" s="343">
        <v>57.3</v>
      </c>
      <c r="G116" s="229">
        <v>1460</v>
      </c>
      <c r="H116" s="45">
        <f t="shared" si="75"/>
        <v>83658</v>
      </c>
      <c r="I116" s="500"/>
      <c r="J116" s="46">
        <v>19</v>
      </c>
      <c r="K116" s="44">
        <v>1440</v>
      </c>
      <c r="L116" s="47">
        <v>75.78947368421052</v>
      </c>
      <c r="M116" s="489">
        <v>19</v>
      </c>
      <c r="N116" s="44">
        <f t="shared" si="76"/>
        <v>1288.2352941176455</v>
      </c>
      <c r="O116" s="47">
        <f t="shared" si="77"/>
        <v>67.801857585139231</v>
      </c>
      <c r="P116" s="48">
        <f t="shared" si="72"/>
        <v>0</v>
      </c>
      <c r="Q116" s="49">
        <f t="shared" si="73"/>
        <v>-7.987616099071289</v>
      </c>
      <c r="R116" s="490">
        <f t="shared" si="74"/>
        <v>0.89460784313725383</v>
      </c>
      <c r="S116" s="679"/>
      <c r="T116" s="226">
        <v>0.85555555555555562</v>
      </c>
      <c r="U116" s="226">
        <v>0.9027777777777779</v>
      </c>
      <c r="V116" s="227">
        <v>23</v>
      </c>
      <c r="W116" s="483">
        <f t="shared" si="70"/>
        <v>68.000000000000085</v>
      </c>
      <c r="X116" s="216">
        <v>0.84375</v>
      </c>
      <c r="Y116" s="216">
        <v>0.85416666666666663</v>
      </c>
      <c r="Z116" s="217"/>
      <c r="AA116" s="217"/>
      <c r="AB116" s="673"/>
      <c r="AC116" s="673"/>
      <c r="AD116" s="221"/>
      <c r="AE116" s="221"/>
      <c r="AF116" s="48">
        <f t="shared" si="61"/>
        <v>-151.76470588235452</v>
      </c>
      <c r="AG116" s="125">
        <f t="shared" si="62"/>
        <v>0.89460784313725383</v>
      </c>
      <c r="AH116" s="672"/>
    </row>
    <row r="117" spans="1:34" s="218" customFormat="1" ht="19.2" customHeight="1">
      <c r="A117" s="691"/>
      <c r="B117" s="486" t="s">
        <v>127</v>
      </c>
      <c r="C117" s="55"/>
      <c r="D117" s="82" t="s">
        <v>193</v>
      </c>
      <c r="E117" s="83"/>
      <c r="F117" s="343">
        <v>51.06</v>
      </c>
      <c r="G117" s="229">
        <v>1591</v>
      </c>
      <c r="H117" s="45">
        <f t="shared" si="75"/>
        <v>81236.460000000006</v>
      </c>
      <c r="I117" s="500"/>
      <c r="J117" s="46">
        <v>16</v>
      </c>
      <c r="K117" s="44">
        <v>1500</v>
      </c>
      <c r="L117" s="47">
        <v>93.75</v>
      </c>
      <c r="M117" s="489">
        <v>15</v>
      </c>
      <c r="N117" s="44">
        <f t="shared" si="76"/>
        <v>1325.8333333333321</v>
      </c>
      <c r="O117" s="47">
        <f t="shared" si="77"/>
        <v>88.388888888888815</v>
      </c>
      <c r="P117" s="48">
        <f t="shared" si="72"/>
        <v>-1</v>
      </c>
      <c r="Q117" s="49">
        <f t="shared" si="73"/>
        <v>-5.3611111111111853</v>
      </c>
      <c r="R117" s="490">
        <f t="shared" si="74"/>
        <v>0.942814814814814</v>
      </c>
      <c r="S117" s="679"/>
      <c r="T117" s="226">
        <v>0.90763888888888899</v>
      </c>
      <c r="U117" s="226">
        <v>0.95763888888888904</v>
      </c>
      <c r="V117" s="227">
        <v>7</v>
      </c>
      <c r="W117" s="483">
        <f t="shared" si="70"/>
        <v>72.000000000000057</v>
      </c>
      <c r="X117" s="216"/>
      <c r="Y117" s="216"/>
      <c r="Z117" s="217"/>
      <c r="AA117" s="217"/>
      <c r="AB117" s="673"/>
      <c r="AC117" s="673"/>
      <c r="AD117" s="221"/>
      <c r="AE117" s="221"/>
      <c r="AF117" s="48">
        <f t="shared" si="61"/>
        <v>-174.16666666666788</v>
      </c>
      <c r="AG117" s="125">
        <f t="shared" si="62"/>
        <v>0.88388888888888806</v>
      </c>
      <c r="AH117" s="672"/>
    </row>
    <row r="118" spans="1:34" s="218" customFormat="1" ht="19.2" customHeight="1">
      <c r="A118" s="691"/>
      <c r="B118" s="486">
        <v>0</v>
      </c>
      <c r="C118" s="163"/>
      <c r="D118" s="176"/>
      <c r="E118" s="43"/>
      <c r="F118" s="343" t="s">
        <v>128</v>
      </c>
      <c r="G118" s="44"/>
      <c r="H118" s="45">
        <f t="shared" si="75"/>
        <v>0</v>
      </c>
      <c r="I118" s="500"/>
      <c r="J118" s="46"/>
      <c r="K118" s="44"/>
      <c r="L118" s="47"/>
      <c r="M118" s="489"/>
      <c r="N118" s="44"/>
      <c r="O118" s="47"/>
      <c r="P118" s="48"/>
      <c r="Q118" s="49"/>
      <c r="R118" s="490"/>
      <c r="S118" s="679"/>
      <c r="T118" s="226"/>
      <c r="U118" s="226"/>
      <c r="V118" s="227"/>
      <c r="W118" s="483">
        <f t="shared" si="70"/>
        <v>0</v>
      </c>
      <c r="X118" s="216"/>
      <c r="Y118" s="216"/>
      <c r="Z118" s="217"/>
      <c r="AA118" s="217"/>
      <c r="AB118" s="673"/>
      <c r="AC118" s="673"/>
      <c r="AD118" s="221"/>
      <c r="AE118" s="221"/>
      <c r="AF118" s="48">
        <f t="shared" si="61"/>
        <v>0</v>
      </c>
      <c r="AG118" s="125" t="e">
        <f t="shared" si="62"/>
        <v>#DIV/0!</v>
      </c>
      <c r="AH118" s="672"/>
    </row>
    <row r="119" spans="1:34" s="218" customFormat="1" ht="19.2" customHeight="1">
      <c r="A119" s="691"/>
      <c r="B119" s="486">
        <v>0</v>
      </c>
      <c r="C119" s="223"/>
      <c r="D119" s="82"/>
      <c r="E119" s="83"/>
      <c r="F119" s="343" t="s">
        <v>128</v>
      </c>
      <c r="G119" s="229"/>
      <c r="H119" s="45">
        <f t="shared" si="75"/>
        <v>0</v>
      </c>
      <c r="I119" s="500"/>
      <c r="J119" s="178"/>
      <c r="K119" s="231"/>
      <c r="L119" s="47"/>
      <c r="M119" s="489"/>
      <c r="N119" s="179"/>
      <c r="O119" s="224"/>
      <c r="P119" s="165"/>
      <c r="Q119" s="49"/>
      <c r="R119" s="490"/>
      <c r="S119" s="679"/>
      <c r="T119" s="226"/>
      <c r="U119" s="226"/>
      <c r="V119" s="227"/>
      <c r="W119" s="483">
        <f t="shared" si="70"/>
        <v>0</v>
      </c>
      <c r="X119" s="216"/>
      <c r="Y119" s="216"/>
      <c r="Z119" s="217"/>
      <c r="AA119" s="217"/>
      <c r="AB119" s="673"/>
      <c r="AC119" s="673"/>
      <c r="AD119" s="221"/>
      <c r="AE119" s="221"/>
      <c r="AF119" s="48">
        <f t="shared" si="61"/>
        <v>0</v>
      </c>
      <c r="AG119" s="125" t="e">
        <f t="shared" si="62"/>
        <v>#DIV/0!</v>
      </c>
      <c r="AH119" s="672"/>
    </row>
    <row r="120" spans="1:34" s="218" customFormat="1" ht="19.2" customHeight="1">
      <c r="A120" s="691"/>
      <c r="B120" s="486">
        <v>0</v>
      </c>
      <c r="C120" s="223"/>
      <c r="D120" s="82"/>
      <c r="E120" s="83"/>
      <c r="F120" s="350" t="s">
        <v>128</v>
      </c>
      <c r="G120" s="229"/>
      <c r="H120" s="230">
        <f>F120*G120</f>
        <v>0</v>
      </c>
      <c r="I120" s="500"/>
      <c r="J120" s="178"/>
      <c r="K120" s="231"/>
      <c r="L120" s="47"/>
      <c r="M120" s="489"/>
      <c r="N120" s="179"/>
      <c r="O120" s="224"/>
      <c r="P120" s="165"/>
      <c r="Q120" s="49"/>
      <c r="R120" s="490"/>
      <c r="S120" s="679"/>
      <c r="T120" s="226"/>
      <c r="U120" s="226"/>
      <c r="V120" s="227"/>
      <c r="W120" s="483">
        <f t="shared" si="70"/>
        <v>0</v>
      </c>
      <c r="X120" s="216"/>
      <c r="Y120" s="216"/>
      <c r="Z120" s="217"/>
      <c r="AA120" s="217"/>
      <c r="AB120" s="673"/>
      <c r="AC120" s="673"/>
      <c r="AD120" s="221"/>
      <c r="AE120" s="221"/>
      <c r="AF120" s="48">
        <f t="shared" si="61"/>
        <v>0</v>
      </c>
      <c r="AG120" s="125" t="e">
        <f t="shared" si="62"/>
        <v>#DIV/0!</v>
      </c>
      <c r="AH120" s="672"/>
    </row>
    <row r="121" spans="1:34" ht="19.2" customHeight="1">
      <c r="A121" s="692"/>
      <c r="B121" s="121">
        <v>0</v>
      </c>
      <c r="C121" s="100" t="s">
        <v>526</v>
      </c>
      <c r="D121" s="232" t="s">
        <v>455</v>
      </c>
      <c r="E121" s="233"/>
      <c r="F121" s="352"/>
      <c r="G121" s="234"/>
      <c r="H121" s="235"/>
      <c r="I121" s="236"/>
      <c r="J121" s="202">
        <v>17.111111111111111</v>
      </c>
      <c r="K121" s="202">
        <v>1429.5555555555557</v>
      </c>
      <c r="L121" s="203">
        <v>84.116767954745242</v>
      </c>
      <c r="M121" s="202">
        <f t="shared" ref="M121:O121" si="78">AVERAGE(M109:M120)</f>
        <v>17</v>
      </c>
      <c r="N121" s="202">
        <f t="shared" si="78"/>
        <v>1294.86180170742</v>
      </c>
      <c r="O121" s="203">
        <f t="shared" si="78"/>
        <v>76.731687258777768</v>
      </c>
      <c r="P121" s="48">
        <f t="shared" ref="P121:P129" si="79">M121-J121</f>
        <v>-0.11111111111111072</v>
      </c>
      <c r="Q121" s="49">
        <f t="shared" ref="Q121:Q129" si="80">O121-L121</f>
        <v>-7.3850806959674742</v>
      </c>
      <c r="R121" s="172">
        <f t="shared" ref="R121:R129" si="81">O121/L121</f>
        <v>0.91220441684182818</v>
      </c>
      <c r="S121" s="687"/>
      <c r="T121" s="50"/>
      <c r="U121" s="50"/>
      <c r="V121" s="44"/>
      <c r="W121" s="48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673"/>
      <c r="AC121" s="673"/>
      <c r="AD121" s="107">
        <f>SUM(AD109:AD120)</f>
        <v>0</v>
      </c>
      <c r="AE121" s="107">
        <f>SUM(AE109:AE120)</f>
        <v>0</v>
      </c>
      <c r="AF121" s="48">
        <f>N121-K121</f>
        <v>-134.69375384813566</v>
      </c>
      <c r="AG121" s="125">
        <f>N121/K121</f>
        <v>0.90577927991347573</v>
      </c>
      <c r="AH121" s="672"/>
    </row>
    <row r="122" spans="1:34" ht="19.2" customHeight="1">
      <c r="A122" s="694" t="s">
        <v>527</v>
      </c>
      <c r="B122" s="130" t="s">
        <v>123</v>
      </c>
      <c r="C122" s="163"/>
      <c r="D122" s="176" t="s">
        <v>79</v>
      </c>
      <c r="E122" s="43"/>
      <c r="F122" s="343">
        <v>58.67</v>
      </c>
      <c r="G122" s="44">
        <v>1031</v>
      </c>
      <c r="H122" s="45">
        <f t="shared" ref="H122:H132" si="82">F122*G122</f>
        <v>60488.770000000004</v>
      </c>
      <c r="I122" s="486"/>
      <c r="J122" s="46">
        <v>19</v>
      </c>
      <c r="K122" s="44">
        <v>1440</v>
      </c>
      <c r="L122" s="47">
        <v>75.78947368421052</v>
      </c>
      <c r="M122" s="484">
        <v>19</v>
      </c>
      <c r="N122" s="174">
        <f t="shared" ref="N122:N129" si="83">G122/W122*60</f>
        <v>1344.7826086956522</v>
      </c>
      <c r="O122" s="237">
        <f t="shared" ref="O122:O129" si="84">N122/M122</f>
        <v>70.778032036613283</v>
      </c>
      <c r="P122" s="108">
        <f t="shared" si="79"/>
        <v>0</v>
      </c>
      <c r="Q122" s="182">
        <f t="shared" si="80"/>
        <v>-5.0114416475972376</v>
      </c>
      <c r="R122" s="109">
        <f t="shared" si="81"/>
        <v>0.9338768115942031</v>
      </c>
      <c r="S122" s="688">
        <f>R134</f>
        <v>0.90863723498353011</v>
      </c>
      <c r="T122" s="50">
        <v>0.5</v>
      </c>
      <c r="U122" s="50">
        <v>0.53194444444444444</v>
      </c>
      <c r="V122" s="227">
        <v>5</v>
      </c>
      <c r="W122" s="483">
        <f t="shared" si="70"/>
        <v>46</v>
      </c>
      <c r="X122" s="53"/>
      <c r="Y122" s="53"/>
      <c r="Z122" s="54"/>
      <c r="AA122" s="54"/>
      <c r="AB122" s="673"/>
      <c r="AC122" s="673"/>
      <c r="AD122" s="500"/>
      <c r="AE122" s="500"/>
      <c r="AF122" s="48">
        <f t="shared" si="61"/>
        <v>-95.217391304347757</v>
      </c>
      <c r="AG122" s="490">
        <f t="shared" si="62"/>
        <v>0.93387681159420299</v>
      </c>
      <c r="AH122" s="687">
        <f>AG134</f>
        <v>0.91700597650765514</v>
      </c>
    </row>
    <row r="123" spans="1:34" ht="19.2" customHeight="1">
      <c r="A123" s="694"/>
      <c r="B123" s="130" t="s">
        <v>123</v>
      </c>
      <c r="C123" s="97"/>
      <c r="D123" s="42" t="s">
        <v>78</v>
      </c>
      <c r="E123" s="177"/>
      <c r="F123" s="343">
        <v>59.52</v>
      </c>
      <c r="G123" s="44">
        <v>1520</v>
      </c>
      <c r="H123" s="45">
        <f t="shared" si="82"/>
        <v>90470.400000000009</v>
      </c>
      <c r="I123" s="500"/>
      <c r="J123" s="46">
        <v>21</v>
      </c>
      <c r="K123" s="44">
        <v>1385</v>
      </c>
      <c r="L123" s="47">
        <v>65.952380952380949</v>
      </c>
      <c r="M123" s="489">
        <v>21</v>
      </c>
      <c r="N123" s="57">
        <f t="shared" si="83"/>
        <v>1302.8571428571418</v>
      </c>
      <c r="O123" s="86">
        <f t="shared" si="84"/>
        <v>62.04081632653056</v>
      </c>
      <c r="P123" s="54">
        <f t="shared" si="79"/>
        <v>0</v>
      </c>
      <c r="Q123" s="88">
        <f t="shared" si="80"/>
        <v>-3.9115646258503887</v>
      </c>
      <c r="R123" s="493">
        <f t="shared" si="81"/>
        <v>0.94069107787519268</v>
      </c>
      <c r="S123" s="688"/>
      <c r="T123" s="50">
        <v>0.53749999999999998</v>
      </c>
      <c r="U123" s="50">
        <v>0.58611111111111114</v>
      </c>
      <c r="V123" s="227">
        <v>8</v>
      </c>
      <c r="W123" s="483">
        <f t="shared" si="70"/>
        <v>70.000000000000071</v>
      </c>
      <c r="X123" s="53"/>
      <c r="Y123" s="53"/>
      <c r="Z123" s="54"/>
      <c r="AA123" s="54"/>
      <c r="AB123" s="673"/>
      <c r="AC123" s="673"/>
      <c r="AD123" s="500"/>
      <c r="AE123" s="500"/>
      <c r="AF123" s="48">
        <f t="shared" si="61"/>
        <v>-82.142857142858247</v>
      </c>
      <c r="AG123" s="490">
        <f t="shared" si="62"/>
        <v>0.94069107787519257</v>
      </c>
      <c r="AH123" s="688"/>
    </row>
    <row r="124" spans="1:34" ht="19.2" customHeight="1">
      <c r="A124" s="694"/>
      <c r="B124" s="130" t="s">
        <v>123</v>
      </c>
      <c r="C124" s="175"/>
      <c r="D124" s="176" t="s">
        <v>213</v>
      </c>
      <c r="E124" s="177"/>
      <c r="F124" s="343">
        <v>63.92</v>
      </c>
      <c r="G124" s="174">
        <v>1276</v>
      </c>
      <c r="H124" s="45">
        <f t="shared" si="82"/>
        <v>81561.919999999998</v>
      </c>
      <c r="I124" s="238"/>
      <c r="J124" s="46">
        <v>19</v>
      </c>
      <c r="K124" s="44">
        <v>1440</v>
      </c>
      <c r="L124" s="47">
        <v>75.78947368421052</v>
      </c>
      <c r="M124" s="484">
        <v>19</v>
      </c>
      <c r="N124" s="174">
        <f t="shared" si="83"/>
        <v>1320.0000000000011</v>
      </c>
      <c r="O124" s="237">
        <f t="shared" si="84"/>
        <v>69.473684210526372</v>
      </c>
      <c r="P124" s="108">
        <f t="shared" si="79"/>
        <v>0</v>
      </c>
      <c r="Q124" s="182">
        <f t="shared" si="80"/>
        <v>-6.3157894736841484</v>
      </c>
      <c r="R124" s="109">
        <f t="shared" si="81"/>
        <v>0.91666666666666752</v>
      </c>
      <c r="S124" s="695"/>
      <c r="T124" s="50">
        <v>0.60138888888888886</v>
      </c>
      <c r="U124" s="50">
        <v>0.64166666666666661</v>
      </c>
      <c r="V124" s="227">
        <v>22</v>
      </c>
      <c r="W124" s="483">
        <f t="shared" si="70"/>
        <v>57.999999999999957</v>
      </c>
      <c r="X124" s="188">
        <v>0.59027777777777779</v>
      </c>
      <c r="Y124" s="188">
        <v>0.60069444444444442</v>
      </c>
      <c r="Z124" s="54"/>
      <c r="AA124" s="54"/>
      <c r="AB124" s="673"/>
      <c r="AC124" s="673"/>
      <c r="AD124" s="500"/>
      <c r="AE124" s="500"/>
      <c r="AF124" s="108">
        <f t="shared" si="61"/>
        <v>-119.99999999999886</v>
      </c>
      <c r="AG124" s="109">
        <f t="shared" si="62"/>
        <v>0.91666666666666741</v>
      </c>
      <c r="AH124" s="688"/>
    </row>
    <row r="125" spans="1:34" ht="19.2" customHeight="1">
      <c r="A125" s="694"/>
      <c r="B125" s="130" t="s">
        <v>127</v>
      </c>
      <c r="C125" s="97"/>
      <c r="D125" s="42" t="s">
        <v>80</v>
      </c>
      <c r="E125" s="43"/>
      <c r="F125" s="343">
        <v>56.79</v>
      </c>
      <c r="G125" s="44">
        <v>1375</v>
      </c>
      <c r="H125" s="45">
        <f t="shared" si="82"/>
        <v>78086.25</v>
      </c>
      <c r="I125" s="486"/>
      <c r="J125" s="46">
        <v>18</v>
      </c>
      <c r="K125" s="44">
        <v>1636</v>
      </c>
      <c r="L125" s="47">
        <v>90.888888888888886</v>
      </c>
      <c r="M125" s="484">
        <v>18</v>
      </c>
      <c r="N125" s="174">
        <f t="shared" si="83"/>
        <v>1447.3684210526326</v>
      </c>
      <c r="O125" s="237">
        <f t="shared" si="84"/>
        <v>80.409356725146253</v>
      </c>
      <c r="P125" s="108">
        <f t="shared" si="79"/>
        <v>0</v>
      </c>
      <c r="Q125" s="182">
        <f t="shared" si="80"/>
        <v>-10.479532163742633</v>
      </c>
      <c r="R125" s="109">
        <f t="shared" si="81"/>
        <v>0.88469952387080231</v>
      </c>
      <c r="S125" s="695"/>
      <c r="T125" s="50">
        <v>0.68194444444444435</v>
      </c>
      <c r="U125" s="50">
        <v>0.72152777777777766</v>
      </c>
      <c r="V125" s="227">
        <v>5</v>
      </c>
      <c r="W125" s="483">
        <f t="shared" si="70"/>
        <v>56.999999999999957</v>
      </c>
      <c r="X125" s="64"/>
      <c r="Y125" s="64"/>
      <c r="Z125" s="54"/>
      <c r="AA125" s="54"/>
      <c r="AB125" s="673"/>
      <c r="AC125" s="673"/>
      <c r="AD125" s="500"/>
      <c r="AE125" s="500"/>
      <c r="AF125" s="48">
        <f t="shared" si="61"/>
        <v>-188.63157894736742</v>
      </c>
      <c r="AG125" s="490">
        <f t="shared" si="62"/>
        <v>0.88469952387080231</v>
      </c>
      <c r="AH125" s="689"/>
    </row>
    <row r="126" spans="1:34" ht="19.2" customHeight="1">
      <c r="A126" s="694"/>
      <c r="B126" s="130" t="s">
        <v>127</v>
      </c>
      <c r="C126" s="500"/>
      <c r="D126" s="391" t="s">
        <v>81</v>
      </c>
      <c r="E126" s="177"/>
      <c r="F126" s="343">
        <v>56.87</v>
      </c>
      <c r="G126" s="57">
        <v>1118</v>
      </c>
      <c r="H126" s="45">
        <f t="shared" si="82"/>
        <v>63580.659999999996</v>
      </c>
      <c r="I126" s="500"/>
      <c r="J126" s="46">
        <v>18</v>
      </c>
      <c r="K126" s="44">
        <v>1636</v>
      </c>
      <c r="L126" s="47">
        <v>90.888888888888886</v>
      </c>
      <c r="M126" s="489">
        <v>18</v>
      </c>
      <c r="N126" s="57">
        <f t="shared" si="83"/>
        <v>1458.2608695652175</v>
      </c>
      <c r="O126" s="86">
        <f t="shared" si="84"/>
        <v>81.014492753623188</v>
      </c>
      <c r="P126" s="54">
        <f t="shared" si="79"/>
        <v>0</v>
      </c>
      <c r="Q126" s="88">
        <f t="shared" si="80"/>
        <v>-9.8743961352656981</v>
      </c>
      <c r="R126" s="493">
        <f t="shared" si="81"/>
        <v>0.8913574997342405</v>
      </c>
      <c r="S126" s="695"/>
      <c r="T126" s="50">
        <v>0.72638888888888875</v>
      </c>
      <c r="U126" s="50">
        <v>0.75833333333333319</v>
      </c>
      <c r="V126" s="227">
        <v>7</v>
      </c>
      <c r="W126" s="483">
        <f t="shared" si="70"/>
        <v>46</v>
      </c>
      <c r="X126" s="64"/>
      <c r="Y126" s="64"/>
      <c r="Z126" s="54"/>
      <c r="AA126" s="54"/>
      <c r="AB126" s="673"/>
      <c r="AC126" s="673"/>
      <c r="AD126" s="500"/>
      <c r="AE126" s="500"/>
      <c r="AF126" s="108">
        <f t="shared" si="61"/>
        <v>-177.73913043478251</v>
      </c>
      <c r="AG126" s="109">
        <f t="shared" si="62"/>
        <v>0.8913574997342405</v>
      </c>
      <c r="AH126" s="689"/>
    </row>
    <row r="127" spans="1:34" ht="19.2" customHeight="1">
      <c r="A127" s="694"/>
      <c r="B127" s="130" t="s">
        <v>127</v>
      </c>
      <c r="C127" s="223"/>
      <c r="D127" s="392" t="s">
        <v>82</v>
      </c>
      <c r="E127" s="83"/>
      <c r="F127" s="343">
        <v>47.6</v>
      </c>
      <c r="G127" s="209">
        <v>1340</v>
      </c>
      <c r="H127" s="45">
        <f t="shared" si="82"/>
        <v>63784</v>
      </c>
      <c r="I127" s="221"/>
      <c r="J127" s="46">
        <v>19</v>
      </c>
      <c r="K127" s="44">
        <v>1440</v>
      </c>
      <c r="L127" s="47">
        <v>75.78947368421052</v>
      </c>
      <c r="M127" s="484">
        <v>19</v>
      </c>
      <c r="N127" s="57">
        <f t="shared" si="83"/>
        <v>1340.0000000000011</v>
      </c>
      <c r="O127" s="86">
        <f t="shared" si="84"/>
        <v>70.526315789473742</v>
      </c>
      <c r="P127" s="54">
        <f t="shared" si="79"/>
        <v>0</v>
      </c>
      <c r="Q127" s="88">
        <f t="shared" si="80"/>
        <v>-5.2631578947367785</v>
      </c>
      <c r="R127" s="493">
        <f t="shared" si="81"/>
        <v>0.93055555555555636</v>
      </c>
      <c r="S127" s="695"/>
      <c r="T127" s="50">
        <v>0.76319444444444429</v>
      </c>
      <c r="U127" s="50">
        <v>0.80486111111111092</v>
      </c>
      <c r="V127" s="486">
        <v>7</v>
      </c>
      <c r="W127" s="483">
        <f t="shared" si="70"/>
        <v>59.999999999999943</v>
      </c>
      <c r="X127" s="64"/>
      <c r="Y127" s="64"/>
      <c r="Z127" s="54"/>
      <c r="AA127" s="54"/>
      <c r="AB127" s="673"/>
      <c r="AC127" s="673"/>
      <c r="AD127" s="500"/>
      <c r="AE127" s="500"/>
      <c r="AF127" s="108">
        <f t="shared" si="61"/>
        <v>-99.999999999998863</v>
      </c>
      <c r="AG127" s="109">
        <f t="shared" si="62"/>
        <v>0.93055555555555636</v>
      </c>
      <c r="AH127" s="689"/>
    </row>
    <row r="128" spans="1:34" ht="19.2" customHeight="1">
      <c r="A128" s="694"/>
      <c r="B128" s="130" t="s">
        <v>127</v>
      </c>
      <c r="C128" s="157"/>
      <c r="D128" s="59" t="s">
        <v>136</v>
      </c>
      <c r="E128" s="83"/>
      <c r="F128" s="343">
        <v>50.67</v>
      </c>
      <c r="G128" s="57">
        <v>1212</v>
      </c>
      <c r="H128" s="45">
        <f t="shared" si="82"/>
        <v>61412.04</v>
      </c>
      <c r="I128" s="500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1398.4615384615392</v>
      </c>
      <c r="O128" s="86">
        <f t="shared" si="84"/>
        <v>77.692307692307736</v>
      </c>
      <c r="P128" s="54">
        <f t="shared" si="79"/>
        <v>0</v>
      </c>
      <c r="Q128" s="88">
        <f t="shared" si="80"/>
        <v>-5.6410256410255926</v>
      </c>
      <c r="R128" s="493">
        <f t="shared" si="81"/>
        <v>0.93230769230769284</v>
      </c>
      <c r="S128" s="695"/>
      <c r="T128" s="50">
        <v>0.82083333333333308</v>
      </c>
      <c r="U128" s="50">
        <v>0.85694444444444418</v>
      </c>
      <c r="V128" s="486">
        <v>23</v>
      </c>
      <c r="W128" s="483">
        <f t="shared" si="70"/>
        <v>51.999999999999972</v>
      </c>
      <c r="X128" s="64">
        <v>0.80902777777777779</v>
      </c>
      <c r="Y128" s="64">
        <v>0.81944444444444453</v>
      </c>
      <c r="Z128" s="54"/>
      <c r="AA128" s="54"/>
      <c r="AB128" s="673"/>
      <c r="AC128" s="673"/>
      <c r="AD128" s="500"/>
      <c r="AE128" s="500"/>
      <c r="AF128" s="48">
        <f t="shared" si="61"/>
        <v>-101.53846153846075</v>
      </c>
      <c r="AG128" s="490">
        <f t="shared" si="62"/>
        <v>0.93230769230769284</v>
      </c>
      <c r="AH128" s="689"/>
    </row>
    <row r="129" spans="1:34" ht="19.2" customHeight="1">
      <c r="A129" s="694"/>
      <c r="B129" s="130" t="s">
        <v>127</v>
      </c>
      <c r="C129" s="157"/>
      <c r="D129" s="59" t="s">
        <v>197</v>
      </c>
      <c r="E129" s="60"/>
      <c r="F129" s="343">
        <v>56.43</v>
      </c>
      <c r="G129" s="57">
        <v>1097</v>
      </c>
      <c r="H129" s="45">
        <f t="shared" si="82"/>
        <v>61903.71</v>
      </c>
      <c r="I129" s="500"/>
      <c r="J129" s="46">
        <v>16</v>
      </c>
      <c r="K129" s="44">
        <v>1500</v>
      </c>
      <c r="L129" s="47">
        <v>93.75</v>
      </c>
      <c r="M129" s="87">
        <v>17</v>
      </c>
      <c r="N129" s="57">
        <f t="shared" si="83"/>
        <v>1371.2500000000005</v>
      </c>
      <c r="O129" s="86">
        <f t="shared" si="84"/>
        <v>80.661764705882376</v>
      </c>
      <c r="P129" s="54">
        <f t="shared" si="79"/>
        <v>1</v>
      </c>
      <c r="Q129" s="88">
        <f t="shared" si="80"/>
        <v>-13.088235294117624</v>
      </c>
      <c r="R129" s="493">
        <f t="shared" si="81"/>
        <v>0.86039215686274539</v>
      </c>
      <c r="S129" s="695"/>
      <c r="T129" s="50">
        <v>0.86180555555555527</v>
      </c>
      <c r="U129" s="50">
        <v>0.8951388888888886</v>
      </c>
      <c r="V129" s="486">
        <v>7</v>
      </c>
      <c r="W129" s="483">
        <f t="shared" si="70"/>
        <v>47.999999999999986</v>
      </c>
      <c r="X129" s="64"/>
      <c r="Y129" s="64"/>
      <c r="Z129" s="54"/>
      <c r="AA129" s="54"/>
      <c r="AB129" s="673"/>
      <c r="AC129" s="673"/>
      <c r="AD129" s="500"/>
      <c r="AE129" s="500"/>
      <c r="AF129" s="108">
        <f t="shared" si="61"/>
        <v>-128.74999999999955</v>
      </c>
      <c r="AG129" s="109">
        <f t="shared" si="62"/>
        <v>0.91416666666666702</v>
      </c>
      <c r="AH129" s="689"/>
    </row>
    <row r="130" spans="1:34" ht="19.2" customHeight="1">
      <c r="A130" s="694"/>
      <c r="B130" s="200">
        <v>0</v>
      </c>
      <c r="C130" s="157"/>
      <c r="D130" s="59"/>
      <c r="E130" s="60"/>
      <c r="F130" s="343" t="s">
        <v>128</v>
      </c>
      <c r="G130" s="57"/>
      <c r="H130" s="45">
        <f t="shared" si="82"/>
        <v>0</v>
      </c>
      <c r="I130" s="500"/>
      <c r="J130" s="46"/>
      <c r="K130" s="44"/>
      <c r="L130" s="47"/>
      <c r="M130" s="489"/>
      <c r="N130" s="57"/>
      <c r="O130" s="86"/>
      <c r="P130" s="54"/>
      <c r="Q130" s="88"/>
      <c r="R130" s="493"/>
      <c r="S130" s="695"/>
      <c r="T130" s="50"/>
      <c r="U130" s="50"/>
      <c r="V130" s="486"/>
      <c r="W130" s="483">
        <f t="shared" si="70"/>
        <v>0</v>
      </c>
      <c r="X130" s="64"/>
      <c r="Y130" s="64"/>
      <c r="Z130" s="54"/>
      <c r="AA130" s="54"/>
      <c r="AB130" s="673"/>
      <c r="AC130" s="673"/>
      <c r="AD130" s="500"/>
      <c r="AE130" s="500"/>
      <c r="AF130" s="108">
        <f t="shared" si="61"/>
        <v>0</v>
      </c>
      <c r="AG130" s="109" t="e">
        <f t="shared" si="62"/>
        <v>#DIV/0!</v>
      </c>
      <c r="AH130" s="689"/>
    </row>
    <row r="131" spans="1:34" ht="19.2" customHeight="1">
      <c r="A131" s="694"/>
      <c r="B131" s="200">
        <v>0</v>
      </c>
      <c r="C131" s="157"/>
      <c r="D131" s="59"/>
      <c r="E131" s="83"/>
      <c r="F131" s="343" t="s">
        <v>128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93"/>
      <c r="S131" s="695"/>
      <c r="T131" s="50"/>
      <c r="U131" s="50"/>
      <c r="V131" s="486"/>
      <c r="W131" s="483">
        <f t="shared" si="70"/>
        <v>0</v>
      </c>
      <c r="X131" s="64"/>
      <c r="Y131" s="64"/>
      <c r="Z131" s="54"/>
      <c r="AA131" s="54"/>
      <c r="AB131" s="673"/>
      <c r="AC131" s="673"/>
      <c r="AD131" s="500"/>
      <c r="AE131" s="500"/>
      <c r="AF131" s="48">
        <f t="shared" si="61"/>
        <v>0</v>
      </c>
      <c r="AG131" s="490" t="e">
        <f t="shared" si="62"/>
        <v>#DIV/0!</v>
      </c>
      <c r="AH131" s="689"/>
    </row>
    <row r="132" spans="1:34" ht="19.2" customHeight="1">
      <c r="A132" s="694"/>
      <c r="B132" s="200">
        <v>0</v>
      </c>
      <c r="C132" s="157"/>
      <c r="D132" s="59"/>
      <c r="E132" s="60"/>
      <c r="F132" s="343" t="s">
        <v>128</v>
      </c>
      <c r="G132" s="57"/>
      <c r="H132" s="45">
        <f t="shared" si="82"/>
        <v>0</v>
      </c>
      <c r="I132" s="500"/>
      <c r="J132" s="87"/>
      <c r="K132" s="57"/>
      <c r="L132" s="86"/>
      <c r="M132" s="489"/>
      <c r="N132" s="57"/>
      <c r="O132" s="86"/>
      <c r="P132" s="54"/>
      <c r="Q132" s="88"/>
      <c r="R132" s="493"/>
      <c r="S132" s="695"/>
      <c r="T132" s="50"/>
      <c r="U132" s="50"/>
      <c r="V132" s="486"/>
      <c r="W132" s="483">
        <f t="shared" si="70"/>
        <v>0</v>
      </c>
      <c r="X132" s="64"/>
      <c r="Y132" s="64"/>
      <c r="Z132" s="54"/>
      <c r="AA132" s="54"/>
      <c r="AB132" s="673"/>
      <c r="AC132" s="673"/>
      <c r="AD132" s="500"/>
      <c r="AE132" s="500"/>
      <c r="AF132" s="65"/>
      <c r="AG132" s="491"/>
      <c r="AH132" s="689"/>
    </row>
    <row r="133" spans="1:34" ht="19.2" customHeight="1">
      <c r="A133" s="694"/>
      <c r="B133" s="200">
        <v>0</v>
      </c>
      <c r="C133" s="157"/>
      <c r="D133" s="59"/>
      <c r="E133" s="60"/>
      <c r="F133" s="356" t="s">
        <v>128</v>
      </c>
      <c r="G133" s="57"/>
      <c r="H133" s="240">
        <f>F133*G133</f>
        <v>0</v>
      </c>
      <c r="I133" s="500"/>
      <c r="J133" s="87"/>
      <c r="K133" s="57"/>
      <c r="L133" s="86"/>
      <c r="M133" s="489"/>
      <c r="N133" s="57"/>
      <c r="O133" s="86"/>
      <c r="P133" s="54"/>
      <c r="Q133" s="88"/>
      <c r="R133" s="493"/>
      <c r="S133" s="695"/>
      <c r="T133" s="50"/>
      <c r="U133" s="50"/>
      <c r="V133" s="486"/>
      <c r="W133" s="239">
        <f t="shared" si="70"/>
        <v>0</v>
      </c>
      <c r="X133" s="64"/>
      <c r="Y133" s="64"/>
      <c r="Z133" s="54"/>
      <c r="AA133" s="54"/>
      <c r="AB133" s="673"/>
      <c r="AC133" s="673"/>
      <c r="AD133" s="500"/>
      <c r="AE133" s="500"/>
      <c r="AF133" s="65"/>
      <c r="AG133" s="491"/>
      <c r="AH133" s="689"/>
    </row>
    <row r="134" spans="1:34" ht="19.2" customHeight="1">
      <c r="A134" s="694"/>
      <c r="B134" s="168">
        <v>0</v>
      </c>
      <c r="C134" s="100" t="s">
        <v>528</v>
      </c>
      <c r="D134" s="669" t="s">
        <v>455</v>
      </c>
      <c r="E134" s="669"/>
      <c r="F134" s="353"/>
      <c r="G134" s="101"/>
      <c r="H134" s="102"/>
      <c r="I134" s="241"/>
      <c r="J134" s="242">
        <v>18.5</v>
      </c>
      <c r="K134" s="242">
        <v>1497.125</v>
      </c>
      <c r="L134" s="243">
        <v>81.522739139515465</v>
      </c>
      <c r="M134" s="242">
        <f t="shared" ref="M134:O134" si="85">AVERAGE(M122:M133)</f>
        <v>18.625</v>
      </c>
      <c r="N134" s="242">
        <f t="shared" si="85"/>
        <v>1372.8725725790232</v>
      </c>
      <c r="O134" s="243">
        <f t="shared" si="85"/>
        <v>74.07459628001294</v>
      </c>
      <c r="P134" s="51">
        <f t="shared" ref="P134:P143" si="86">M134-J134</f>
        <v>0.125</v>
      </c>
      <c r="Q134" s="139">
        <f t="shared" ref="Q134:Q143" si="87">O134-L134</f>
        <v>-7.448142859502525</v>
      </c>
      <c r="R134" s="244">
        <f t="shared" ref="R134:R143" si="88">O134/L134</f>
        <v>0.90863723498353011</v>
      </c>
      <c r="S134" s="688"/>
      <c r="T134" s="50"/>
      <c r="U134" s="50"/>
      <c r="V134" s="486"/>
      <c r="W134" s="486"/>
      <c r="X134" s="53"/>
      <c r="Y134" s="53"/>
      <c r="Z134" s="106">
        <f>SUM(Z122:Z133)</f>
        <v>0</v>
      </c>
      <c r="AA134" s="106">
        <f>SUM(AA122:AA133)</f>
        <v>0</v>
      </c>
      <c r="AB134" s="673"/>
      <c r="AC134" s="673"/>
      <c r="AD134" s="107">
        <f>SUM(AD122:AD133)</f>
        <v>0</v>
      </c>
      <c r="AE134" s="107">
        <f>SUM(AE122:AE133)</f>
        <v>0</v>
      </c>
      <c r="AF134" s="48">
        <f t="shared" si="61"/>
        <v>-124.2524274209768</v>
      </c>
      <c r="AG134" s="490">
        <f t="shared" si="62"/>
        <v>0.91700597650765514</v>
      </c>
      <c r="AH134" s="689"/>
    </row>
    <row r="135" spans="1:34" ht="19.2" customHeight="1">
      <c r="A135" s="675" t="s">
        <v>529</v>
      </c>
      <c r="B135" s="486" t="s">
        <v>127</v>
      </c>
      <c r="C135" s="500"/>
      <c r="D135" s="82" t="s">
        <v>138</v>
      </c>
      <c r="E135" s="83"/>
      <c r="F135" s="343">
        <v>54.09</v>
      </c>
      <c r="G135" s="57">
        <v>1560</v>
      </c>
      <c r="H135" s="245">
        <f t="shared" ref="H135:H146" si="89">F135*G135</f>
        <v>84380.400000000009</v>
      </c>
      <c r="I135" s="500"/>
      <c r="J135" s="46">
        <v>16</v>
      </c>
      <c r="K135" s="57">
        <v>1500</v>
      </c>
      <c r="L135" s="86">
        <v>93.75</v>
      </c>
      <c r="M135" s="228">
        <v>17</v>
      </c>
      <c r="N135" s="57">
        <f t="shared" ref="N135:N143" si="90">G135/W135*60</f>
        <v>1418.1818181818196</v>
      </c>
      <c r="O135" s="115">
        <f t="shared" ref="O135:O143" si="91">N135/M135</f>
        <v>83.422459893048213</v>
      </c>
      <c r="P135" s="54">
        <f t="shared" si="86"/>
        <v>1</v>
      </c>
      <c r="Q135" s="88">
        <f t="shared" si="87"/>
        <v>-10.327540106951787</v>
      </c>
      <c r="R135" s="493">
        <f t="shared" si="88"/>
        <v>0.88983957219251431</v>
      </c>
      <c r="S135" s="679">
        <f>R147</f>
        <v>0.9222015792967786</v>
      </c>
      <c r="T135" s="246">
        <v>0.5</v>
      </c>
      <c r="U135" s="50">
        <v>0.54583333333333328</v>
      </c>
      <c r="V135" s="142">
        <v>5</v>
      </c>
      <c r="W135" s="247">
        <f t="shared" ref="W135:W147" si="92">(U135-T135)*24*60</f>
        <v>65.999999999999929</v>
      </c>
      <c r="X135" s="53"/>
      <c r="Y135" s="53"/>
      <c r="Z135" s="54"/>
      <c r="AA135" s="54"/>
      <c r="AB135" s="673"/>
      <c r="AC135" s="673"/>
      <c r="AD135" s="500"/>
      <c r="AE135" s="500"/>
      <c r="AF135" s="116">
        <f t="shared" si="61"/>
        <v>-81.818181818180392</v>
      </c>
      <c r="AG135" s="120">
        <f t="shared" si="62"/>
        <v>0.94545454545454644</v>
      </c>
      <c r="AH135" s="672">
        <f>AG147</f>
        <v>0.93728033193349913</v>
      </c>
    </row>
    <row r="136" spans="1:34" ht="19.2" customHeight="1">
      <c r="A136" s="676"/>
      <c r="B136" s="486" t="s">
        <v>127</v>
      </c>
      <c r="C136" s="500"/>
      <c r="D136" s="82" t="s">
        <v>191</v>
      </c>
      <c r="E136" s="83"/>
      <c r="F136" s="343">
        <v>53.27</v>
      </c>
      <c r="G136" s="57">
        <v>918.40000000000009</v>
      </c>
      <c r="H136" s="84">
        <f t="shared" si="89"/>
        <v>48923.168000000005</v>
      </c>
      <c r="I136" s="500"/>
      <c r="J136" s="46">
        <v>16</v>
      </c>
      <c r="K136" s="57">
        <v>1500</v>
      </c>
      <c r="L136" s="86">
        <v>93.75</v>
      </c>
      <c r="M136" s="489">
        <v>16</v>
      </c>
      <c r="N136" s="57">
        <f t="shared" si="90"/>
        <v>1412.9230769230765</v>
      </c>
      <c r="O136" s="86">
        <f t="shared" si="91"/>
        <v>88.307692307692278</v>
      </c>
      <c r="P136" s="54">
        <f t="shared" si="86"/>
        <v>0</v>
      </c>
      <c r="Q136" s="88">
        <f t="shared" si="87"/>
        <v>-5.4423076923077218</v>
      </c>
      <c r="R136" s="493">
        <f t="shared" si="88"/>
        <v>0.9419487179487176</v>
      </c>
      <c r="S136" s="679"/>
      <c r="T136" s="246">
        <v>0.55138888888888882</v>
      </c>
      <c r="U136" s="50">
        <v>0.57847222222222217</v>
      </c>
      <c r="V136" s="142">
        <v>8</v>
      </c>
      <c r="W136" s="247">
        <f t="shared" si="92"/>
        <v>39.000000000000021</v>
      </c>
      <c r="X136" s="53"/>
      <c r="Y136" s="53"/>
      <c r="Z136" s="54"/>
      <c r="AA136" s="54"/>
      <c r="AB136" s="673"/>
      <c r="AC136" s="673"/>
      <c r="AD136" s="500"/>
      <c r="AE136" s="500"/>
      <c r="AF136" s="48">
        <f t="shared" si="61"/>
        <v>-87.076923076923549</v>
      </c>
      <c r="AG136" s="125">
        <f t="shared" si="62"/>
        <v>0.9419487179487176</v>
      </c>
      <c r="AH136" s="672"/>
    </row>
    <row r="137" spans="1:34" ht="19.2" customHeight="1">
      <c r="A137" s="676"/>
      <c r="B137" s="486" t="s">
        <v>127</v>
      </c>
      <c r="C137" s="500"/>
      <c r="D137" s="82" t="s">
        <v>75</v>
      </c>
      <c r="E137" s="83"/>
      <c r="F137" s="343">
        <v>57.734999999999999</v>
      </c>
      <c r="G137" s="209">
        <v>1445</v>
      </c>
      <c r="H137" s="84">
        <f t="shared" si="89"/>
        <v>83427.074999999997</v>
      </c>
      <c r="I137" s="221"/>
      <c r="J137" s="46">
        <v>16</v>
      </c>
      <c r="K137" s="44">
        <v>1565</v>
      </c>
      <c r="L137" s="47">
        <v>97.8125</v>
      </c>
      <c r="M137" s="87">
        <v>16</v>
      </c>
      <c r="N137" s="57">
        <f t="shared" si="90"/>
        <v>1398.3870967741948</v>
      </c>
      <c r="O137" s="86">
        <f t="shared" si="91"/>
        <v>87.399193548387174</v>
      </c>
      <c r="P137" s="54">
        <f t="shared" si="86"/>
        <v>0</v>
      </c>
      <c r="Q137" s="88">
        <f t="shared" si="87"/>
        <v>-10.413306451612826</v>
      </c>
      <c r="R137" s="493">
        <f t="shared" si="88"/>
        <v>0.89353808100587528</v>
      </c>
      <c r="S137" s="679"/>
      <c r="T137" s="50">
        <v>0.59444444444444433</v>
      </c>
      <c r="U137" s="50">
        <v>0.63749999999999984</v>
      </c>
      <c r="V137" s="249">
        <v>23</v>
      </c>
      <c r="W137" s="247">
        <f t="shared" si="92"/>
        <v>61.999999999999943</v>
      </c>
      <c r="X137" s="53">
        <v>0.58333333333333337</v>
      </c>
      <c r="Y137" s="53">
        <v>0.59375</v>
      </c>
      <c r="Z137" s="54"/>
      <c r="AA137" s="54"/>
      <c r="AB137" s="673"/>
      <c r="AC137" s="673"/>
      <c r="AD137" s="500"/>
      <c r="AE137" s="500"/>
      <c r="AF137" s="48">
        <f t="shared" si="61"/>
        <v>-166.61290322580521</v>
      </c>
      <c r="AG137" s="125">
        <f t="shared" si="62"/>
        <v>0.89353808100587528</v>
      </c>
      <c r="AH137" s="672"/>
    </row>
    <row r="138" spans="1:34" ht="19.2" customHeight="1">
      <c r="A138" s="676"/>
      <c r="B138" s="486" t="s">
        <v>127</v>
      </c>
      <c r="C138" s="223"/>
      <c r="D138" s="82" t="s">
        <v>169</v>
      </c>
      <c r="E138" s="83"/>
      <c r="F138" s="343">
        <v>50.67</v>
      </c>
      <c r="G138" s="57">
        <v>1186</v>
      </c>
      <c r="H138" s="84">
        <f t="shared" si="89"/>
        <v>60094.62</v>
      </c>
      <c r="I138" s="500"/>
      <c r="J138" s="87">
        <v>18</v>
      </c>
      <c r="K138" s="57">
        <v>1500</v>
      </c>
      <c r="L138" s="86">
        <v>83.333333333333329</v>
      </c>
      <c r="M138" s="228">
        <v>18</v>
      </c>
      <c r="N138" s="57">
        <f t="shared" si="90"/>
        <v>1395.2941176470595</v>
      </c>
      <c r="O138" s="86">
        <f t="shared" si="91"/>
        <v>77.516339869281083</v>
      </c>
      <c r="P138" s="54">
        <f t="shared" si="86"/>
        <v>0</v>
      </c>
      <c r="Q138" s="88">
        <f t="shared" si="87"/>
        <v>-5.8169934640522456</v>
      </c>
      <c r="R138" s="499">
        <f t="shared" si="88"/>
        <v>0.93019607843137309</v>
      </c>
      <c r="S138" s="679"/>
      <c r="T138" s="50">
        <v>0.64236111111111094</v>
      </c>
      <c r="U138" s="50">
        <v>0.67777777777777759</v>
      </c>
      <c r="V138" s="249">
        <v>7</v>
      </c>
      <c r="W138" s="247">
        <f t="shared" si="92"/>
        <v>50.999999999999979</v>
      </c>
      <c r="X138" s="53"/>
      <c r="Y138" s="53"/>
      <c r="Z138" s="54"/>
      <c r="AA138" s="54"/>
      <c r="AB138" s="673"/>
      <c r="AC138" s="673"/>
      <c r="AD138" s="500"/>
      <c r="AE138" s="500"/>
      <c r="AF138" s="48">
        <f t="shared" si="61"/>
        <v>-104.70588235294053</v>
      </c>
      <c r="AG138" s="125">
        <f t="shared" si="62"/>
        <v>0.93019607843137297</v>
      </c>
      <c r="AH138" s="672"/>
    </row>
    <row r="139" spans="1:34" ht="19.2" customHeight="1">
      <c r="A139" s="676"/>
      <c r="B139" s="486" t="s">
        <v>127</v>
      </c>
      <c r="C139" s="496"/>
      <c r="D139" s="42" t="s">
        <v>84</v>
      </c>
      <c r="E139" s="43"/>
      <c r="F139" s="343">
        <v>50.98</v>
      </c>
      <c r="G139" s="57">
        <v>1388</v>
      </c>
      <c r="H139" s="84">
        <f t="shared" si="89"/>
        <v>70760.239999999991</v>
      </c>
      <c r="I139" s="500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1365.2459016393457</v>
      </c>
      <c r="O139" s="86">
        <f t="shared" si="91"/>
        <v>68.262295081967281</v>
      </c>
      <c r="P139" s="54">
        <f t="shared" si="86"/>
        <v>0</v>
      </c>
      <c r="Q139" s="88">
        <f t="shared" si="87"/>
        <v>-3.7377049180327191</v>
      </c>
      <c r="R139" s="493">
        <f t="shared" si="88"/>
        <v>0.94808743169399001</v>
      </c>
      <c r="S139" s="679"/>
      <c r="T139" s="50">
        <v>0.71805555555555534</v>
      </c>
      <c r="U139" s="50">
        <v>0.76041666666666641</v>
      </c>
      <c r="V139" s="250">
        <v>5</v>
      </c>
      <c r="W139" s="247">
        <f t="shared" si="92"/>
        <v>60.999999999999943</v>
      </c>
      <c r="X139" s="53"/>
      <c r="Y139" s="53"/>
      <c r="Z139" s="54"/>
      <c r="AA139" s="54"/>
      <c r="AB139" s="673"/>
      <c r="AC139" s="673"/>
      <c r="AD139" s="500"/>
      <c r="AE139" s="500"/>
      <c r="AF139" s="48">
        <f t="shared" si="61"/>
        <v>-74.754098360654325</v>
      </c>
      <c r="AG139" s="125">
        <f t="shared" si="62"/>
        <v>0.94808743169399001</v>
      </c>
      <c r="AH139" s="672"/>
    </row>
    <row r="140" spans="1:34" ht="19.2" customHeight="1">
      <c r="A140" s="677"/>
      <c r="B140" s="486" t="s">
        <v>127</v>
      </c>
      <c r="C140" s="496"/>
      <c r="D140" s="251" t="s">
        <v>83</v>
      </c>
      <c r="E140" s="83"/>
      <c r="F140" s="343">
        <v>50.67</v>
      </c>
      <c r="G140" s="57">
        <v>902</v>
      </c>
      <c r="H140" s="84">
        <f t="shared" si="89"/>
        <v>45704.340000000004</v>
      </c>
      <c r="I140" s="500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1424.2105263157885</v>
      </c>
      <c r="O140" s="86">
        <f t="shared" si="91"/>
        <v>83.777089783281667</v>
      </c>
      <c r="P140" s="54">
        <f t="shared" si="86"/>
        <v>0</v>
      </c>
      <c r="Q140" s="88">
        <f t="shared" si="87"/>
        <v>-4.4582043343653908</v>
      </c>
      <c r="R140" s="493">
        <f t="shared" si="88"/>
        <v>0.94947368421052558</v>
      </c>
      <c r="S140" s="680"/>
      <c r="T140" s="63">
        <v>0.7652777777777775</v>
      </c>
      <c r="U140" s="252">
        <v>0.79166666666666641</v>
      </c>
      <c r="V140" s="253">
        <v>7</v>
      </c>
      <c r="W140" s="247">
        <f t="shared" si="92"/>
        <v>38.000000000000028</v>
      </c>
      <c r="X140" s="53"/>
      <c r="Y140" s="53"/>
      <c r="Z140" s="54"/>
      <c r="AA140" s="54"/>
      <c r="AB140" s="673"/>
      <c r="AC140" s="673"/>
      <c r="AD140" s="500"/>
      <c r="AE140" s="500"/>
      <c r="AF140" s="48">
        <f t="shared" si="61"/>
        <v>-75.789473684211544</v>
      </c>
      <c r="AG140" s="125">
        <f t="shared" si="62"/>
        <v>0.94947368421052569</v>
      </c>
      <c r="AH140" s="672"/>
    </row>
    <row r="141" spans="1:34" ht="19.2" customHeight="1">
      <c r="A141" s="677"/>
      <c r="B141" s="486" t="s">
        <v>127</v>
      </c>
      <c r="C141" s="496"/>
      <c r="D141" s="42" t="s">
        <v>85</v>
      </c>
      <c r="E141" s="254"/>
      <c r="F141" s="343">
        <v>50.92</v>
      </c>
      <c r="G141" s="57">
        <v>1543</v>
      </c>
      <c r="H141" s="84">
        <f t="shared" si="89"/>
        <v>78569.56</v>
      </c>
      <c r="I141" s="500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1361.4705882352957</v>
      </c>
      <c r="O141" s="86">
        <f t="shared" si="91"/>
        <v>71.656346749226088</v>
      </c>
      <c r="P141" s="54">
        <f t="shared" si="86"/>
        <v>0</v>
      </c>
      <c r="Q141" s="88">
        <f t="shared" si="87"/>
        <v>-4.133126934984432</v>
      </c>
      <c r="R141" s="493">
        <f t="shared" si="88"/>
        <v>0.945465686274511</v>
      </c>
      <c r="S141" s="680"/>
      <c r="T141" s="63">
        <v>0.79722222222222194</v>
      </c>
      <c r="U141" s="252">
        <v>0.84444444444444411</v>
      </c>
      <c r="V141" s="55">
        <v>8</v>
      </c>
      <c r="W141" s="247">
        <f t="shared" si="92"/>
        <v>67.999999999999915</v>
      </c>
      <c r="X141" s="53"/>
      <c r="Y141" s="53"/>
      <c r="Z141" s="54"/>
      <c r="AA141" s="54"/>
      <c r="AB141" s="673"/>
      <c r="AC141" s="673"/>
      <c r="AD141" s="500"/>
      <c r="AE141" s="500"/>
      <c r="AF141" s="48">
        <f t="shared" si="61"/>
        <v>-78.529411764704264</v>
      </c>
      <c r="AG141" s="125">
        <f t="shared" si="62"/>
        <v>0.94546568627451089</v>
      </c>
      <c r="AH141" s="672"/>
    </row>
    <row r="142" spans="1:34" ht="19.2" customHeight="1">
      <c r="A142" s="677"/>
      <c r="B142" s="486" t="s">
        <v>127</v>
      </c>
      <c r="C142" s="496"/>
      <c r="D142" s="42" t="s">
        <v>86</v>
      </c>
      <c r="E142" s="254"/>
      <c r="F142" s="343">
        <v>50.67</v>
      </c>
      <c r="G142" s="57">
        <v>837</v>
      </c>
      <c r="H142" s="84">
        <f t="shared" si="89"/>
        <v>42410.79</v>
      </c>
      <c r="I142" s="500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1357.2972972972962</v>
      </c>
      <c r="O142" s="86">
        <f t="shared" si="91"/>
        <v>79.841017488076247</v>
      </c>
      <c r="P142" s="54">
        <f t="shared" si="86"/>
        <v>0</v>
      </c>
      <c r="Q142" s="88">
        <f t="shared" si="87"/>
        <v>-4.8648648648649271</v>
      </c>
      <c r="R142" s="493">
        <f t="shared" si="88"/>
        <v>0.94256756756756688</v>
      </c>
      <c r="S142" s="680"/>
      <c r="T142" s="63">
        <v>0.85972222222222183</v>
      </c>
      <c r="U142" s="252">
        <v>0.8854166666666663</v>
      </c>
      <c r="V142" s="55">
        <v>22</v>
      </c>
      <c r="W142" s="247">
        <f t="shared" si="92"/>
        <v>37.000000000000028</v>
      </c>
      <c r="X142" s="53">
        <v>0.84861111111111109</v>
      </c>
      <c r="Y142" s="53">
        <v>0.85833333333333339</v>
      </c>
      <c r="Z142" s="54"/>
      <c r="AA142" s="54"/>
      <c r="AB142" s="673"/>
      <c r="AC142" s="673"/>
      <c r="AD142" s="500"/>
      <c r="AE142" s="500"/>
      <c r="AF142" s="48">
        <f t="shared" si="61"/>
        <v>-82.702702702703846</v>
      </c>
      <c r="AG142" s="125">
        <f t="shared" si="62"/>
        <v>0.94256756756756677</v>
      </c>
      <c r="AH142" s="672"/>
    </row>
    <row r="143" spans="1:34" ht="19.2" customHeight="1">
      <c r="A143" s="677"/>
      <c r="B143" s="486" t="s">
        <v>127</v>
      </c>
      <c r="C143" s="255"/>
      <c r="D143" s="82" t="s">
        <v>87</v>
      </c>
      <c r="E143" s="83"/>
      <c r="F143" s="343">
        <v>50.49</v>
      </c>
      <c r="G143" s="57">
        <v>1085</v>
      </c>
      <c r="H143" s="84">
        <f t="shared" si="89"/>
        <v>54781.65</v>
      </c>
      <c r="I143" s="500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1356.2500000000005</v>
      </c>
      <c r="O143" s="86">
        <f t="shared" si="91"/>
        <v>90.4166666666667</v>
      </c>
      <c r="P143" s="54">
        <f t="shared" si="86"/>
        <v>1</v>
      </c>
      <c r="Q143" s="88">
        <f t="shared" si="87"/>
        <v>-12.440476190476161</v>
      </c>
      <c r="R143" s="493">
        <f t="shared" si="88"/>
        <v>0.87905092592592626</v>
      </c>
      <c r="S143" s="680"/>
      <c r="T143" s="63">
        <v>0.89027777777777739</v>
      </c>
      <c r="U143" s="252">
        <v>0.92361111111111072</v>
      </c>
      <c r="V143" s="55">
        <v>7</v>
      </c>
      <c r="W143" s="247">
        <f t="shared" si="92"/>
        <v>47.999999999999986</v>
      </c>
      <c r="X143" s="53"/>
      <c r="Y143" s="53"/>
      <c r="Z143" s="54"/>
      <c r="AA143" s="54"/>
      <c r="AB143" s="673"/>
      <c r="AC143" s="673"/>
      <c r="AD143" s="500"/>
      <c r="AE143" s="500"/>
      <c r="AF143" s="48">
        <f t="shared" si="61"/>
        <v>-83.749999999999545</v>
      </c>
      <c r="AG143" s="125">
        <f t="shared" si="62"/>
        <v>0.94184027777777812</v>
      </c>
      <c r="AH143" s="672"/>
    </row>
    <row r="144" spans="1:34" ht="19.2" customHeight="1">
      <c r="A144" s="677"/>
      <c r="B144" s="486">
        <v>0</v>
      </c>
      <c r="C144" s="496"/>
      <c r="D144" s="42"/>
      <c r="E144" s="254"/>
      <c r="F144" s="343" t="s">
        <v>128</v>
      </c>
      <c r="G144" s="57"/>
      <c r="H144" s="84"/>
      <c r="I144" s="500"/>
      <c r="J144" s="46"/>
      <c r="K144" s="44"/>
      <c r="L144" s="47"/>
      <c r="M144" s="489"/>
      <c r="N144" s="57"/>
      <c r="O144" s="86"/>
      <c r="P144" s="54"/>
      <c r="Q144" s="88"/>
      <c r="R144" s="493"/>
      <c r="S144" s="680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673"/>
      <c r="AC144" s="673"/>
      <c r="AD144" s="500"/>
      <c r="AE144" s="500"/>
      <c r="AF144" s="48">
        <f t="shared" si="61"/>
        <v>0</v>
      </c>
      <c r="AG144" s="125" t="e">
        <f t="shared" si="62"/>
        <v>#DIV/0!</v>
      </c>
      <c r="AH144" s="672"/>
    </row>
    <row r="145" spans="1:34" ht="19.2" customHeight="1">
      <c r="A145" s="677"/>
      <c r="B145" s="486">
        <v>0</v>
      </c>
      <c r="C145" s="496"/>
      <c r="D145" s="42"/>
      <c r="E145" s="254"/>
      <c r="F145" s="343" t="s">
        <v>128</v>
      </c>
      <c r="G145" s="57" t="s">
        <v>15</v>
      </c>
      <c r="H145" s="84"/>
      <c r="I145" s="500"/>
      <c r="J145" s="87"/>
      <c r="K145" s="57"/>
      <c r="L145" s="86"/>
      <c r="M145" s="489"/>
      <c r="N145" s="57"/>
      <c r="O145" s="86"/>
      <c r="P145" s="54"/>
      <c r="Q145" s="88"/>
      <c r="R145" s="493"/>
      <c r="S145" s="680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673"/>
      <c r="AC145" s="673"/>
      <c r="AD145" s="500"/>
      <c r="AE145" s="500"/>
      <c r="AF145" s="48">
        <f t="shared" si="61"/>
        <v>0</v>
      </c>
      <c r="AG145" s="125" t="e">
        <f t="shared" si="62"/>
        <v>#DIV/0!</v>
      </c>
      <c r="AH145" s="672"/>
    </row>
    <row r="146" spans="1:34" ht="19.2" customHeight="1">
      <c r="A146" s="677"/>
      <c r="B146" s="488">
        <v>0</v>
      </c>
      <c r="C146" s="255"/>
      <c r="D146" s="256"/>
      <c r="E146" s="254"/>
      <c r="F146" s="343" t="s">
        <v>128</v>
      </c>
      <c r="G146" s="57"/>
      <c r="H146" s="84">
        <f t="shared" si="89"/>
        <v>0</v>
      </c>
      <c r="I146" s="500"/>
      <c r="J146" s="87"/>
      <c r="K146" s="57"/>
      <c r="L146" s="86"/>
      <c r="M146" s="489"/>
      <c r="N146" s="57"/>
      <c r="O146" s="86"/>
      <c r="P146" s="54"/>
      <c r="Q146" s="88"/>
      <c r="R146" s="493"/>
      <c r="S146" s="680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673"/>
      <c r="AC146" s="673"/>
      <c r="AD146" s="500"/>
      <c r="AE146" s="500"/>
      <c r="AF146" s="54"/>
      <c r="AG146" s="493"/>
      <c r="AH146" s="672"/>
    </row>
    <row r="147" spans="1:34" ht="19.2" customHeight="1">
      <c r="A147" s="678"/>
      <c r="B147" s="257">
        <v>0</v>
      </c>
      <c r="C147" s="100" t="s">
        <v>530</v>
      </c>
      <c r="D147" s="669" t="s">
        <v>455</v>
      </c>
      <c r="E147" s="669"/>
      <c r="F147" s="35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42">
        <f t="shared" ref="M147:O147" si="93">AVERAGE(M135:M146)</f>
        <v>17.222222222222221</v>
      </c>
      <c r="N147" s="242">
        <f t="shared" si="93"/>
        <v>1387.6956025570973</v>
      </c>
      <c r="O147" s="243">
        <f t="shared" si="93"/>
        <v>81.177677931958513</v>
      </c>
      <c r="P147" s="51">
        <f t="shared" ref="P147:P154" si="94">M147-J147</f>
        <v>0.22222222222222143</v>
      </c>
      <c r="Q147" s="139">
        <f t="shared" ref="Q147:Q154" si="95">O147-L147</f>
        <v>-6.8482805508498217</v>
      </c>
      <c r="R147" s="258">
        <f t="shared" ref="R147:R154" si="96">O147/L147</f>
        <v>0.9222015792967786</v>
      </c>
      <c r="S147" s="681"/>
      <c r="T147" s="63"/>
      <c r="U147" s="63"/>
      <c r="V147" s="55"/>
      <c r="W147" s="48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673"/>
      <c r="AC147" s="673"/>
      <c r="AD147" s="107">
        <f>SUM(AD135:AD146)</f>
        <v>0</v>
      </c>
      <c r="AE147" s="107">
        <f>SUM(AE135:AE146)</f>
        <v>0</v>
      </c>
      <c r="AF147" s="204">
        <f t="shared" si="61"/>
        <v>-92.859952998458311</v>
      </c>
      <c r="AG147" s="259">
        <f t="shared" si="62"/>
        <v>0.93728033193349913</v>
      </c>
      <c r="AH147" s="672"/>
    </row>
    <row r="148" spans="1:34" ht="19.2" customHeight="1">
      <c r="A148" s="684" t="s">
        <v>531</v>
      </c>
      <c r="B148" s="500" t="s">
        <v>125</v>
      </c>
      <c r="C148" s="121"/>
      <c r="D148" s="173" t="s">
        <v>137</v>
      </c>
      <c r="E148" s="43"/>
      <c r="F148" s="350">
        <v>36.92</v>
      </c>
      <c r="G148" s="57">
        <v>2266</v>
      </c>
      <c r="H148" s="84">
        <f t="shared" ref="H148:H172" si="97">F148*G148</f>
        <v>83660.72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4" si="98">G148/W148*60</f>
        <v>1431.1578947368412</v>
      </c>
      <c r="O148" s="47">
        <f t="shared" ref="O148:O154" si="99">N148/M148</f>
        <v>119.26315789473676</v>
      </c>
      <c r="P148" s="48">
        <f t="shared" si="94"/>
        <v>0</v>
      </c>
      <c r="Q148" s="49">
        <f t="shared" si="95"/>
        <v>-47.403508771929893</v>
      </c>
      <c r="R148" s="490">
        <f t="shared" si="96"/>
        <v>0.71557894736842065</v>
      </c>
      <c r="S148" s="685">
        <f>R160</f>
        <v>0.83943615026598151</v>
      </c>
      <c r="T148" s="246">
        <v>0.45833333333333331</v>
      </c>
      <c r="U148" s="50">
        <v>0.52430555555555558</v>
      </c>
      <c r="V148" s="486">
        <v>5</v>
      </c>
      <c r="W148" s="483">
        <f>(U148-T148)*24*60</f>
        <v>95.000000000000057</v>
      </c>
      <c r="X148" s="53"/>
      <c r="Y148" s="53"/>
      <c r="Z148" s="54"/>
      <c r="AA148" s="54"/>
      <c r="AB148" s="673"/>
      <c r="AC148" s="673"/>
      <c r="AD148" s="500"/>
      <c r="AE148" s="500"/>
      <c r="AF148" s="48">
        <f t="shared" si="61"/>
        <v>-568.84210526315883</v>
      </c>
      <c r="AG148" s="125">
        <f t="shared" si="62"/>
        <v>0.71557894736842054</v>
      </c>
      <c r="AH148" s="672">
        <f>AG160</f>
        <v>0.81157601981771788</v>
      </c>
    </row>
    <row r="149" spans="1:34" ht="19.2" customHeight="1">
      <c r="A149" s="684"/>
      <c r="B149" s="500" t="s">
        <v>125</v>
      </c>
      <c r="C149" s="221"/>
      <c r="D149" s="251" t="s">
        <v>190</v>
      </c>
      <c r="E149" s="60"/>
      <c r="F149" s="350">
        <v>26.5</v>
      </c>
      <c r="G149" s="57">
        <v>700</v>
      </c>
      <c r="H149" s="84">
        <f t="shared" si="97"/>
        <v>18550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1399.9999999999975</v>
      </c>
      <c r="O149" s="47">
        <f t="shared" si="99"/>
        <v>116.66666666666646</v>
      </c>
      <c r="P149" s="48">
        <f t="shared" si="94"/>
        <v>0</v>
      </c>
      <c r="Q149" s="49">
        <f t="shared" si="95"/>
        <v>-50.000000000000199</v>
      </c>
      <c r="R149" s="490">
        <f t="shared" si="96"/>
        <v>0.69999999999999873</v>
      </c>
      <c r="S149" s="686"/>
      <c r="T149" s="246">
        <v>0.52777777777777779</v>
      </c>
      <c r="U149" s="50">
        <v>0.54861111111111116</v>
      </c>
      <c r="V149" s="486">
        <v>5</v>
      </c>
      <c r="W149" s="483">
        <f t="shared" ref="W149:W159" si="100">(U149-T149)*24*60</f>
        <v>30.000000000000053</v>
      </c>
      <c r="X149" s="53"/>
      <c r="Y149" s="53"/>
      <c r="Z149" s="54"/>
      <c r="AA149" s="54"/>
      <c r="AB149" s="673"/>
      <c r="AC149" s="673"/>
      <c r="AD149" s="500"/>
      <c r="AE149" s="500"/>
      <c r="AF149" s="48">
        <f t="shared" si="61"/>
        <v>-600.0000000000025</v>
      </c>
      <c r="AG149" s="125">
        <f t="shared" si="62"/>
        <v>0.69999999999999873</v>
      </c>
      <c r="AH149" s="674"/>
    </row>
    <row r="150" spans="1:34" ht="19.2" customHeight="1">
      <c r="A150" s="684"/>
      <c r="B150" s="500" t="s">
        <v>125</v>
      </c>
      <c r="C150" s="221"/>
      <c r="D150" s="176" t="s">
        <v>196</v>
      </c>
      <c r="E150" s="60"/>
      <c r="F150" s="350">
        <v>55.51</v>
      </c>
      <c r="G150" s="57">
        <v>188</v>
      </c>
      <c r="H150" s="84">
        <f t="shared" si="97"/>
        <v>10435.879999999999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1253.3333333333378</v>
      </c>
      <c r="O150" s="47">
        <f t="shared" si="99"/>
        <v>104.44444444444481</v>
      </c>
      <c r="P150" s="48">
        <f t="shared" si="94"/>
        <v>0</v>
      </c>
      <c r="Q150" s="49">
        <f t="shared" si="95"/>
        <v>-20.555555555555188</v>
      </c>
      <c r="R150" s="490">
        <f t="shared" si="96"/>
        <v>0.83555555555555849</v>
      </c>
      <c r="S150" s="686"/>
      <c r="T150" s="246">
        <v>0.70833333333333337</v>
      </c>
      <c r="U150" s="50">
        <v>0.71458333333333335</v>
      </c>
      <c r="V150" s="486">
        <v>5</v>
      </c>
      <c r="W150" s="483">
        <f t="shared" si="100"/>
        <v>8.999999999999968</v>
      </c>
      <c r="X150" s="216"/>
      <c r="Y150" s="216"/>
      <c r="Z150" s="217"/>
      <c r="AA150" s="217"/>
      <c r="AB150" s="673"/>
      <c r="AC150" s="673"/>
      <c r="AD150" s="500"/>
      <c r="AE150" s="500"/>
      <c r="AF150" s="48">
        <f t="shared" si="61"/>
        <v>-246.66666666666219</v>
      </c>
      <c r="AG150" s="125">
        <f t="shared" si="62"/>
        <v>0.83555555555555849</v>
      </c>
      <c r="AH150" s="674"/>
    </row>
    <row r="151" spans="1:34" s="218" customFormat="1" ht="19.2" customHeight="1">
      <c r="A151" s="684"/>
      <c r="B151" s="500" t="s">
        <v>126</v>
      </c>
      <c r="C151" s="221"/>
      <c r="D151" s="59" t="s">
        <v>182</v>
      </c>
      <c r="E151" s="60"/>
      <c r="F151" s="350">
        <v>28.57</v>
      </c>
      <c r="G151" s="57">
        <v>1295</v>
      </c>
      <c r="H151" s="84">
        <f t="shared" si="97"/>
        <v>36998.15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1466.0377358490573</v>
      </c>
      <c r="O151" s="47">
        <f t="shared" si="99"/>
        <v>122.16981132075477</v>
      </c>
      <c r="P151" s="48">
        <f t="shared" si="94"/>
        <v>0</v>
      </c>
      <c r="Q151" s="49">
        <f t="shared" si="95"/>
        <v>-2.8301886792452251</v>
      </c>
      <c r="R151" s="490">
        <f t="shared" si="96"/>
        <v>0.97735849056603818</v>
      </c>
      <c r="S151" s="686"/>
      <c r="T151" s="246">
        <v>0.71805555555555556</v>
      </c>
      <c r="U151" s="50">
        <v>0.75486111111111109</v>
      </c>
      <c r="V151" s="486">
        <v>5</v>
      </c>
      <c r="W151" s="483">
        <f t="shared" si="100"/>
        <v>52.999999999999972</v>
      </c>
      <c r="X151" s="216"/>
      <c r="Y151" s="216"/>
      <c r="Z151" s="217"/>
      <c r="AA151" s="217"/>
      <c r="AB151" s="673"/>
      <c r="AC151" s="673"/>
      <c r="AD151" s="221"/>
      <c r="AE151" s="221"/>
      <c r="AF151" s="48">
        <f t="shared" si="61"/>
        <v>-33.962264150942701</v>
      </c>
      <c r="AG151" s="125">
        <f t="shared" si="62"/>
        <v>0.97735849056603818</v>
      </c>
      <c r="AH151" s="674"/>
    </row>
    <row r="152" spans="1:34" s="218" customFormat="1" ht="19.2" customHeight="1">
      <c r="A152" s="684"/>
      <c r="B152" s="500" t="s">
        <v>126</v>
      </c>
      <c r="C152" s="221"/>
      <c r="D152" s="59" t="s">
        <v>170</v>
      </c>
      <c r="E152" s="60"/>
      <c r="F152" s="350">
        <v>20.420000000000002</v>
      </c>
      <c r="G152" s="57">
        <v>226</v>
      </c>
      <c r="H152" s="84">
        <f t="shared" si="97"/>
        <v>4614.92</v>
      </c>
      <c r="I152" s="260"/>
      <c r="J152" s="87">
        <v>12</v>
      </c>
      <c r="K152" s="57">
        <v>1500</v>
      </c>
      <c r="L152" s="86">
        <v>125</v>
      </c>
      <c r="M152" s="228">
        <v>12</v>
      </c>
      <c r="N152" s="44">
        <f t="shared" si="98"/>
        <v>968.57142857143197</v>
      </c>
      <c r="O152" s="47">
        <f t="shared" si="99"/>
        <v>80.714285714285992</v>
      </c>
      <c r="P152" s="48">
        <f t="shared" si="94"/>
        <v>0</v>
      </c>
      <c r="Q152" s="49">
        <f t="shared" si="95"/>
        <v>-44.285714285714008</v>
      </c>
      <c r="R152" s="490">
        <f t="shared" si="96"/>
        <v>0.64571428571428791</v>
      </c>
      <c r="S152" s="686"/>
      <c r="T152" s="261">
        <v>0.7583333333333333</v>
      </c>
      <c r="U152" s="63">
        <v>0.76805555555555549</v>
      </c>
      <c r="V152" s="487">
        <v>5</v>
      </c>
      <c r="W152" s="483">
        <f t="shared" si="100"/>
        <v>13.99999999999995</v>
      </c>
      <c r="X152" s="219"/>
      <c r="Y152" s="219"/>
      <c r="Z152" s="217"/>
      <c r="AA152" s="217"/>
      <c r="AB152" s="673"/>
      <c r="AC152" s="673"/>
      <c r="AD152" s="221"/>
      <c r="AE152" s="221"/>
      <c r="AF152" s="48">
        <f t="shared" si="61"/>
        <v>-531.42857142856803</v>
      </c>
      <c r="AG152" s="125">
        <f t="shared" si="62"/>
        <v>0.64571428571428802</v>
      </c>
      <c r="AH152" s="674"/>
    </row>
    <row r="153" spans="1:34" s="218" customFormat="1" ht="19.2" customHeight="1">
      <c r="A153" s="684"/>
      <c r="B153" s="500" t="s">
        <v>126</v>
      </c>
      <c r="C153" s="221"/>
      <c r="D153" s="251" t="s">
        <v>211</v>
      </c>
      <c r="E153" s="60"/>
      <c r="F153" s="350">
        <v>18.920000000000002</v>
      </c>
      <c r="G153" s="57">
        <v>1039</v>
      </c>
      <c r="H153" s="84">
        <f t="shared" si="97"/>
        <v>19657.88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1948.1249999999975</v>
      </c>
      <c r="O153" s="47">
        <f t="shared" si="99"/>
        <v>389.62499999999949</v>
      </c>
      <c r="P153" s="48">
        <f t="shared" si="94"/>
        <v>0</v>
      </c>
      <c r="Q153" s="49">
        <f t="shared" si="95"/>
        <v>-50.375000000000512</v>
      </c>
      <c r="R153" s="490">
        <f t="shared" si="96"/>
        <v>0.88551136363636251</v>
      </c>
      <c r="S153" s="686"/>
      <c r="T153" s="261">
        <v>0.7715277777777777</v>
      </c>
      <c r="U153" s="63">
        <v>0.79374999999999996</v>
      </c>
      <c r="V153" s="487">
        <v>5</v>
      </c>
      <c r="W153" s="483">
        <f t="shared" si="100"/>
        <v>32.000000000000043</v>
      </c>
      <c r="X153" s="219"/>
      <c r="Y153" s="219"/>
      <c r="Z153" s="217"/>
      <c r="AA153" s="217"/>
      <c r="AB153" s="673"/>
      <c r="AC153" s="673"/>
      <c r="AD153" s="221"/>
      <c r="AE153" s="221"/>
      <c r="AF153" s="48">
        <f t="shared" si="61"/>
        <v>-251.8750000000025</v>
      </c>
      <c r="AG153" s="125">
        <f t="shared" si="62"/>
        <v>0.88551136363636251</v>
      </c>
      <c r="AH153" s="674"/>
    </row>
    <row r="154" spans="1:34" s="218" customFormat="1" ht="19.2" customHeight="1">
      <c r="A154" s="684"/>
      <c r="B154" s="500" t="s">
        <v>126</v>
      </c>
      <c r="C154" s="221"/>
      <c r="D154" s="251" t="s">
        <v>212</v>
      </c>
      <c r="E154" s="60"/>
      <c r="F154" s="350">
        <v>17.71</v>
      </c>
      <c r="G154" s="57">
        <v>1902</v>
      </c>
      <c r="H154" s="84">
        <f t="shared" si="97"/>
        <v>33684.42</v>
      </c>
      <c r="I154" s="260"/>
      <c r="J154" s="87">
        <v>5</v>
      </c>
      <c r="K154" s="57">
        <v>2200</v>
      </c>
      <c r="L154" s="86">
        <v>440</v>
      </c>
      <c r="M154" s="199">
        <v>5</v>
      </c>
      <c r="N154" s="44">
        <f t="shared" si="98"/>
        <v>2002.1052631578962</v>
      </c>
      <c r="O154" s="47">
        <f t="shared" si="99"/>
        <v>400.42105263157924</v>
      </c>
      <c r="P154" s="48">
        <f t="shared" si="94"/>
        <v>0</v>
      </c>
      <c r="Q154" s="49">
        <f t="shared" si="95"/>
        <v>-39.578947368420756</v>
      </c>
      <c r="R154" s="490">
        <f t="shared" si="96"/>
        <v>0.91004784688995277</v>
      </c>
      <c r="S154" s="686"/>
      <c r="T154" s="261">
        <v>0.79722222222222217</v>
      </c>
      <c r="U154" s="63">
        <v>0.83680555555555547</v>
      </c>
      <c r="V154" s="487">
        <v>5</v>
      </c>
      <c r="W154" s="483">
        <f t="shared" si="100"/>
        <v>56.999999999999957</v>
      </c>
      <c r="X154" s="219"/>
      <c r="Y154" s="219"/>
      <c r="Z154" s="217"/>
      <c r="AA154" s="217"/>
      <c r="AB154" s="673"/>
      <c r="AC154" s="673"/>
      <c r="AD154" s="221"/>
      <c r="AE154" s="221"/>
      <c r="AF154" s="48">
        <f t="shared" si="61"/>
        <v>-197.89473684210384</v>
      </c>
      <c r="AG154" s="125">
        <f t="shared" si="62"/>
        <v>0.91004784688995277</v>
      </c>
      <c r="AH154" s="674"/>
    </row>
    <row r="155" spans="1:34" s="218" customFormat="1" ht="19.2" customHeight="1">
      <c r="A155" s="684"/>
      <c r="B155" s="500">
        <v>0</v>
      </c>
      <c r="C155" s="221"/>
      <c r="D155" s="251"/>
      <c r="E155" s="60"/>
      <c r="F155" s="350" t="s">
        <v>128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90"/>
      <c r="S155" s="686"/>
      <c r="T155" s="261"/>
      <c r="U155" s="63"/>
      <c r="V155" s="487"/>
      <c r="W155" s="483">
        <f t="shared" si="100"/>
        <v>0</v>
      </c>
      <c r="X155" s="219"/>
      <c r="Y155" s="219"/>
      <c r="Z155" s="217"/>
      <c r="AA155" s="217"/>
      <c r="AB155" s="673"/>
      <c r="AC155" s="673"/>
      <c r="AD155" s="221"/>
      <c r="AE155" s="221"/>
      <c r="AF155" s="264"/>
      <c r="AG155" s="129"/>
      <c r="AH155" s="674"/>
    </row>
    <row r="156" spans="1:34" s="218" customFormat="1" ht="19.2" customHeight="1">
      <c r="A156" s="684"/>
      <c r="B156" s="221">
        <v>0</v>
      </c>
      <c r="C156" s="221"/>
      <c r="D156" s="251"/>
      <c r="E156" s="60"/>
      <c r="F156" s="350" t="s">
        <v>128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90"/>
      <c r="S156" s="686"/>
      <c r="T156" s="261"/>
      <c r="U156" s="63"/>
      <c r="V156" s="487"/>
      <c r="W156" s="265">
        <f t="shared" si="100"/>
        <v>0</v>
      </c>
      <c r="X156" s="219"/>
      <c r="Y156" s="219"/>
      <c r="Z156" s="217"/>
      <c r="AA156" s="217"/>
      <c r="AB156" s="673"/>
      <c r="AC156" s="673"/>
      <c r="AD156" s="221"/>
      <c r="AE156" s="221"/>
      <c r="AF156" s="264"/>
      <c r="AG156" s="129"/>
      <c r="AH156" s="674"/>
    </row>
    <row r="157" spans="1:34" s="218" customFormat="1" ht="19.2" customHeight="1">
      <c r="A157" s="684"/>
      <c r="B157" s="221">
        <v>0</v>
      </c>
      <c r="C157" s="221"/>
      <c r="D157" s="251"/>
      <c r="E157" s="60"/>
      <c r="F157" s="356" t="s">
        <v>128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686"/>
      <c r="T157" s="261"/>
      <c r="U157" s="63"/>
      <c r="V157" s="487"/>
      <c r="W157" s="265">
        <f t="shared" si="100"/>
        <v>0</v>
      </c>
      <c r="X157" s="219"/>
      <c r="Y157" s="219"/>
      <c r="Z157" s="217"/>
      <c r="AA157" s="217"/>
      <c r="AB157" s="673"/>
      <c r="AC157" s="673"/>
      <c r="AD157" s="221"/>
      <c r="AE157" s="221"/>
      <c r="AF157" s="264"/>
      <c r="AG157" s="129"/>
      <c r="AH157" s="674"/>
    </row>
    <row r="158" spans="1:34" s="218" customFormat="1" ht="19.2" customHeight="1">
      <c r="A158" s="684"/>
      <c r="B158" s="221">
        <v>0</v>
      </c>
      <c r="C158" s="221"/>
      <c r="D158" s="251"/>
      <c r="E158" s="60"/>
      <c r="F158" s="356" t="s">
        <v>128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686"/>
      <c r="T158" s="261"/>
      <c r="U158" s="63"/>
      <c r="V158" s="487"/>
      <c r="W158" s="265">
        <f t="shared" si="100"/>
        <v>0</v>
      </c>
      <c r="X158" s="219"/>
      <c r="Y158" s="219"/>
      <c r="Z158" s="217"/>
      <c r="AA158" s="217"/>
      <c r="AB158" s="673"/>
      <c r="AC158" s="673"/>
      <c r="AD158" s="221"/>
      <c r="AE158" s="221"/>
      <c r="AF158" s="264"/>
      <c r="AG158" s="129"/>
      <c r="AH158" s="674"/>
    </row>
    <row r="159" spans="1:34" s="218" customFormat="1" ht="19.2" customHeight="1">
      <c r="A159" s="684"/>
      <c r="B159" s="221">
        <v>0</v>
      </c>
      <c r="C159" s="221"/>
      <c r="D159" s="251"/>
      <c r="E159" s="60"/>
      <c r="F159" s="356" t="s">
        <v>128</v>
      </c>
      <c r="G159" s="57"/>
      <c r="H159" s="230">
        <f t="shared" si="97"/>
        <v>0</v>
      </c>
      <c r="I159" s="260"/>
      <c r="J159" s="262"/>
      <c r="K159" s="179"/>
      <c r="L159" s="131"/>
      <c r="M159" s="489"/>
      <c r="N159" s="179"/>
      <c r="O159" s="224"/>
      <c r="P159" s="263"/>
      <c r="Q159" s="74"/>
      <c r="R159" s="129"/>
      <c r="S159" s="686"/>
      <c r="T159" s="261"/>
      <c r="U159" s="63"/>
      <c r="V159" s="487"/>
      <c r="W159" s="266">
        <f t="shared" si="100"/>
        <v>0</v>
      </c>
      <c r="X159" s="219"/>
      <c r="Y159" s="219"/>
      <c r="Z159" s="217"/>
      <c r="AA159" s="217"/>
      <c r="AB159" s="673"/>
      <c r="AC159" s="673"/>
      <c r="AD159" s="221"/>
      <c r="AE159" s="221"/>
      <c r="AF159" s="264"/>
      <c r="AG159" s="129"/>
      <c r="AH159" s="674"/>
    </row>
    <row r="160" spans="1:34" ht="19.2" customHeight="1">
      <c r="A160" s="684"/>
      <c r="B160" s="267">
        <v>0</v>
      </c>
      <c r="C160" s="268" t="s">
        <v>532</v>
      </c>
      <c r="D160" s="682" t="s">
        <v>455</v>
      </c>
      <c r="E160" s="683"/>
      <c r="F160" s="344"/>
      <c r="G160" s="202"/>
      <c r="H160" s="201"/>
      <c r="I160" s="72"/>
      <c r="J160" s="269">
        <v>10</v>
      </c>
      <c r="K160" s="269">
        <v>1842.8571428571429</v>
      </c>
      <c r="L160" s="270">
        <v>226.9047619047619</v>
      </c>
      <c r="M160" s="269">
        <f t="shared" ref="M160:O160" si="101">AVERAGE(M148:M159)</f>
        <v>10</v>
      </c>
      <c r="N160" s="269">
        <f t="shared" si="101"/>
        <v>1495.6186650926516</v>
      </c>
      <c r="O160" s="270">
        <f t="shared" si="101"/>
        <v>190.47205981035248</v>
      </c>
      <c r="P160" s="65">
        <f t="shared" ref="P160:P163" si="102">M160-J160</f>
        <v>0</v>
      </c>
      <c r="Q160" s="74">
        <f t="shared" ref="Q160:Q163" si="103">O160-L160</f>
        <v>-36.432702094409422</v>
      </c>
      <c r="R160" s="271">
        <f>O160/L160</f>
        <v>0.83943615026598151</v>
      </c>
      <c r="S160" s="686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673"/>
      <c r="AC160" s="673"/>
      <c r="AD160" s="79">
        <f>SUM(AD148:AD159)</f>
        <v>0</v>
      </c>
      <c r="AE160" s="79">
        <f>SUM(AE148:AE159)</f>
        <v>0</v>
      </c>
      <c r="AF160" s="65">
        <f t="shared" si="61"/>
        <v>-347.23847776449134</v>
      </c>
      <c r="AG160" s="129">
        <f t="shared" si="62"/>
        <v>0.81157601981771788</v>
      </c>
      <c r="AH160" s="674"/>
    </row>
    <row r="161" spans="1:36" ht="19.2" customHeight="1">
      <c r="A161" s="671" t="s">
        <v>533</v>
      </c>
      <c r="B161" s="121" t="s">
        <v>126</v>
      </c>
      <c r="C161" s="121"/>
      <c r="D161" s="82" t="s">
        <v>206</v>
      </c>
      <c r="E161" s="83"/>
      <c r="F161" s="349">
        <v>30.13</v>
      </c>
      <c r="G161" s="57">
        <v>2902.5</v>
      </c>
      <c r="H161" s="84">
        <f t="shared" ref="H161:H170" si="104">F161*G161</f>
        <v>87452.324999999997</v>
      </c>
      <c r="I161" s="500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5" si="105">G161/W161*60</f>
        <v>1184.6938775510205</v>
      </c>
      <c r="O161" s="86">
        <f t="shared" ref="O161:O165" si="106">N161/M161</f>
        <v>65.816326530612244</v>
      </c>
      <c r="P161" s="54">
        <f t="shared" si="102"/>
        <v>0</v>
      </c>
      <c r="Q161" s="88">
        <f t="shared" si="103"/>
        <v>-0.85034013605442738</v>
      </c>
      <c r="R161" s="493">
        <f t="shared" ref="R161:R163" si="107">O161/L161</f>
        <v>0.98724489795918358</v>
      </c>
      <c r="S161" s="672">
        <f>R173</f>
        <v>0.90889721149160674</v>
      </c>
      <c r="T161" s="89">
        <v>0.16666666666666666</v>
      </c>
      <c r="U161" s="89">
        <v>0.26874999999999999</v>
      </c>
      <c r="V161" s="500">
        <v>5</v>
      </c>
      <c r="W161" s="90">
        <f t="shared" ref="W161:W172" si="108">(U161-T161)*24*60</f>
        <v>147</v>
      </c>
      <c r="X161" s="96"/>
      <c r="Y161" s="96"/>
      <c r="Z161" s="54"/>
      <c r="AA161" s="54"/>
      <c r="AB161" s="673"/>
      <c r="AC161" s="673"/>
      <c r="AD161" s="500"/>
      <c r="AE161" s="500"/>
      <c r="AF161" s="54">
        <f t="shared" si="61"/>
        <v>-15.306122448979522</v>
      </c>
      <c r="AG161" s="493">
        <f t="shared" si="62"/>
        <v>0.98724489795918369</v>
      </c>
      <c r="AH161" s="672">
        <f>AG173</f>
        <v>0.91561614556428095</v>
      </c>
    </row>
    <row r="162" spans="1:36" ht="19.2" customHeight="1">
      <c r="A162" s="671"/>
      <c r="B162" s="121" t="s">
        <v>126</v>
      </c>
      <c r="C162" s="121"/>
      <c r="D162" s="82" t="s">
        <v>89</v>
      </c>
      <c r="E162" s="83"/>
      <c r="F162" s="349">
        <v>34.229999999999997</v>
      </c>
      <c r="G162" s="57">
        <v>2569</v>
      </c>
      <c r="H162" s="84">
        <f t="shared" si="104"/>
        <v>87936.87</v>
      </c>
      <c r="I162" s="50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2140.8333333333339</v>
      </c>
      <c r="O162" s="86">
        <f t="shared" si="106"/>
        <v>164.67948717948724</v>
      </c>
      <c r="P162" s="54">
        <f t="shared" si="102"/>
        <v>0</v>
      </c>
      <c r="Q162" s="88">
        <f t="shared" si="103"/>
        <v>-8.3974358974358267</v>
      </c>
      <c r="R162" s="493">
        <f t="shared" si="107"/>
        <v>0.95148148148148193</v>
      </c>
      <c r="S162" s="672"/>
      <c r="T162" s="89">
        <v>0.28472222222222221</v>
      </c>
      <c r="U162" s="89">
        <v>0.3347222222222222</v>
      </c>
      <c r="V162" s="500">
        <v>23</v>
      </c>
      <c r="W162" s="90">
        <f t="shared" si="108"/>
        <v>71.999999999999986</v>
      </c>
      <c r="X162" s="96">
        <v>0.27361111111111108</v>
      </c>
      <c r="Y162" s="96">
        <v>0.28333333333333333</v>
      </c>
      <c r="Z162" s="54"/>
      <c r="AA162" s="54"/>
      <c r="AB162" s="673"/>
      <c r="AC162" s="673"/>
      <c r="AD162" s="500"/>
      <c r="AE162" s="500"/>
      <c r="AF162" s="54">
        <f t="shared" si="61"/>
        <v>-109.16666666666606</v>
      </c>
      <c r="AG162" s="493">
        <f t="shared" si="62"/>
        <v>0.95148148148148171</v>
      </c>
      <c r="AH162" s="672"/>
    </row>
    <row r="163" spans="1:36" ht="19.2" customHeight="1">
      <c r="A163" s="671"/>
      <c r="B163" s="121" t="s">
        <v>126</v>
      </c>
      <c r="C163" s="121"/>
      <c r="D163" s="248" t="s">
        <v>90</v>
      </c>
      <c r="E163" s="248"/>
      <c r="F163" s="349">
        <v>35.83</v>
      </c>
      <c r="G163" s="57">
        <v>2353.7999999999997</v>
      </c>
      <c r="H163" s="84">
        <f t="shared" si="104"/>
        <v>84336.65399999998</v>
      </c>
      <c r="I163" s="50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2172.7384615384608</v>
      </c>
      <c r="O163" s="86">
        <f t="shared" si="106"/>
        <v>197.52167832167825</v>
      </c>
      <c r="P163" s="54">
        <f t="shared" si="102"/>
        <v>0</v>
      </c>
      <c r="Q163" s="88">
        <f t="shared" si="103"/>
        <v>-7.0237762237762809</v>
      </c>
      <c r="R163" s="493">
        <f t="shared" si="107"/>
        <v>0.96566153846153813</v>
      </c>
      <c r="S163" s="672"/>
      <c r="T163" s="89">
        <v>0.33888888888888885</v>
      </c>
      <c r="U163" s="89">
        <v>0.38402777777777775</v>
      </c>
      <c r="V163" s="500">
        <v>6</v>
      </c>
      <c r="W163" s="90">
        <f t="shared" si="108"/>
        <v>65.000000000000014</v>
      </c>
      <c r="X163" s="96"/>
      <c r="Y163" s="96"/>
      <c r="Z163" s="54"/>
      <c r="AA163" s="54"/>
      <c r="AB163" s="673"/>
      <c r="AC163" s="673"/>
      <c r="AD163" s="500"/>
      <c r="AE163" s="500"/>
      <c r="AF163" s="54">
        <f t="shared" si="61"/>
        <v>-77.261538461539203</v>
      </c>
      <c r="AG163" s="493">
        <f t="shared" si="62"/>
        <v>0.96566153846153813</v>
      </c>
      <c r="AH163" s="672"/>
    </row>
    <row r="164" spans="1:36" ht="19.2" customHeight="1">
      <c r="A164" s="671"/>
      <c r="B164" s="121" t="s">
        <v>126</v>
      </c>
      <c r="C164" s="121"/>
      <c r="D164" s="273" t="s">
        <v>62</v>
      </c>
      <c r="E164" s="273"/>
      <c r="F164" s="349">
        <v>36.409999999999997</v>
      </c>
      <c r="G164" s="57">
        <v>1118</v>
      </c>
      <c r="H164" s="84">
        <f t="shared" si="104"/>
        <v>40706.379999999997</v>
      </c>
      <c r="I164" s="500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2395.7142857142876</v>
      </c>
      <c r="O164" s="86">
        <f t="shared" si="106"/>
        <v>239.57142857142875</v>
      </c>
      <c r="P164" s="54">
        <f>M164-J164</f>
        <v>0</v>
      </c>
      <c r="Q164" s="88">
        <f>O164-L164</f>
        <v>-37.328571428571223</v>
      </c>
      <c r="R164" s="493">
        <f>O164/L164</f>
        <v>0.86519114688128851</v>
      </c>
      <c r="S164" s="672"/>
      <c r="T164" s="89">
        <v>0.3881944444444444</v>
      </c>
      <c r="U164" s="89">
        <v>0.40763888888888883</v>
      </c>
      <c r="V164" s="500">
        <v>6</v>
      </c>
      <c r="W164" s="90">
        <f t="shared" si="108"/>
        <v>27.999999999999979</v>
      </c>
      <c r="X164" s="96"/>
      <c r="Y164" s="96"/>
      <c r="Z164" s="54"/>
      <c r="AA164" s="54"/>
      <c r="AB164" s="673"/>
      <c r="AC164" s="673"/>
      <c r="AD164" s="500"/>
      <c r="AE164" s="500"/>
      <c r="AF164" s="54">
        <f>N164-K164</f>
        <v>-373.2857142857124</v>
      </c>
      <c r="AG164" s="493">
        <f>N164/K164</f>
        <v>0.8651911468812884</v>
      </c>
      <c r="AH164" s="672"/>
    </row>
    <row r="165" spans="1:36" ht="19.2" customHeight="1">
      <c r="A165" s="671"/>
      <c r="B165" s="121" t="s">
        <v>126</v>
      </c>
      <c r="C165" s="81"/>
      <c r="D165" s="82" t="s">
        <v>62</v>
      </c>
      <c r="E165" s="83"/>
      <c r="F165" s="346">
        <v>36.409999999999997</v>
      </c>
      <c r="G165" s="57">
        <v>4472</v>
      </c>
      <c r="H165" s="84">
        <f t="shared" si="104"/>
        <v>162825.51999999999</v>
      </c>
      <c r="I165" s="500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2395.7142857142858</v>
      </c>
      <c r="O165" s="86">
        <f t="shared" si="106"/>
        <v>239.57142857142858</v>
      </c>
      <c r="P165" s="54">
        <f t="shared" ref="P165" si="109">M165-J165</f>
        <v>0</v>
      </c>
      <c r="Q165" s="88">
        <f t="shared" ref="Q165" si="110">O165-L165</f>
        <v>-37.328571428571394</v>
      </c>
      <c r="R165" s="493">
        <f t="shared" ref="R165" si="111">O165/L165</f>
        <v>0.86519114688128784</v>
      </c>
      <c r="S165" s="672"/>
      <c r="T165" s="89">
        <v>0.44722222222222213</v>
      </c>
      <c r="U165" s="89">
        <v>0.52499999999999991</v>
      </c>
      <c r="V165" s="500">
        <v>4</v>
      </c>
      <c r="W165" s="90">
        <f t="shared" si="108"/>
        <v>112</v>
      </c>
      <c r="X165" s="96"/>
      <c r="Y165" s="96"/>
      <c r="Z165" s="54"/>
      <c r="AA165" s="54"/>
      <c r="AB165" s="673"/>
      <c r="AC165" s="673"/>
      <c r="AD165" s="500">
        <v>1</v>
      </c>
      <c r="AE165" s="500"/>
      <c r="AF165" s="54">
        <f>N165-K165</f>
        <v>-373.28571428571422</v>
      </c>
      <c r="AG165" s="493">
        <f>N165/K165</f>
        <v>0.86519114688128773</v>
      </c>
      <c r="AH165" s="672"/>
    </row>
    <row r="166" spans="1:36" ht="19.2" customHeight="1">
      <c r="A166" s="671"/>
      <c r="B166" s="121">
        <v>0</v>
      </c>
      <c r="C166" s="121"/>
      <c r="D166" s="82"/>
      <c r="E166" s="83"/>
      <c r="F166" s="349" t="s">
        <v>128</v>
      </c>
      <c r="G166" s="57"/>
      <c r="H166" s="84">
        <f t="shared" si="104"/>
        <v>0</v>
      </c>
      <c r="I166" s="500"/>
      <c r="J166" s="87"/>
      <c r="K166" s="57"/>
      <c r="L166" s="86"/>
      <c r="M166" s="87"/>
      <c r="N166" s="57"/>
      <c r="O166" s="86"/>
      <c r="P166" s="54"/>
      <c r="Q166" s="88"/>
      <c r="R166" s="493"/>
      <c r="S166" s="672"/>
      <c r="T166" s="89"/>
      <c r="U166" s="89"/>
      <c r="V166" s="500"/>
      <c r="W166" s="90">
        <f t="shared" si="108"/>
        <v>0</v>
      </c>
      <c r="X166" s="96"/>
      <c r="Y166" s="96"/>
      <c r="Z166" s="54"/>
      <c r="AA166" s="54"/>
      <c r="AB166" s="673"/>
      <c r="AC166" s="673"/>
      <c r="AD166" s="500"/>
      <c r="AE166" s="500"/>
      <c r="AF166" s="54">
        <f>N166-K166</f>
        <v>0</v>
      </c>
      <c r="AG166" s="493" t="e">
        <f>N166/K166</f>
        <v>#DIV/0!</v>
      </c>
      <c r="AH166" s="672"/>
    </row>
    <row r="167" spans="1:36" ht="19.2" customHeight="1">
      <c r="A167" s="671"/>
      <c r="B167" s="121">
        <v>0</v>
      </c>
      <c r="C167" s="121"/>
      <c r="D167" s="251"/>
      <c r="E167" s="60"/>
      <c r="F167" s="349" t="s">
        <v>128</v>
      </c>
      <c r="G167" s="57"/>
      <c r="H167" s="84">
        <f t="shared" si="104"/>
        <v>0</v>
      </c>
      <c r="I167" s="500"/>
      <c r="J167" s="87"/>
      <c r="K167" s="57"/>
      <c r="L167" s="86"/>
      <c r="M167" s="87"/>
      <c r="N167" s="57"/>
      <c r="O167" s="86"/>
      <c r="P167" s="54"/>
      <c r="Q167" s="88"/>
      <c r="R167" s="493"/>
      <c r="S167" s="672"/>
      <c r="T167" s="89"/>
      <c r="U167" s="89"/>
      <c r="V167" s="500"/>
      <c r="W167" s="90">
        <f t="shared" si="108"/>
        <v>0</v>
      </c>
      <c r="X167" s="96"/>
      <c r="Y167" s="96"/>
      <c r="Z167" s="54"/>
      <c r="AA167" s="54"/>
      <c r="AB167" s="673"/>
      <c r="AC167" s="673"/>
      <c r="AD167" s="500"/>
      <c r="AE167" s="500"/>
      <c r="AF167" s="54">
        <f t="shared" si="61"/>
        <v>0</v>
      </c>
      <c r="AG167" s="493" t="e">
        <f t="shared" si="62"/>
        <v>#DIV/0!</v>
      </c>
      <c r="AH167" s="672"/>
    </row>
    <row r="168" spans="1:36" ht="19.2" customHeight="1">
      <c r="A168" s="671"/>
      <c r="B168" s="121">
        <v>0</v>
      </c>
      <c r="C168" s="121"/>
      <c r="D168" s="251"/>
      <c r="E168" s="60"/>
      <c r="F168" s="349" t="s">
        <v>128</v>
      </c>
      <c r="G168" s="57"/>
      <c r="H168" s="84">
        <f t="shared" si="104"/>
        <v>0</v>
      </c>
      <c r="I168" s="500"/>
      <c r="J168" s="87"/>
      <c r="K168" s="57"/>
      <c r="L168" s="86"/>
      <c r="M168" s="87"/>
      <c r="N168" s="57"/>
      <c r="O168" s="86"/>
      <c r="P168" s="54"/>
      <c r="Q168" s="88"/>
      <c r="R168" s="493"/>
      <c r="S168" s="672"/>
      <c r="T168" s="89"/>
      <c r="U168" s="89"/>
      <c r="V168" s="500"/>
      <c r="W168" s="90">
        <f t="shared" si="108"/>
        <v>0</v>
      </c>
      <c r="X168" s="96"/>
      <c r="Y168" s="96"/>
      <c r="Z168" s="54"/>
      <c r="AA168" s="54"/>
      <c r="AB168" s="673"/>
      <c r="AC168" s="673"/>
      <c r="AD168" s="500"/>
      <c r="AE168" s="500"/>
      <c r="AF168" s="54">
        <f t="shared" si="61"/>
        <v>0</v>
      </c>
      <c r="AG168" s="493" t="e">
        <f t="shared" si="62"/>
        <v>#DIV/0!</v>
      </c>
      <c r="AH168" s="672"/>
    </row>
    <row r="169" spans="1:36" ht="19.2" customHeight="1">
      <c r="A169" s="671"/>
      <c r="B169" s="121">
        <v>0</v>
      </c>
      <c r="C169" s="121"/>
      <c r="D169" s="251"/>
      <c r="E169" s="60"/>
      <c r="F169" s="349" t="s">
        <v>128</v>
      </c>
      <c r="G169" s="57"/>
      <c r="H169" s="84">
        <f t="shared" si="104"/>
        <v>0</v>
      </c>
      <c r="I169" s="500"/>
      <c r="J169" s="87"/>
      <c r="K169" s="57"/>
      <c r="L169" s="86"/>
      <c r="M169" s="87"/>
      <c r="N169" s="57"/>
      <c r="O169" s="86"/>
      <c r="P169" s="54"/>
      <c r="Q169" s="88"/>
      <c r="R169" s="493"/>
      <c r="S169" s="672"/>
      <c r="T169" s="89"/>
      <c r="U169" s="89"/>
      <c r="V169" s="500" t="s">
        <v>15</v>
      </c>
      <c r="W169" s="90">
        <f t="shared" si="108"/>
        <v>0</v>
      </c>
      <c r="X169" s="96"/>
      <c r="Y169" s="96"/>
      <c r="Z169" s="54"/>
      <c r="AA169" s="54"/>
      <c r="AB169" s="673"/>
      <c r="AC169" s="673"/>
      <c r="AD169" s="500"/>
      <c r="AE169" s="500"/>
      <c r="AF169" s="54">
        <f t="shared" si="61"/>
        <v>0</v>
      </c>
      <c r="AG169" s="493" t="e">
        <f t="shared" si="62"/>
        <v>#DIV/0!</v>
      </c>
      <c r="AH169" s="672"/>
    </row>
    <row r="170" spans="1:36" ht="19.2" customHeight="1">
      <c r="A170" s="671"/>
      <c r="B170" s="121">
        <v>0</v>
      </c>
      <c r="C170" s="121"/>
      <c r="D170" s="251"/>
      <c r="E170" s="60"/>
      <c r="F170" s="349" t="s">
        <v>128</v>
      </c>
      <c r="G170" s="57"/>
      <c r="H170" s="84">
        <f t="shared" si="104"/>
        <v>0</v>
      </c>
      <c r="I170" s="500"/>
      <c r="J170" s="87"/>
      <c r="K170" s="57"/>
      <c r="L170" s="86"/>
      <c r="M170" s="87"/>
      <c r="N170" s="57"/>
      <c r="O170" s="86"/>
      <c r="P170" s="54"/>
      <c r="Q170" s="88"/>
      <c r="R170" s="493"/>
      <c r="S170" s="672"/>
      <c r="T170" s="89"/>
      <c r="U170" s="89"/>
      <c r="V170" s="500"/>
      <c r="W170" s="90">
        <f t="shared" si="108"/>
        <v>0</v>
      </c>
      <c r="X170" s="96"/>
      <c r="Y170" s="96"/>
      <c r="Z170" s="54"/>
      <c r="AA170" s="54"/>
      <c r="AB170" s="673"/>
      <c r="AC170" s="673"/>
      <c r="AD170" s="500"/>
      <c r="AE170" s="500"/>
      <c r="AF170" s="54">
        <f t="shared" si="61"/>
        <v>0</v>
      </c>
      <c r="AG170" s="493" t="e">
        <f t="shared" si="62"/>
        <v>#DIV/0!</v>
      </c>
      <c r="AH170" s="672"/>
    </row>
    <row r="171" spans="1:36" ht="19.2" customHeight="1">
      <c r="A171" s="671"/>
      <c r="B171" s="121">
        <v>0</v>
      </c>
      <c r="C171" s="121"/>
      <c r="D171" s="251"/>
      <c r="E171" s="60"/>
      <c r="F171" s="349" t="s">
        <v>128</v>
      </c>
      <c r="G171" s="57"/>
      <c r="H171" s="84">
        <f t="shared" si="97"/>
        <v>0</v>
      </c>
      <c r="I171" s="500"/>
      <c r="J171" s="87"/>
      <c r="K171" s="57"/>
      <c r="L171" s="86"/>
      <c r="M171" s="87"/>
      <c r="N171" s="57"/>
      <c r="O171" s="86"/>
      <c r="P171" s="54"/>
      <c r="Q171" s="88"/>
      <c r="R171" s="493"/>
      <c r="S171" s="672"/>
      <c r="T171" s="89"/>
      <c r="U171" s="89"/>
      <c r="V171" s="500"/>
      <c r="W171" s="90">
        <f t="shared" si="108"/>
        <v>0</v>
      </c>
      <c r="X171" s="96"/>
      <c r="Y171" s="96"/>
      <c r="Z171" s="54"/>
      <c r="AA171" s="54"/>
      <c r="AB171" s="673"/>
      <c r="AC171" s="673"/>
      <c r="AD171" s="500"/>
      <c r="AE171" s="500"/>
      <c r="AF171" s="54"/>
      <c r="AG171" s="493"/>
      <c r="AH171" s="672"/>
    </row>
    <row r="172" spans="1:36" ht="19.2" customHeight="1">
      <c r="A172" s="671"/>
      <c r="B172" s="121">
        <v>0</v>
      </c>
      <c r="C172" s="121"/>
      <c r="D172" s="251"/>
      <c r="E172" s="60"/>
      <c r="F172" s="349" t="s">
        <v>128</v>
      </c>
      <c r="G172" s="57"/>
      <c r="H172" s="84">
        <f t="shared" si="97"/>
        <v>0</v>
      </c>
      <c r="I172" s="500"/>
      <c r="J172" s="87"/>
      <c r="K172" s="57"/>
      <c r="L172" s="86"/>
      <c r="M172" s="87"/>
      <c r="N172" s="57"/>
      <c r="O172" s="86"/>
      <c r="P172" s="54"/>
      <c r="Q172" s="88"/>
      <c r="R172" s="493"/>
      <c r="S172" s="672"/>
      <c r="T172" s="89"/>
      <c r="U172" s="89"/>
      <c r="V172" s="500"/>
      <c r="W172" s="90">
        <f t="shared" si="108"/>
        <v>0</v>
      </c>
      <c r="X172" s="96"/>
      <c r="Y172" s="96"/>
      <c r="Z172" s="54"/>
      <c r="AA172" s="54"/>
      <c r="AB172" s="673"/>
      <c r="AC172" s="673"/>
      <c r="AD172" s="500"/>
      <c r="AE172" s="500"/>
      <c r="AF172" s="54"/>
      <c r="AG172" s="493"/>
      <c r="AH172" s="672"/>
    </row>
    <row r="173" spans="1:36" ht="19.2" customHeight="1">
      <c r="A173" s="671"/>
      <c r="B173" s="121">
        <v>0</v>
      </c>
      <c r="C173" s="100" t="s">
        <v>534</v>
      </c>
      <c r="D173" s="669" t="s">
        <v>455</v>
      </c>
      <c r="E173" s="669"/>
      <c r="F173" s="347"/>
      <c r="G173" s="101"/>
      <c r="H173" s="102"/>
      <c r="I173" s="103"/>
      <c r="J173" s="101">
        <v>12.4</v>
      </c>
      <c r="K173" s="101">
        <v>2247.6</v>
      </c>
      <c r="L173" s="104">
        <v>199.61780885780882</v>
      </c>
      <c r="M173" s="101">
        <f t="shared" ref="M173:O173" si="112">AVERAGE(M161:M172)</f>
        <v>12.4</v>
      </c>
      <c r="N173" s="101">
        <f t="shared" si="112"/>
        <v>2057.9388487702777</v>
      </c>
      <c r="O173" s="104">
        <f t="shared" si="112"/>
        <v>181.43206983492701</v>
      </c>
      <c r="P173" s="54">
        <f>M173-J173</f>
        <v>0</v>
      </c>
      <c r="Q173" s="88">
        <f>O173-L173</f>
        <v>-18.185739022881819</v>
      </c>
      <c r="R173" s="105">
        <f>O173/L173</f>
        <v>0.90889721149160674</v>
      </c>
      <c r="S173" s="672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670"/>
      <c r="AC173" s="670"/>
      <c r="AD173" s="107">
        <f>SUM(AD161:AD172)</f>
        <v>1</v>
      </c>
      <c r="AE173" s="107">
        <f>SUM(AE161:AE172)</f>
        <v>0</v>
      </c>
      <c r="AF173" s="54">
        <f t="shared" si="61"/>
        <v>-189.66115122972224</v>
      </c>
      <c r="AG173" s="493">
        <f t="shared" si="62"/>
        <v>0.91561614556428095</v>
      </c>
      <c r="AH173" s="672"/>
    </row>
    <row r="174" spans="1:36" ht="19.2" customHeight="1">
      <c r="AJ174" s="275" t="s">
        <v>91</v>
      </c>
    </row>
    <row r="175" spans="1:36" ht="19.2" customHeight="1">
      <c r="AJ175" s="275" t="s">
        <v>92</v>
      </c>
    </row>
    <row r="176" spans="1:36" ht="19.2" customHeight="1">
      <c r="AJ176" s="275" t="s">
        <v>535</v>
      </c>
    </row>
    <row r="177" spans="23:36" ht="19.2" customHeight="1">
      <c r="W177" s="33"/>
      <c r="AJ177" s="275" t="s">
        <v>93</v>
      </c>
    </row>
    <row r="178" spans="23:36" ht="19.2" customHeight="1">
      <c r="W178" s="33"/>
      <c r="AJ178" s="275" t="s">
        <v>94</v>
      </c>
    </row>
    <row r="179" spans="23:36">
      <c r="W179" s="33"/>
      <c r="AJ179" s="275" t="s">
        <v>95</v>
      </c>
    </row>
    <row r="180" spans="23:36">
      <c r="W180" s="33"/>
      <c r="AJ180" s="275" t="s">
        <v>96</v>
      </c>
    </row>
    <row r="181" spans="23:36">
      <c r="W181" s="33"/>
      <c r="AJ181" s="275" t="s">
        <v>97</v>
      </c>
    </row>
    <row r="182" spans="23:36">
      <c r="W182" s="33"/>
      <c r="AJ182" s="275" t="s">
        <v>98</v>
      </c>
    </row>
    <row r="183" spans="23:36">
      <c r="W183" s="33"/>
      <c r="AJ183" s="275" t="s">
        <v>99</v>
      </c>
    </row>
    <row r="184" spans="23:36">
      <c r="W184" s="33"/>
      <c r="AJ184" s="275" t="s">
        <v>100</v>
      </c>
    </row>
    <row r="185" spans="23:36">
      <c r="W185" s="33"/>
      <c r="AJ185" s="275" t="s">
        <v>536</v>
      </c>
    </row>
    <row r="186" spans="23:36">
      <c r="W186" s="33"/>
      <c r="AJ186" s="275" t="s">
        <v>537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F3:AF4"/>
    <mergeCell ref="AG3:AG4"/>
    <mergeCell ref="AH3:AH4"/>
  </mergeCells>
  <phoneticPr fontId="3" type="noConversion"/>
  <conditionalFormatting sqref="P5:P172">
    <cfRule type="cellIs" dxfId="115" priority="4" operator="greaterThan">
      <formula>0</formula>
    </cfRule>
  </conditionalFormatting>
  <conditionalFormatting sqref="Q5:Q173">
    <cfRule type="cellIs" dxfId="114" priority="7" operator="lessThan">
      <formula>0</formula>
    </cfRule>
  </conditionalFormatting>
  <conditionalFormatting sqref="R5:R173">
    <cfRule type="cellIs" dxfId="113" priority="5" operator="greaterThan">
      <formula>1</formula>
    </cfRule>
    <cfRule type="cellIs" dxfId="112" priority="6" operator="lessThan">
      <formula>0.8</formula>
    </cfRule>
  </conditionalFormatting>
  <conditionalFormatting sqref="S5:S11">
    <cfRule type="cellIs" dxfId="111" priority="20" operator="lessThan">
      <formula>0.8</formula>
    </cfRule>
  </conditionalFormatting>
  <conditionalFormatting sqref="S21:S29 AH21:AH29">
    <cfRule type="cellIs" dxfId="110" priority="13" operator="lessThan">
      <formula>0.8</formula>
    </cfRule>
  </conditionalFormatting>
  <conditionalFormatting sqref="S43:S72">
    <cfRule type="cellIs" dxfId="109" priority="10" operator="lessThan">
      <formula>0.8</formula>
    </cfRule>
  </conditionalFormatting>
  <conditionalFormatting sqref="S82:S91 AH82:AH91">
    <cfRule type="cellIs" dxfId="108" priority="12" operator="lessThan">
      <formula>0.8</formula>
    </cfRule>
  </conditionalFormatting>
  <conditionalFormatting sqref="S95:S104">
    <cfRule type="cellIs" dxfId="107" priority="8" operator="lessThan">
      <formula>0.8</formula>
    </cfRule>
  </conditionalFormatting>
  <conditionalFormatting sqref="S108:S109">
    <cfRule type="cellIs" dxfId="106" priority="9" operator="lessThan">
      <formula>0.8</formula>
    </cfRule>
  </conditionalFormatting>
  <conditionalFormatting sqref="S122:S135 AH135">
    <cfRule type="cellIs" dxfId="105" priority="21" operator="lessThan">
      <formula>0.8</formula>
    </cfRule>
  </conditionalFormatting>
  <conditionalFormatting sqref="S137 AH137">
    <cfRule type="cellIs" dxfId="104" priority="17" operator="lessThan">
      <formula>0.8</formula>
    </cfRule>
  </conditionalFormatting>
  <conditionalFormatting sqref="S139:S146 AH139:AH146">
    <cfRule type="cellIs" dxfId="103" priority="11" operator="lessThan">
      <formula>0.8</formula>
    </cfRule>
  </conditionalFormatting>
  <conditionalFormatting sqref="S148:S150">
    <cfRule type="cellIs" dxfId="102" priority="14" operator="lessThan">
      <formula>0.8</formula>
    </cfRule>
  </conditionalFormatting>
  <conditionalFormatting sqref="S161">
    <cfRule type="cellIs" dxfId="101" priority="25" operator="lessThan">
      <formula>0.8</formula>
    </cfRule>
  </conditionalFormatting>
  <conditionalFormatting sqref="AF5:AF173">
    <cfRule type="cellIs" dxfId="100" priority="3" operator="lessThan">
      <formula>0</formula>
    </cfRule>
  </conditionalFormatting>
  <conditionalFormatting sqref="AG5:AG173">
    <cfRule type="cellIs" dxfId="99" priority="1" operator="greaterThan">
      <formula>1</formula>
    </cfRule>
    <cfRule type="cellIs" dxfId="98" priority="2" operator="lessThan">
      <formula>0.8</formula>
    </cfRule>
  </conditionalFormatting>
  <conditionalFormatting sqref="AH5:AH9 S17:S18 AH17:AH18 AH57 AH95">
    <cfRule type="cellIs" dxfId="97" priority="26" operator="lessThan">
      <formula>0.8</formula>
    </cfRule>
  </conditionalFormatting>
  <conditionalFormatting sqref="AH31 S31:S32">
    <cfRule type="cellIs" dxfId="96" priority="22" operator="lessThan">
      <formula>0.8</formula>
    </cfRule>
  </conditionalFormatting>
  <conditionalFormatting sqref="AH70:AH72">
    <cfRule type="cellIs" dxfId="95" priority="19" operator="lessThan">
      <formula>0.8</formula>
    </cfRule>
  </conditionalFormatting>
  <conditionalFormatting sqref="AH97:AH98">
    <cfRule type="cellIs" dxfId="94" priority="18" operator="lessThan">
      <formula>0.8</formula>
    </cfRule>
  </conditionalFormatting>
  <conditionalFormatting sqref="AH100:AH107">
    <cfRule type="cellIs" dxfId="93" priority="16" operator="lessThan">
      <formula>0.8</formula>
    </cfRule>
  </conditionalFormatting>
  <conditionalFormatting sqref="AH109">
    <cfRule type="cellIs" dxfId="92" priority="24" operator="lessThan">
      <formula>0.8</formula>
    </cfRule>
  </conditionalFormatting>
  <conditionalFormatting sqref="AH148">
    <cfRule type="cellIs" dxfId="91" priority="23" operator="lessThan">
      <formula>0.8</formula>
    </cfRule>
  </conditionalFormatting>
  <conditionalFormatting sqref="AH150">
    <cfRule type="cellIs" dxfId="9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Q9" sqref="Q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601" t="s">
        <v>0</v>
      </c>
      <c r="C1" s="602"/>
      <c r="D1" s="602"/>
      <c r="E1" s="602"/>
      <c r="F1" s="602"/>
      <c r="G1" s="602"/>
      <c r="H1" s="602"/>
      <c r="I1" s="602"/>
      <c r="J1" s="602"/>
      <c r="K1" s="602"/>
      <c r="L1" s="602"/>
      <c r="M1" s="603"/>
      <c r="N1" s="1"/>
      <c r="O1" s="1"/>
    </row>
    <row r="2" spans="2:17" ht="27.75" customHeight="1">
      <c r="B2" s="601"/>
      <c r="C2" s="602"/>
      <c r="D2" s="602"/>
      <c r="E2" s="602"/>
      <c r="F2" s="602"/>
      <c r="G2" s="602"/>
      <c r="H2" s="602"/>
      <c r="I2" s="602"/>
      <c r="J2" s="602"/>
      <c r="K2" s="602"/>
      <c r="L2" s="602"/>
      <c r="M2" s="603"/>
      <c r="N2" s="1"/>
      <c r="O2" s="1"/>
    </row>
    <row r="3" spans="2:17" ht="46.5" customHeight="1">
      <c r="B3" s="594" t="s">
        <v>1</v>
      </c>
      <c r="C3" s="555"/>
      <c r="D3" s="604" t="s">
        <v>557</v>
      </c>
      <c r="E3" s="605"/>
      <c r="F3" s="594" t="s">
        <v>2</v>
      </c>
      <c r="G3" s="555"/>
      <c r="H3" s="606">
        <v>246836.2</v>
      </c>
      <c r="I3" s="607"/>
      <c r="J3" s="594" t="s">
        <v>3</v>
      </c>
      <c r="K3" s="555"/>
      <c r="L3" s="599">
        <v>8223341.3415028993</v>
      </c>
      <c r="M3" s="600"/>
      <c r="N3" s="359"/>
      <c r="O3" s="359"/>
      <c r="P3" s="359"/>
      <c r="Q3" s="359"/>
    </row>
    <row r="4" spans="2:17" ht="24" customHeight="1">
      <c r="B4" s="594" t="s">
        <v>130</v>
      </c>
      <c r="C4" s="555"/>
      <c r="D4" s="586" t="s">
        <v>130</v>
      </c>
      <c r="E4" s="587"/>
      <c r="F4" s="597" t="s">
        <v>131</v>
      </c>
      <c r="G4" s="598"/>
      <c r="H4" s="597" t="s">
        <v>132</v>
      </c>
      <c r="I4" s="598"/>
      <c r="J4" s="597" t="s">
        <v>133</v>
      </c>
      <c r="K4" s="598"/>
      <c r="L4" s="599" t="s">
        <v>134</v>
      </c>
      <c r="M4" s="600"/>
      <c r="N4" s="580" t="s">
        <v>4</v>
      </c>
      <c r="O4" s="581"/>
      <c r="P4" s="581" t="s">
        <v>5</v>
      </c>
      <c r="Q4" s="581"/>
    </row>
    <row r="5" spans="2:17" ht="24" customHeight="1">
      <c r="B5" s="582" t="s">
        <v>35</v>
      </c>
      <c r="C5" s="561"/>
      <c r="D5" s="586" t="s">
        <v>135</v>
      </c>
      <c r="E5" s="587"/>
      <c r="F5" s="586" t="s">
        <v>6</v>
      </c>
      <c r="G5" s="587"/>
      <c r="H5" s="588" t="s">
        <v>7</v>
      </c>
      <c r="I5" s="589"/>
      <c r="J5" s="590" t="s">
        <v>8</v>
      </c>
      <c r="K5" s="591"/>
      <c r="L5" s="592" t="s">
        <v>9</v>
      </c>
      <c r="M5" s="593"/>
      <c r="N5" s="3" t="s">
        <v>175</v>
      </c>
      <c r="O5" s="4" t="s">
        <v>176</v>
      </c>
      <c r="P5" s="3" t="s">
        <v>175</v>
      </c>
      <c r="Q5" s="4" t="s">
        <v>177</v>
      </c>
    </row>
    <row r="6" spans="2:17" ht="39.6" customHeight="1">
      <c r="B6" s="583"/>
      <c r="C6" s="584"/>
      <c r="D6" s="594" t="s">
        <v>10</v>
      </c>
      <c r="E6" s="555"/>
      <c r="F6" s="595">
        <f>AVERAGE(D13:O13,P13:Q13,D30:E30,G30:H30,J30:M30)</f>
        <v>382.35458725960945</v>
      </c>
      <c r="G6" s="596"/>
      <c r="H6" s="574">
        <f>AVERAGE(D13:P13,Q13)</f>
        <v>145.84292283652911</v>
      </c>
      <c r="I6" s="575"/>
      <c r="J6" s="574">
        <f>AVERAGE(D30:E30,G30:H30)</f>
        <v>711.25</v>
      </c>
      <c r="K6" s="575"/>
      <c r="L6" s="576">
        <f>AVERAGE(J30:M30)</f>
        <v>881.25</v>
      </c>
      <c r="M6" s="577"/>
      <c r="N6" s="578">
        <v>0</v>
      </c>
      <c r="O6" s="563">
        <v>0</v>
      </c>
      <c r="P6" s="579">
        <v>6</v>
      </c>
      <c r="Q6" s="563">
        <v>7</v>
      </c>
    </row>
    <row r="7" spans="2:17" s="5" customFormat="1" ht="39.6" customHeight="1">
      <c r="B7" s="583"/>
      <c r="C7" s="584"/>
      <c r="D7" s="564" t="s">
        <v>11</v>
      </c>
      <c r="E7" s="565"/>
      <c r="F7" s="566">
        <f>AVERAGE(D14:O14,P14:Q14,D31:E31,J31:M31,G31:H31)</f>
        <v>362.31110885415279</v>
      </c>
      <c r="G7" s="567"/>
      <c r="H7" s="568">
        <f>AVERAGE(D14:P14,Q14)</f>
        <v>131.63821871911006</v>
      </c>
      <c r="I7" s="569"/>
      <c r="J7" s="568">
        <f>AVERAGE(D31:E31,G31:H31)</f>
        <v>708.63997132839631</v>
      </c>
      <c r="K7" s="569"/>
      <c r="L7" s="570">
        <f>AVERAGE(J31:M31)</f>
        <v>823.33736185255896</v>
      </c>
      <c r="M7" s="571"/>
      <c r="N7" s="578"/>
      <c r="O7" s="563"/>
      <c r="P7" s="579"/>
      <c r="Q7" s="563"/>
    </row>
    <row r="8" spans="2:17" s="5" customFormat="1" ht="39.6" customHeight="1">
      <c r="B8" s="585"/>
      <c r="C8" s="562"/>
      <c r="D8" s="564" t="s">
        <v>12</v>
      </c>
      <c r="E8" s="565"/>
      <c r="F8" s="572">
        <f>AVERAGE(D15:O15,P15:Q15,D32:E32,G32:H32,J32:M32)</f>
        <v>0.91475869751482997</v>
      </c>
      <c r="G8" s="573"/>
      <c r="H8" s="572">
        <f>AVERAGE(D15:O15,P15:Q15)</f>
        <v>0.89919356861980426</v>
      </c>
      <c r="I8" s="573"/>
      <c r="J8" s="572">
        <f>AVERAGE(D32:E32,G32:H32)</f>
        <v>0.94749255353146</v>
      </c>
      <c r="K8" s="573"/>
      <c r="L8" s="572">
        <f>AVERAGE(J32:M32)</f>
        <v>0.93650279263078939</v>
      </c>
      <c r="M8" s="573"/>
      <c r="N8" s="578"/>
      <c r="O8" s="563"/>
      <c r="P8" s="579"/>
      <c r="Q8" s="563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551" t="s">
        <v>139</v>
      </c>
      <c r="C10" s="557"/>
      <c r="D10" s="558" t="s">
        <v>140</v>
      </c>
      <c r="E10" s="559"/>
      <c r="F10" s="559"/>
      <c r="G10" s="559"/>
      <c r="H10" s="559"/>
      <c r="I10" s="559"/>
      <c r="J10" s="559"/>
      <c r="K10" s="559"/>
      <c r="L10" s="559"/>
      <c r="M10" s="559"/>
      <c r="N10" s="559"/>
      <c r="O10" s="559"/>
      <c r="P10" s="559"/>
      <c r="Q10" s="560"/>
    </row>
    <row r="11" spans="2:17" ht="17.25" customHeight="1">
      <c r="B11" s="542" t="s">
        <v>141</v>
      </c>
      <c r="C11" s="561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" customHeight="1">
      <c r="B12" s="544"/>
      <c r="C12" s="562"/>
      <c r="D12" s="14" t="s">
        <v>142</v>
      </c>
      <c r="E12" s="360" t="s">
        <v>143</v>
      </c>
      <c r="F12" s="360" t="s">
        <v>144</v>
      </c>
      <c r="G12" s="360" t="s">
        <v>145</v>
      </c>
      <c r="H12" s="14" t="s">
        <v>146</v>
      </c>
      <c r="I12" s="360" t="s">
        <v>147</v>
      </c>
      <c r="J12" s="360" t="s">
        <v>148</v>
      </c>
      <c r="K12" s="360" t="s">
        <v>149</v>
      </c>
      <c r="L12" s="360" t="s">
        <v>150</v>
      </c>
      <c r="M12" s="360" t="s">
        <v>151</v>
      </c>
      <c r="N12" s="360" t="s">
        <v>152</v>
      </c>
      <c r="O12" s="360" t="s">
        <v>153</v>
      </c>
      <c r="P12" s="360" t="s">
        <v>154</v>
      </c>
      <c r="Q12" s="361" t="s">
        <v>13</v>
      </c>
    </row>
    <row r="13" spans="2:17" ht="39.9" customHeight="1">
      <c r="B13" s="546" t="s">
        <v>35</v>
      </c>
      <c r="C13" s="14" t="s">
        <v>155</v>
      </c>
      <c r="D13" s="19">
        <v>135.00300120048021</v>
      </c>
      <c r="E13" s="19">
        <v>116.76198257080613</v>
      </c>
      <c r="F13" s="19">
        <v>151.40203610888594</v>
      </c>
      <c r="G13" s="19">
        <v>314.46258503401361</v>
      </c>
      <c r="H13" s="19">
        <v>228.57142857142858</v>
      </c>
      <c r="I13" s="19">
        <v>87.333290333677326</v>
      </c>
      <c r="J13" s="19">
        <v>100.50745245466608</v>
      </c>
      <c r="K13" s="19">
        <v>77.571107097809872</v>
      </c>
      <c r="L13" s="19">
        <v>84.116767954745242</v>
      </c>
      <c r="M13" s="19">
        <v>81.522739139515465</v>
      </c>
      <c r="N13" s="19">
        <v>88.025958482808335</v>
      </c>
      <c r="O13" s="19">
        <v>226.9047619047619</v>
      </c>
      <c r="P13" s="19">
        <v>199.61780885780882</v>
      </c>
      <c r="Q13" s="21">
        <v>150</v>
      </c>
    </row>
    <row r="14" spans="2:17" ht="39.9" customHeight="1">
      <c r="B14" s="547"/>
      <c r="C14" s="14" t="s">
        <v>156</v>
      </c>
      <c r="D14" s="19">
        <v>125.99513464250708</v>
      </c>
      <c r="E14" s="19">
        <v>101.35335591014599</v>
      </c>
      <c r="F14" s="19">
        <v>128.86823118203168</v>
      </c>
      <c r="G14" s="19">
        <v>283.75725322547049</v>
      </c>
      <c r="H14" s="19">
        <v>222.1698612498229</v>
      </c>
      <c r="I14" s="19">
        <v>76.711705131667074</v>
      </c>
      <c r="J14" s="19">
        <v>87.716503646885116</v>
      </c>
      <c r="K14" s="19">
        <v>66.402486931514275</v>
      </c>
      <c r="L14" s="19">
        <v>76.382799748250648</v>
      </c>
      <c r="M14" s="19">
        <v>73.555324142660339</v>
      </c>
      <c r="N14" s="19">
        <v>80.621844293918826</v>
      </c>
      <c r="O14" s="19">
        <v>191.11407876281822</v>
      </c>
      <c r="P14" s="19">
        <v>182.43092764429269</v>
      </c>
      <c r="Q14" s="9">
        <v>145.85555555555558</v>
      </c>
    </row>
    <row r="15" spans="2:17" ht="39.9" customHeight="1">
      <c r="B15" s="548"/>
      <c r="C15" s="360" t="s">
        <v>157</v>
      </c>
      <c r="D15" s="10">
        <f t="shared" ref="D15:Q15" si="0">D14/D13</f>
        <v>0.93327654587029218</v>
      </c>
      <c r="E15" s="10">
        <f t="shared" si="0"/>
        <v>0.86803387265785659</v>
      </c>
      <c r="F15" s="10">
        <f t="shared" si="0"/>
        <v>0.85116577355242229</v>
      </c>
      <c r="G15" s="10">
        <f t="shared" si="0"/>
        <v>0.90235616804707652</v>
      </c>
      <c r="H15" s="10">
        <f t="shared" si="0"/>
        <v>0.97199314296797512</v>
      </c>
      <c r="I15" s="10">
        <f t="shared" si="0"/>
        <v>0.87837873551508261</v>
      </c>
      <c r="J15" s="10">
        <f t="shared" si="0"/>
        <v>0.87273631461756207</v>
      </c>
      <c r="K15" s="10">
        <f t="shared" si="0"/>
        <v>0.8560208744705291</v>
      </c>
      <c r="L15" s="10">
        <f t="shared" si="0"/>
        <v>0.90805675973361855</v>
      </c>
      <c r="M15" s="10">
        <f t="shared" si="0"/>
        <v>0.90226757490054477</v>
      </c>
      <c r="N15" s="10">
        <f t="shared" si="0"/>
        <v>0.91588715060301729</v>
      </c>
      <c r="O15" s="10">
        <f t="shared" si="0"/>
        <v>0.84226561469447703</v>
      </c>
      <c r="P15" s="362">
        <f t="shared" si="0"/>
        <v>0.91390106267643367</v>
      </c>
      <c r="Q15" s="11">
        <f t="shared" si="0"/>
        <v>0.97237037037037055</v>
      </c>
    </row>
    <row r="16" spans="2:17" ht="22.8" customHeight="1">
      <c r="B16" s="549" t="s">
        <v>158</v>
      </c>
      <c r="C16" s="360" t="s">
        <v>159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363">
        <v>0.40277777777777773</v>
      </c>
    </row>
    <row r="17" spans="2:23" ht="22.8" customHeight="1">
      <c r="B17" s="550"/>
      <c r="C17" s="360" t="s">
        <v>36</v>
      </c>
      <c r="D17" s="12">
        <v>0.69305555555555554</v>
      </c>
      <c r="E17" s="12">
        <v>0.55624999999999991</v>
      </c>
      <c r="F17" s="12">
        <v>0.625</v>
      </c>
      <c r="G17" s="12">
        <v>0.52986111111111101</v>
      </c>
      <c r="H17" s="12">
        <v>0.53263888888888888</v>
      </c>
      <c r="I17" s="12">
        <v>0.67986111111111103</v>
      </c>
      <c r="J17" s="12">
        <v>0.77916666666666645</v>
      </c>
      <c r="K17" s="12">
        <v>0.7520833333333331</v>
      </c>
      <c r="L17" s="12">
        <v>0.98125000000000007</v>
      </c>
      <c r="M17" s="12">
        <v>0.95069444444444429</v>
      </c>
      <c r="N17" s="12">
        <v>0.9722222222222221</v>
      </c>
      <c r="O17" s="22">
        <v>0.82499999999999996</v>
      </c>
      <c r="P17" s="12">
        <v>0.56111111111111101</v>
      </c>
      <c r="Q17" s="363">
        <v>0.51041666666666663</v>
      </c>
    </row>
    <row r="18" spans="2:23" ht="22.8" customHeight="1">
      <c r="B18" s="553" t="s">
        <v>14</v>
      </c>
      <c r="C18" s="364" t="s">
        <v>160</v>
      </c>
      <c r="D18" s="365" t="s">
        <v>15</v>
      </c>
      <c r="E18" s="365" t="s">
        <v>15</v>
      </c>
      <c r="F18" s="365" t="s">
        <v>15</v>
      </c>
      <c r="G18" s="365" t="s">
        <v>15</v>
      </c>
      <c r="H18" s="365" t="s">
        <v>15</v>
      </c>
      <c r="I18" s="365" t="s">
        <v>15</v>
      </c>
      <c r="J18" s="365" t="s">
        <v>15</v>
      </c>
      <c r="K18" s="365" t="s">
        <v>15</v>
      </c>
      <c r="L18" s="365" t="s">
        <v>15</v>
      </c>
      <c r="M18" s="365" t="s">
        <v>15</v>
      </c>
      <c r="N18" s="365" t="s">
        <v>15</v>
      </c>
      <c r="O18" s="365" t="s">
        <v>15</v>
      </c>
      <c r="P18" s="365" t="s">
        <v>15</v>
      </c>
      <c r="Q18" s="366"/>
    </row>
    <row r="19" spans="2:23" ht="22.8" customHeight="1">
      <c r="B19" s="554"/>
      <c r="C19" s="364" t="s">
        <v>161</v>
      </c>
      <c r="D19" s="365" t="s">
        <v>15</v>
      </c>
      <c r="E19" s="365" t="s">
        <v>15</v>
      </c>
      <c r="F19" s="365" t="s">
        <v>15</v>
      </c>
      <c r="G19" s="365" t="s">
        <v>15</v>
      </c>
      <c r="H19" s="365" t="s">
        <v>15</v>
      </c>
      <c r="I19" s="365" t="s">
        <v>15</v>
      </c>
      <c r="J19" s="365" t="s">
        <v>15</v>
      </c>
      <c r="K19" s="365" t="s">
        <v>15</v>
      </c>
      <c r="L19" s="365" t="s">
        <v>15</v>
      </c>
      <c r="M19" s="365" t="s">
        <v>15</v>
      </c>
      <c r="N19" s="365" t="s">
        <v>15</v>
      </c>
      <c r="O19" s="365" t="s">
        <v>15</v>
      </c>
      <c r="P19" s="365" t="s">
        <v>15</v>
      </c>
      <c r="Q19" s="366"/>
    </row>
    <row r="20" spans="2:23" ht="22.8" customHeight="1">
      <c r="B20" s="553" t="s">
        <v>16</v>
      </c>
      <c r="C20" s="364" t="s">
        <v>160</v>
      </c>
      <c r="D20" s="365" t="s">
        <v>15</v>
      </c>
      <c r="E20" s="365" t="s">
        <v>15</v>
      </c>
      <c r="F20" s="365">
        <v>2</v>
      </c>
      <c r="G20" s="365" t="s">
        <v>15</v>
      </c>
      <c r="H20" s="365" t="s">
        <v>15</v>
      </c>
      <c r="I20" s="365" t="s">
        <v>15</v>
      </c>
      <c r="J20" s="365">
        <v>1</v>
      </c>
      <c r="K20" s="365">
        <v>1</v>
      </c>
      <c r="L20" s="365">
        <v>1</v>
      </c>
      <c r="M20" s="365">
        <v>1</v>
      </c>
      <c r="N20" s="365" t="s">
        <v>15</v>
      </c>
      <c r="O20" s="365" t="s">
        <v>15</v>
      </c>
      <c r="P20" s="365" t="s">
        <v>15</v>
      </c>
      <c r="Q20" s="366"/>
    </row>
    <row r="21" spans="2:23" ht="22.8" customHeight="1">
      <c r="B21" s="554"/>
      <c r="C21" s="364" t="s">
        <v>162</v>
      </c>
      <c r="D21" s="365">
        <v>1</v>
      </c>
      <c r="E21" s="365">
        <v>1</v>
      </c>
      <c r="F21" s="365" t="s">
        <v>15</v>
      </c>
      <c r="G21" s="365">
        <v>1</v>
      </c>
      <c r="H21" s="365" t="s">
        <v>15</v>
      </c>
      <c r="I21" s="365">
        <v>1</v>
      </c>
      <c r="J21" s="365">
        <v>2</v>
      </c>
      <c r="K21" s="365">
        <v>1</v>
      </c>
      <c r="L21" s="365" t="s">
        <v>15</v>
      </c>
      <c r="M21" s="365" t="s">
        <v>15</v>
      </c>
      <c r="N21" s="365" t="s">
        <v>15</v>
      </c>
      <c r="O21" s="365" t="s">
        <v>15</v>
      </c>
      <c r="P21" s="365" t="s">
        <v>15</v>
      </c>
      <c r="Q21" s="366"/>
    </row>
    <row r="22" spans="2:23" ht="22.8" customHeight="1">
      <c r="B22" s="532" t="s">
        <v>163</v>
      </c>
      <c r="C22" s="555"/>
      <c r="D22" s="367">
        <v>18.857142857142858</v>
      </c>
      <c r="E22" s="367">
        <v>16.666666666666668</v>
      </c>
      <c r="F22" s="367">
        <v>15.25</v>
      </c>
      <c r="G22" s="367">
        <v>6</v>
      </c>
      <c r="H22" s="367">
        <v>6.6</v>
      </c>
      <c r="I22" s="367">
        <v>17.666666666666668</v>
      </c>
      <c r="J22" s="367">
        <v>18.285714285714285</v>
      </c>
      <c r="K22" s="367">
        <v>18.111111111111111</v>
      </c>
      <c r="L22" s="367">
        <v>17.111111111111111</v>
      </c>
      <c r="M22" s="367">
        <v>18.625</v>
      </c>
      <c r="N22" s="367">
        <v>17.222222222222221</v>
      </c>
      <c r="O22" s="367">
        <v>10</v>
      </c>
      <c r="P22" s="367">
        <v>12.4</v>
      </c>
      <c r="Q22" s="368">
        <v>11.333333333333334</v>
      </c>
    </row>
    <row r="23" spans="2:23" ht="22.8" customHeight="1">
      <c r="B23" s="532" t="s">
        <v>164</v>
      </c>
      <c r="C23" s="555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532" t="s">
        <v>165</v>
      </c>
      <c r="C24" s="555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534" t="s">
        <v>166</v>
      </c>
      <c r="C25" s="556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187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551"/>
      <c r="C27" s="552"/>
      <c r="D27" s="536" t="s">
        <v>167</v>
      </c>
      <c r="E27" s="537"/>
      <c r="F27" s="537"/>
      <c r="G27" s="537"/>
      <c r="H27" s="538"/>
      <c r="I27" s="539" t="s">
        <v>168</v>
      </c>
      <c r="J27" s="540"/>
      <c r="K27" s="540"/>
      <c r="L27" s="540"/>
      <c r="M27" s="541"/>
      <c r="N27" s="359"/>
      <c r="O27" s="359"/>
      <c r="P27" s="359"/>
      <c r="Q27" s="359"/>
    </row>
    <row r="28" spans="2:23" ht="17.25" customHeight="1">
      <c r="B28" s="542" t="s">
        <v>141</v>
      </c>
      <c r="C28" s="543"/>
      <c r="D28" s="369">
        <v>1</v>
      </c>
      <c r="E28" s="471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544"/>
      <c r="C29" s="545"/>
      <c r="D29" s="370" t="s">
        <v>26</v>
      </c>
      <c r="E29" s="371" t="s">
        <v>27</v>
      </c>
      <c r="F29" s="14" t="s">
        <v>28</v>
      </c>
      <c r="G29" s="14" t="s">
        <v>29</v>
      </c>
      <c r="H29" s="372" t="s">
        <v>30</v>
      </c>
      <c r="I29" s="370" t="s">
        <v>31</v>
      </c>
      <c r="J29" s="14" t="s">
        <v>27</v>
      </c>
      <c r="K29" s="14" t="s">
        <v>28</v>
      </c>
      <c r="L29" s="14" t="s">
        <v>29</v>
      </c>
      <c r="M29" s="372" t="s">
        <v>30</v>
      </c>
      <c r="N29" s="359"/>
      <c r="O29" s="359"/>
      <c r="P29" s="359"/>
      <c r="Q29" s="359"/>
    </row>
    <row r="30" spans="2:23" ht="39.9" customHeight="1">
      <c r="B30" s="546" t="s">
        <v>35</v>
      </c>
      <c r="C30" s="373" t="s">
        <v>155</v>
      </c>
      <c r="D30" s="20">
        <v>220</v>
      </c>
      <c r="E30" s="472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" customHeight="1">
      <c r="B31" s="547"/>
      <c r="C31" s="373" t="s">
        <v>156</v>
      </c>
      <c r="D31" s="375">
        <v>162.24713064713069</v>
      </c>
      <c r="E31" s="8">
        <v>824.14393939393983</v>
      </c>
      <c r="F31" s="8">
        <v>0</v>
      </c>
      <c r="G31" s="8">
        <v>893.68415539139062</v>
      </c>
      <c r="H31" s="376">
        <v>954.484659881124</v>
      </c>
      <c r="I31" s="375">
        <v>0</v>
      </c>
      <c r="J31" s="8">
        <v>858.6666666666697</v>
      </c>
      <c r="K31" s="8">
        <v>629.47835497835604</v>
      </c>
      <c r="L31" s="8">
        <v>907.3596638669087</v>
      </c>
      <c r="M31" s="376">
        <v>897.84476189830127</v>
      </c>
      <c r="N31" s="359"/>
      <c r="O31" s="359"/>
      <c r="P31" s="359"/>
      <c r="Q31" s="359"/>
    </row>
    <row r="32" spans="2:23" ht="39.9" customHeight="1">
      <c r="B32" s="548"/>
      <c r="C32" s="470" t="s">
        <v>157</v>
      </c>
      <c r="D32" s="377">
        <f t="shared" ref="D32:M32" si="1">D31/D30</f>
        <v>0.73748695748695769</v>
      </c>
      <c r="E32" s="10">
        <f t="shared" si="1"/>
        <v>0.99896235078053308</v>
      </c>
      <c r="F32" s="10">
        <f t="shared" si="1"/>
        <v>0</v>
      </c>
      <c r="G32" s="10">
        <f t="shared" si="1"/>
        <v>0.99298239487932294</v>
      </c>
      <c r="H32" s="10">
        <f t="shared" si="1"/>
        <v>1.0605385109790266</v>
      </c>
      <c r="I32" s="375">
        <f t="shared" si="1"/>
        <v>0</v>
      </c>
      <c r="J32" s="10">
        <f t="shared" si="1"/>
        <v>1.0408080808080844</v>
      </c>
      <c r="K32" s="10">
        <f t="shared" si="1"/>
        <v>0.69942039442039561</v>
      </c>
      <c r="L32" s="10">
        <f t="shared" si="1"/>
        <v>1.0081774042965652</v>
      </c>
      <c r="M32" s="11">
        <f t="shared" si="1"/>
        <v>0.99760529099811257</v>
      </c>
      <c r="N32" s="359"/>
      <c r="O32" s="359"/>
      <c r="P32" s="359"/>
      <c r="Q32" s="359"/>
    </row>
    <row r="33" spans="2:17" ht="25.8" customHeight="1">
      <c r="B33" s="549" t="s">
        <v>158</v>
      </c>
      <c r="C33" s="470" t="s">
        <v>159</v>
      </c>
      <c r="D33" s="378">
        <v>0.17361111111111113</v>
      </c>
      <c r="E33" s="12">
        <v>0.18055555555555555</v>
      </c>
      <c r="F33" s="12">
        <v>0</v>
      </c>
      <c r="G33" s="12">
        <v>2686.6666666666524</v>
      </c>
      <c r="H33" s="363">
        <v>0.18055555555555555</v>
      </c>
      <c r="I33" s="378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3.4722222222222224E-2</v>
      </c>
      <c r="N33" s="359"/>
      <c r="O33" s="359"/>
      <c r="P33" s="359"/>
      <c r="Q33" s="359"/>
    </row>
    <row r="34" spans="2:17" ht="25.8" customHeight="1">
      <c r="B34" s="550"/>
      <c r="C34" s="470" t="s">
        <v>36</v>
      </c>
      <c r="D34" s="378">
        <v>0.3611111111111111</v>
      </c>
      <c r="E34" s="12">
        <v>0.36041666666666666</v>
      </c>
      <c r="F34" s="12">
        <v>0</v>
      </c>
      <c r="G34" s="12">
        <v>1062.8571428571465</v>
      </c>
      <c r="H34" s="363">
        <v>0.45277777777777778</v>
      </c>
      <c r="I34" s="23">
        <v>0</v>
      </c>
      <c r="J34" s="12">
        <v>0.73263888888888884</v>
      </c>
      <c r="K34" s="12">
        <v>0.82638888888888884</v>
      </c>
      <c r="L34" s="12">
        <v>46208.034722222219</v>
      </c>
      <c r="M34" s="13">
        <v>46208.020833333336</v>
      </c>
      <c r="N34" s="359"/>
      <c r="O34" s="359"/>
      <c r="P34" s="359"/>
      <c r="Q34" s="359"/>
    </row>
    <row r="35" spans="2:17" ht="25.8" customHeight="1">
      <c r="B35" s="532" t="s">
        <v>163</v>
      </c>
      <c r="C35" s="533"/>
      <c r="D35" s="379">
        <v>11</v>
      </c>
      <c r="E35" s="380">
        <v>3.5</v>
      </c>
      <c r="F35" s="380">
        <v>0</v>
      </c>
      <c r="G35" s="380">
        <v>3.5</v>
      </c>
      <c r="H35" s="381">
        <v>3.3333333333333335</v>
      </c>
      <c r="I35" s="382">
        <v>0</v>
      </c>
      <c r="J35" s="380">
        <v>3</v>
      </c>
      <c r="K35" s="380">
        <v>3.6666666666666665</v>
      </c>
      <c r="L35" s="380">
        <v>3.4</v>
      </c>
      <c r="M35" s="368">
        <v>3.4285714285714284</v>
      </c>
      <c r="N35" s="359"/>
      <c r="O35" s="359"/>
      <c r="P35" s="359"/>
      <c r="Q35" s="359"/>
    </row>
    <row r="36" spans="2:17" ht="25.8" customHeight="1">
      <c r="B36" s="532" t="s">
        <v>164</v>
      </c>
      <c r="C36" s="533"/>
      <c r="D36" s="38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8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59"/>
      <c r="O36" s="359"/>
      <c r="P36" s="359"/>
      <c r="Q36" s="359"/>
    </row>
    <row r="37" spans="2:17" ht="25.8" customHeight="1">
      <c r="B37" s="532" t="s">
        <v>165</v>
      </c>
      <c r="C37" s="533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8" customHeight="1" thickBot="1">
      <c r="B38" s="534" t="s">
        <v>166</v>
      </c>
      <c r="C38" s="535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89" priority="4" operator="lessThan">
      <formula>0.8</formula>
    </cfRule>
  </conditionalFormatting>
  <conditionalFormatting sqref="J32:L32">
    <cfRule type="cellIs" dxfId="88" priority="3" operator="lessThan">
      <formula>0.8</formula>
    </cfRule>
  </conditionalFormatting>
  <conditionalFormatting sqref="M32">
    <cfRule type="cellIs" dxfId="87" priority="2" operator="lessThan">
      <formula>0.8</formula>
    </cfRule>
  </conditionalFormatting>
  <conditionalFormatting sqref="H32">
    <cfRule type="cellIs" dxfId="8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I13" sqref="I13"/>
    </sheetView>
  </sheetViews>
  <sheetFormatPr defaultColWidth="7.88671875" defaultRowHeight="15.6"/>
  <cols>
    <col min="1" max="1" width="13.6640625" style="282" customWidth="1"/>
    <col min="2" max="2" width="12.77734375" style="282" customWidth="1"/>
    <col min="3" max="3" width="12.77734375" style="342" hidden="1" customWidth="1"/>
    <col min="4" max="5" width="18.33203125" style="282" customWidth="1"/>
    <col min="6" max="6" width="9.77734375" style="340" customWidth="1"/>
    <col min="7" max="7" width="21.109375" style="282" bestFit="1" customWidth="1"/>
    <col min="8" max="8" width="15.6640625" style="282" customWidth="1"/>
    <col min="9" max="9" width="12.21875" style="282" bestFit="1" customWidth="1"/>
    <col min="10" max="15" width="9.77734375" style="282" customWidth="1"/>
    <col min="16" max="16" width="9.77734375" style="341" customWidth="1"/>
    <col min="17" max="18" width="9.77734375" style="282" customWidth="1"/>
    <col min="19" max="16384" width="7.88671875" style="282"/>
  </cols>
  <sheetData>
    <row r="1" spans="1:18" ht="26.25" customHeight="1">
      <c r="A1" s="394" t="s">
        <v>433</v>
      </c>
      <c r="B1" s="395"/>
      <c r="C1" s="396"/>
      <c r="D1" s="276" t="s">
        <v>434</v>
      </c>
      <c r="E1" s="277">
        <f>SUM(G5:G124)</f>
        <v>76465</v>
      </c>
      <c r="F1" s="278" t="s">
        <v>3</v>
      </c>
      <c r="G1" s="279">
        <f>SUM(H5:H124)</f>
        <v>1410910.8493506494</v>
      </c>
      <c r="H1" s="280" t="s">
        <v>435</v>
      </c>
      <c r="I1" s="281">
        <f>+J16+J64+J24+J38+J51+J81+J100+J91+J57+J124+J111</f>
        <v>45.828571428571429</v>
      </c>
      <c r="J1" s="649" t="s">
        <v>436</v>
      </c>
      <c r="K1" s="650"/>
      <c r="L1" s="651"/>
      <c r="M1" s="649" t="s">
        <v>437</v>
      </c>
      <c r="N1" s="650"/>
      <c r="O1" s="650"/>
      <c r="P1" s="650"/>
      <c r="Q1" s="650"/>
      <c r="R1" s="651"/>
    </row>
    <row r="2" spans="1:18" ht="26.25" customHeight="1" thickBot="1">
      <c r="A2" s="655" t="s">
        <v>486</v>
      </c>
      <c r="B2" s="656"/>
      <c r="C2" s="283"/>
      <c r="D2" s="473" t="s">
        <v>439</v>
      </c>
      <c r="E2" s="284">
        <f>AVERAGE(L16,L24,L38,L51,L100,L111,L91)</f>
        <v>587.95855185142671</v>
      </c>
      <c r="F2" s="285" t="s">
        <v>40</v>
      </c>
      <c r="G2" s="286">
        <f>G1/E1</f>
        <v>18.45172104035375</v>
      </c>
      <c r="H2" s="287" t="s">
        <v>440</v>
      </c>
      <c r="I2" s="288">
        <f>COUNT(I5:I124)</f>
        <v>0</v>
      </c>
      <c r="J2" s="652"/>
      <c r="K2" s="653"/>
      <c r="L2" s="654"/>
      <c r="M2" s="652"/>
      <c r="N2" s="653"/>
      <c r="O2" s="653"/>
      <c r="P2" s="653"/>
      <c r="Q2" s="653"/>
      <c r="R2" s="654"/>
    </row>
    <row r="3" spans="1:18" ht="23.25" customHeight="1">
      <c r="A3" s="657" t="s">
        <v>441</v>
      </c>
      <c r="B3" s="659" t="s">
        <v>442</v>
      </c>
      <c r="C3" s="475"/>
      <c r="D3" s="660" t="s">
        <v>443</v>
      </c>
      <c r="E3" s="660"/>
      <c r="F3" s="661" t="s">
        <v>43</v>
      </c>
      <c r="G3" s="662" t="s">
        <v>444</v>
      </c>
      <c r="H3" s="663" t="s">
        <v>445</v>
      </c>
      <c r="I3" s="664" t="s">
        <v>446</v>
      </c>
      <c r="J3" s="637" t="s">
        <v>447</v>
      </c>
      <c r="K3" s="639" t="s">
        <v>448</v>
      </c>
      <c r="L3" s="641" t="s">
        <v>439</v>
      </c>
      <c r="M3" s="666" t="s">
        <v>48</v>
      </c>
      <c r="N3" s="666"/>
      <c r="O3" s="637" t="s">
        <v>101</v>
      </c>
      <c r="P3" s="667" t="s">
        <v>449</v>
      </c>
      <c r="Q3" s="637" t="s">
        <v>450</v>
      </c>
      <c r="R3" s="637"/>
    </row>
    <row r="4" spans="1:18" ht="15.75" customHeight="1">
      <c r="A4" s="658"/>
      <c r="B4" s="659"/>
      <c r="C4" s="475"/>
      <c r="D4" s="660"/>
      <c r="E4" s="660"/>
      <c r="F4" s="661"/>
      <c r="G4" s="662"/>
      <c r="H4" s="663"/>
      <c r="I4" s="665"/>
      <c r="J4" s="638"/>
      <c r="K4" s="640"/>
      <c r="L4" s="642"/>
      <c r="M4" s="479" t="s">
        <v>50</v>
      </c>
      <c r="N4" s="479" t="s">
        <v>51</v>
      </c>
      <c r="O4" s="638"/>
      <c r="P4" s="668"/>
      <c r="Q4" s="289" t="s">
        <v>451</v>
      </c>
      <c r="R4" s="289" t="s">
        <v>452</v>
      </c>
    </row>
    <row r="5" spans="1:18">
      <c r="A5" s="643" t="s">
        <v>453</v>
      </c>
      <c r="B5" s="397" t="s">
        <v>129</v>
      </c>
      <c r="C5" s="397"/>
      <c r="D5" s="306" t="s">
        <v>174</v>
      </c>
      <c r="E5" s="410"/>
      <c r="F5" s="398">
        <v>25.64</v>
      </c>
      <c r="G5" s="475">
        <v>682</v>
      </c>
      <c r="H5" s="291">
        <f>F5*G5</f>
        <v>17486.48</v>
      </c>
      <c r="I5" s="477"/>
      <c r="J5" s="292">
        <v>10</v>
      </c>
      <c r="K5" s="293">
        <f t="shared" ref="K5:K7" si="0">G5/P5*60</f>
        <v>1363.9999999999975</v>
      </c>
      <c r="L5" s="294">
        <f t="shared" ref="L5:L7" si="1">K5/J5</f>
        <v>136.39999999999975</v>
      </c>
      <c r="M5" s="295">
        <v>0.40277777777777773</v>
      </c>
      <c r="N5" s="295">
        <v>0.4236111111111111</v>
      </c>
      <c r="O5" s="289">
        <v>5</v>
      </c>
      <c r="P5" s="480">
        <f t="shared" ref="P5:P7" si="2">(N5-M5)*24*60</f>
        <v>30.000000000000053</v>
      </c>
      <c r="Q5" s="296"/>
      <c r="R5" s="296"/>
    </row>
    <row r="6" spans="1:18">
      <c r="A6" s="643"/>
      <c r="B6" s="397" t="s">
        <v>129</v>
      </c>
      <c r="C6" s="397"/>
      <c r="D6" s="306" t="s">
        <v>185</v>
      </c>
      <c r="E6" s="410"/>
      <c r="F6" s="398">
        <v>29.85</v>
      </c>
      <c r="G6" s="475">
        <v>1814</v>
      </c>
      <c r="H6" s="291">
        <f t="shared" ref="H6:H15" si="3">F6*G6</f>
        <v>54147.9</v>
      </c>
      <c r="I6" s="477"/>
      <c r="J6" s="292">
        <v>12</v>
      </c>
      <c r="K6" s="293">
        <f t="shared" si="0"/>
        <v>1813.9999999999991</v>
      </c>
      <c r="L6" s="294">
        <f t="shared" si="1"/>
        <v>151.1666666666666</v>
      </c>
      <c r="M6" s="295">
        <v>0.42708333333333331</v>
      </c>
      <c r="N6" s="295">
        <v>0.46875</v>
      </c>
      <c r="O6" s="289">
        <v>5</v>
      </c>
      <c r="P6" s="480">
        <f t="shared" si="2"/>
        <v>60.000000000000028</v>
      </c>
      <c r="Q6" s="289"/>
      <c r="R6" s="289"/>
    </row>
    <row r="7" spans="1:18">
      <c r="A7" s="643"/>
      <c r="B7" s="397" t="s">
        <v>129</v>
      </c>
      <c r="C7" s="397"/>
      <c r="D7" s="306" t="s">
        <v>186</v>
      </c>
      <c r="E7" s="410"/>
      <c r="F7" s="398">
        <v>29.52</v>
      </c>
      <c r="G7" s="475">
        <v>1650</v>
      </c>
      <c r="H7" s="291">
        <f t="shared" si="3"/>
        <v>48708</v>
      </c>
      <c r="I7" s="477"/>
      <c r="J7" s="292">
        <v>12</v>
      </c>
      <c r="K7" s="293">
        <f t="shared" si="0"/>
        <v>1800.0000000000036</v>
      </c>
      <c r="L7" s="294">
        <f t="shared" si="1"/>
        <v>150.00000000000031</v>
      </c>
      <c r="M7" s="295">
        <v>0.47222222222222227</v>
      </c>
      <c r="N7" s="295">
        <v>0.51041666666666663</v>
      </c>
      <c r="O7" s="289">
        <v>5</v>
      </c>
      <c r="P7" s="480">
        <f t="shared" si="2"/>
        <v>54.999999999999886</v>
      </c>
      <c r="Q7" s="296"/>
      <c r="R7" s="296"/>
    </row>
    <row r="8" spans="1:18">
      <c r="A8" s="643"/>
      <c r="B8" s="397">
        <v>0</v>
      </c>
      <c r="C8" s="397"/>
      <c r="D8" s="306"/>
      <c r="E8" s="410"/>
      <c r="F8" s="398" t="s">
        <v>128</v>
      </c>
      <c r="G8" s="475"/>
      <c r="H8" s="291">
        <f t="shared" si="3"/>
        <v>0</v>
      </c>
      <c r="I8" s="477"/>
      <c r="J8" s="292"/>
      <c r="K8" s="293"/>
      <c r="L8" s="294"/>
      <c r="M8" s="295"/>
      <c r="N8" s="295"/>
      <c r="O8" s="289"/>
      <c r="P8" s="480"/>
      <c r="Q8" s="296"/>
      <c r="R8" s="296"/>
    </row>
    <row r="9" spans="1:18">
      <c r="A9" s="643"/>
      <c r="B9" s="397">
        <v>0</v>
      </c>
      <c r="C9" s="397"/>
      <c r="D9" s="306"/>
      <c r="E9" s="410"/>
      <c r="F9" s="398" t="s">
        <v>128</v>
      </c>
      <c r="G9" s="297"/>
      <c r="H9" s="291">
        <f t="shared" si="3"/>
        <v>0</v>
      </c>
      <c r="I9" s="477"/>
      <c r="J9" s="292"/>
      <c r="K9" s="293"/>
      <c r="L9" s="294"/>
      <c r="M9" s="295"/>
      <c r="N9" s="295"/>
      <c r="O9" s="289"/>
      <c r="P9" s="480"/>
      <c r="Q9" s="296"/>
      <c r="R9" s="296"/>
    </row>
    <row r="10" spans="1:18">
      <c r="A10" s="643"/>
      <c r="B10" s="397">
        <v>0</v>
      </c>
      <c r="C10" s="397"/>
      <c r="D10" s="306"/>
      <c r="E10" s="410"/>
      <c r="F10" s="398" t="s">
        <v>128</v>
      </c>
      <c r="G10" s="297"/>
      <c r="H10" s="291">
        <f t="shared" si="3"/>
        <v>0</v>
      </c>
      <c r="I10" s="477"/>
      <c r="J10" s="292"/>
      <c r="K10" s="293"/>
      <c r="L10" s="294"/>
      <c r="M10" s="295"/>
      <c r="N10" s="295"/>
      <c r="O10" s="289"/>
      <c r="P10" s="480"/>
      <c r="Q10" s="296"/>
      <c r="R10" s="296"/>
    </row>
    <row r="11" spans="1:18">
      <c r="A11" s="643"/>
      <c r="B11" s="397">
        <v>0</v>
      </c>
      <c r="C11" s="397"/>
      <c r="D11" s="306"/>
      <c r="E11" s="410"/>
      <c r="F11" s="398" t="s">
        <v>128</v>
      </c>
      <c r="G11" s="297"/>
      <c r="H11" s="291">
        <f t="shared" si="3"/>
        <v>0</v>
      </c>
      <c r="I11" s="477"/>
      <c r="J11" s="292"/>
      <c r="K11" s="293"/>
      <c r="L11" s="294"/>
      <c r="M11" s="295"/>
      <c r="N11" s="295"/>
      <c r="O11" s="289"/>
      <c r="P11" s="480"/>
      <c r="Q11" s="296"/>
      <c r="R11" s="296"/>
    </row>
    <row r="12" spans="1:18">
      <c r="A12" s="644"/>
      <c r="B12" s="397">
        <v>0</v>
      </c>
      <c r="C12" s="476"/>
      <c r="D12" s="306"/>
      <c r="E12" s="410"/>
      <c r="F12" s="398" t="s">
        <v>128</v>
      </c>
      <c r="G12" s="474"/>
      <c r="H12" s="291">
        <f t="shared" si="3"/>
        <v>0</v>
      </c>
      <c r="I12" s="477"/>
      <c r="J12" s="292"/>
      <c r="K12" s="293"/>
      <c r="L12" s="294"/>
      <c r="M12" s="295"/>
      <c r="N12" s="295"/>
      <c r="O12" s="289"/>
      <c r="P12" s="480"/>
      <c r="Q12" s="296"/>
      <c r="R12" s="289"/>
    </row>
    <row r="13" spans="1:18">
      <c r="A13" s="644"/>
      <c r="B13" s="397">
        <v>0</v>
      </c>
      <c r="C13" s="397"/>
      <c r="D13" s="306"/>
      <c r="E13" s="410"/>
      <c r="F13" s="398" t="s">
        <v>128</v>
      </c>
      <c r="G13" s="297"/>
      <c r="H13" s="291">
        <f t="shared" si="3"/>
        <v>0</v>
      </c>
      <c r="I13" s="477"/>
      <c r="J13" s="292"/>
      <c r="K13" s="293"/>
      <c r="L13" s="294"/>
      <c r="M13" s="295"/>
      <c r="N13" s="295"/>
      <c r="O13" s="289"/>
      <c r="P13" s="480"/>
      <c r="Q13" s="289"/>
      <c r="R13" s="289"/>
    </row>
    <row r="14" spans="1:18">
      <c r="A14" s="644"/>
      <c r="B14" s="397">
        <v>0</v>
      </c>
      <c r="C14" s="397"/>
      <c r="D14" s="409"/>
      <c r="E14" s="410"/>
      <c r="F14" s="398" t="s">
        <v>128</v>
      </c>
      <c r="G14" s="297"/>
      <c r="H14" s="291">
        <f t="shared" si="3"/>
        <v>0</v>
      </c>
      <c r="I14" s="477"/>
      <c r="J14" s="292"/>
      <c r="K14" s="293"/>
      <c r="L14" s="294"/>
      <c r="M14" s="295"/>
      <c r="N14" s="295"/>
      <c r="O14" s="289"/>
      <c r="P14" s="480"/>
      <c r="Q14" s="289"/>
      <c r="R14" s="289"/>
    </row>
    <row r="15" spans="1:18">
      <c r="A15" s="644"/>
      <c r="B15" s="397">
        <v>0</v>
      </c>
      <c r="C15" s="397"/>
      <c r="D15" s="399"/>
      <c r="E15" s="399"/>
      <c r="F15" s="398" t="s">
        <v>128</v>
      </c>
      <c r="G15" s="297"/>
      <c r="H15" s="291">
        <f t="shared" si="3"/>
        <v>0</v>
      </c>
      <c r="I15" s="477"/>
      <c r="J15" s="292"/>
      <c r="K15" s="293"/>
      <c r="L15" s="294"/>
      <c r="M15" s="295"/>
      <c r="N15" s="295"/>
      <c r="O15" s="289"/>
      <c r="P15" s="480"/>
      <c r="Q15" s="289"/>
      <c r="R15" s="289"/>
    </row>
    <row r="16" spans="1:18" ht="15.75" customHeight="1">
      <c r="A16" s="645"/>
      <c r="B16" s="397">
        <v>0</v>
      </c>
      <c r="C16" s="290" t="s">
        <v>454</v>
      </c>
      <c r="D16" s="628" t="s">
        <v>455</v>
      </c>
      <c r="E16" s="628"/>
      <c r="F16" s="298"/>
      <c r="G16" s="299"/>
      <c r="H16" s="300"/>
      <c r="I16" s="301"/>
      <c r="J16" s="302">
        <f>AVERAGE(J5:J15)</f>
        <v>11.333333333333334</v>
      </c>
      <c r="K16" s="302">
        <f>AVERAGE(K5:K15)</f>
        <v>1659.3333333333333</v>
      </c>
      <c r="L16" s="303">
        <f>AVERAGE(L5:L15)</f>
        <v>145.85555555555558</v>
      </c>
      <c r="M16" s="295"/>
      <c r="N16" s="295"/>
      <c r="O16" s="293"/>
      <c r="P16" s="293"/>
      <c r="Q16" s="294"/>
      <c r="R16" s="294"/>
    </row>
    <row r="17" spans="1:18" ht="15.75" customHeight="1">
      <c r="A17" s="646" t="s">
        <v>456</v>
      </c>
      <c r="B17" s="397">
        <v>0</v>
      </c>
      <c r="C17" s="476"/>
      <c r="D17" s="306" t="s">
        <v>183</v>
      </c>
      <c r="E17" s="306"/>
      <c r="F17" s="398" t="s">
        <v>128</v>
      </c>
      <c r="G17" s="475">
        <v>1814</v>
      </c>
      <c r="H17" s="304">
        <f t="shared" ref="H17:H23" si="4">F17*G17</f>
        <v>0</v>
      </c>
      <c r="I17" s="305"/>
      <c r="J17" s="292">
        <v>9</v>
      </c>
      <c r="K17" s="293">
        <f t="shared" ref="K17:K19" si="5">G17/P17*60</f>
        <v>1554.8571428571438</v>
      </c>
      <c r="L17" s="294">
        <f>K17/J17</f>
        <v>172.76190476190487</v>
      </c>
      <c r="M17" s="295">
        <v>0.17361111111111113</v>
      </c>
      <c r="N17" s="295">
        <v>0.22222222222222221</v>
      </c>
      <c r="O17" s="289">
        <v>10</v>
      </c>
      <c r="P17" s="480">
        <f>(N17-M17)*24*60</f>
        <v>69.999999999999957</v>
      </c>
      <c r="Q17" s="289"/>
      <c r="R17" s="289"/>
    </row>
    <row r="18" spans="1:18" ht="15.75" customHeight="1">
      <c r="A18" s="646"/>
      <c r="B18" s="397">
        <v>0</v>
      </c>
      <c r="C18" s="476"/>
      <c r="D18" s="306" t="s">
        <v>184</v>
      </c>
      <c r="E18" s="306"/>
      <c r="F18" s="398" t="s">
        <v>128</v>
      </c>
      <c r="G18" s="474">
        <v>1650</v>
      </c>
      <c r="H18" s="291">
        <f t="shared" si="4"/>
        <v>0</v>
      </c>
      <c r="I18" s="477"/>
      <c r="J18" s="292">
        <v>9</v>
      </c>
      <c r="K18" s="293">
        <f t="shared" si="5"/>
        <v>1650.0000000000005</v>
      </c>
      <c r="L18" s="294">
        <f t="shared" ref="L18:L19" si="6">K18/J18</f>
        <v>183.33333333333337</v>
      </c>
      <c r="M18" s="295">
        <v>0.22569444444444445</v>
      </c>
      <c r="N18" s="295">
        <v>0.2673611111111111</v>
      </c>
      <c r="O18" s="289">
        <v>5</v>
      </c>
      <c r="P18" s="480">
        <f t="shared" ref="P18:P19" si="7">(N18-M18)*24*60</f>
        <v>59.999999999999986</v>
      </c>
      <c r="Q18" s="296"/>
      <c r="R18" s="296"/>
    </row>
    <row r="19" spans="1:18" ht="15.75" customHeight="1">
      <c r="A19" s="646"/>
      <c r="B19" s="397" t="s">
        <v>129</v>
      </c>
      <c r="C19" s="476"/>
      <c r="D19" s="306" t="s">
        <v>457</v>
      </c>
      <c r="E19" s="306"/>
      <c r="F19" s="398">
        <v>19.63</v>
      </c>
      <c r="G19" s="474">
        <v>4246</v>
      </c>
      <c r="H19" s="291">
        <f t="shared" si="4"/>
        <v>83348.98</v>
      </c>
      <c r="I19" s="477"/>
      <c r="J19" s="292">
        <v>15</v>
      </c>
      <c r="K19" s="293">
        <f t="shared" si="5"/>
        <v>1959.6923076923074</v>
      </c>
      <c r="L19" s="294">
        <f t="shared" si="6"/>
        <v>130.64615384615382</v>
      </c>
      <c r="M19" s="295">
        <v>0.27083333333333331</v>
      </c>
      <c r="N19" s="295">
        <v>0.3611111111111111</v>
      </c>
      <c r="O19" s="289">
        <v>5</v>
      </c>
      <c r="P19" s="480">
        <f t="shared" si="7"/>
        <v>130.00000000000003</v>
      </c>
      <c r="Q19" s="296">
        <v>0.36805555555555558</v>
      </c>
      <c r="R19" s="296">
        <v>0.39930555555555558</v>
      </c>
    </row>
    <row r="20" spans="1:18" ht="15.75" customHeight="1">
      <c r="A20" s="647"/>
      <c r="B20" s="397">
        <v>0</v>
      </c>
      <c r="C20" s="476"/>
      <c r="D20" s="306"/>
      <c r="E20" s="306"/>
      <c r="F20" s="398" t="s">
        <v>128</v>
      </c>
      <c r="G20" s="474"/>
      <c r="H20" s="291">
        <f t="shared" si="4"/>
        <v>0</v>
      </c>
      <c r="I20" s="477"/>
      <c r="J20" s="292"/>
      <c r="K20" s="293"/>
      <c r="L20" s="294"/>
      <c r="M20" s="295"/>
      <c r="N20" s="295"/>
      <c r="O20" s="289"/>
      <c r="P20" s="480"/>
      <c r="Q20" s="296"/>
      <c r="R20" s="296"/>
    </row>
    <row r="21" spans="1:18" ht="15.75" customHeight="1">
      <c r="A21" s="647"/>
      <c r="B21" s="397">
        <v>0</v>
      </c>
      <c r="C21" s="476"/>
      <c r="D21" s="306"/>
      <c r="E21" s="306"/>
      <c r="F21" s="398" t="s">
        <v>128</v>
      </c>
      <c r="G21" s="474"/>
      <c r="H21" s="291">
        <f t="shared" si="4"/>
        <v>0</v>
      </c>
      <c r="I21" s="477"/>
      <c r="J21" s="292"/>
      <c r="K21" s="293"/>
      <c r="L21" s="294"/>
      <c r="M21" s="295"/>
      <c r="N21" s="295"/>
      <c r="O21" s="289"/>
      <c r="P21" s="480"/>
      <c r="Q21" s="296"/>
      <c r="R21" s="296"/>
    </row>
    <row r="22" spans="1:18" ht="15.75" customHeight="1">
      <c r="A22" s="647"/>
      <c r="B22" s="397">
        <v>0</v>
      </c>
      <c r="C22" s="476"/>
      <c r="D22" s="306"/>
      <c r="E22" s="410"/>
      <c r="F22" s="398" t="s">
        <v>128</v>
      </c>
      <c r="G22" s="474"/>
      <c r="H22" s="291">
        <f t="shared" si="4"/>
        <v>0</v>
      </c>
      <c r="I22" s="477"/>
      <c r="J22" s="292"/>
      <c r="K22" s="293"/>
      <c r="L22" s="294"/>
      <c r="M22" s="295"/>
      <c r="N22" s="295"/>
      <c r="O22" s="289"/>
      <c r="P22" s="480"/>
      <c r="Q22" s="289"/>
      <c r="R22" s="289"/>
    </row>
    <row r="23" spans="1:18" ht="15.75" customHeight="1">
      <c r="A23" s="647"/>
      <c r="B23" s="397">
        <v>0</v>
      </c>
      <c r="C23" s="476"/>
      <c r="D23" s="306"/>
      <c r="E23" s="410"/>
      <c r="F23" s="398" t="s">
        <v>128</v>
      </c>
      <c r="G23" s="474"/>
      <c r="H23" s="291">
        <f t="shared" si="4"/>
        <v>0</v>
      </c>
      <c r="I23" s="477"/>
      <c r="J23" s="292"/>
      <c r="K23" s="293"/>
      <c r="L23" s="294"/>
      <c r="M23" s="295"/>
      <c r="N23" s="295"/>
      <c r="O23" s="289"/>
      <c r="P23" s="480"/>
      <c r="Q23" s="289"/>
      <c r="R23" s="289"/>
    </row>
    <row r="24" spans="1:18" ht="17.399999999999999" customHeight="1">
      <c r="A24" s="648"/>
      <c r="B24" s="397">
        <v>0</v>
      </c>
      <c r="C24" s="6" t="s">
        <v>458</v>
      </c>
      <c r="D24" s="628" t="s">
        <v>455</v>
      </c>
      <c r="E24" s="628"/>
      <c r="F24" s="298"/>
      <c r="G24" s="307"/>
      <c r="H24" s="300"/>
      <c r="I24" s="301"/>
      <c r="J24" s="302">
        <f>AVERAGE(J17:J23)</f>
        <v>11</v>
      </c>
      <c r="K24" s="302">
        <f>AVERAGE(K17:K23)</f>
        <v>1721.516483516484</v>
      </c>
      <c r="L24" s="303">
        <f>AVERAGE(L17:L23)</f>
        <v>162.24713064713069</v>
      </c>
      <c r="M24" s="295"/>
      <c r="N24" s="295"/>
      <c r="O24" s="289"/>
      <c r="P24" s="289"/>
      <c r="Q24" s="289"/>
      <c r="R24" s="289"/>
    </row>
    <row r="25" spans="1:18">
      <c r="A25" s="635" t="s">
        <v>459</v>
      </c>
      <c r="B25" s="397" t="s">
        <v>126</v>
      </c>
      <c r="C25" s="308"/>
      <c r="D25" s="310" t="s">
        <v>104</v>
      </c>
      <c r="E25" s="309"/>
      <c r="F25" s="398">
        <v>18.53</v>
      </c>
      <c r="G25" s="475">
        <v>1394</v>
      </c>
      <c r="H25" s="291">
        <f t="shared" ref="H25:H37" si="8">F25*G25</f>
        <v>25830.820000000003</v>
      </c>
      <c r="I25" s="477"/>
      <c r="J25" s="292">
        <v>3</v>
      </c>
      <c r="K25" s="293">
        <f t="shared" ref="K25:K28" si="9">G25/P25*60</f>
        <v>2788.0000000000027</v>
      </c>
      <c r="L25" s="294">
        <f t="shared" ref="L25:L28" si="10">K25/J25</f>
        <v>929.33333333333428</v>
      </c>
      <c r="M25" s="295">
        <v>0.18055555555555555</v>
      </c>
      <c r="N25" s="295">
        <v>0.20138888888888887</v>
      </c>
      <c r="O25" s="289">
        <v>20</v>
      </c>
      <c r="P25" s="480">
        <f t="shared" ref="P25:P28" si="11">(N25-M25)*24*60</f>
        <v>29.999999999999972</v>
      </c>
      <c r="Q25" s="296">
        <v>0.20138888888888887</v>
      </c>
      <c r="R25" s="296">
        <v>0.24305555555555555</v>
      </c>
    </row>
    <row r="26" spans="1:18">
      <c r="A26" s="635"/>
      <c r="B26" s="397" t="s">
        <v>126</v>
      </c>
      <c r="C26" s="308"/>
      <c r="D26" s="310" t="s">
        <v>460</v>
      </c>
      <c r="E26" s="311"/>
      <c r="F26" s="398">
        <v>15.03</v>
      </c>
      <c r="G26" s="475">
        <v>693</v>
      </c>
      <c r="H26" s="291">
        <f t="shared" si="8"/>
        <v>10415.789999999999</v>
      </c>
      <c r="I26" s="477"/>
      <c r="J26" s="292">
        <v>4</v>
      </c>
      <c r="K26" s="293">
        <f t="shared" si="9"/>
        <v>2772.00000000001</v>
      </c>
      <c r="L26" s="294">
        <f t="shared" si="10"/>
        <v>693.0000000000025</v>
      </c>
      <c r="M26" s="295">
        <v>0.26041666666666669</v>
      </c>
      <c r="N26" s="295">
        <v>0.27083333333333331</v>
      </c>
      <c r="O26" s="289">
        <v>25</v>
      </c>
      <c r="P26" s="480">
        <f t="shared" si="11"/>
        <v>14.999999999999947</v>
      </c>
      <c r="Q26" s="296"/>
      <c r="R26" s="296"/>
    </row>
    <row r="27" spans="1:18">
      <c r="A27" s="635"/>
      <c r="B27" s="397" t="s">
        <v>126</v>
      </c>
      <c r="C27" s="308"/>
      <c r="D27" s="306" t="s">
        <v>102</v>
      </c>
      <c r="E27" s="311"/>
      <c r="F27" s="398">
        <v>18.18</v>
      </c>
      <c r="G27" s="475">
        <v>2576</v>
      </c>
      <c r="H27" s="291">
        <f t="shared" si="8"/>
        <v>46831.68</v>
      </c>
      <c r="I27" s="477"/>
      <c r="J27" s="292">
        <v>4</v>
      </c>
      <c r="K27" s="293">
        <f t="shared" si="9"/>
        <v>2759.9999999999977</v>
      </c>
      <c r="L27" s="294">
        <f t="shared" si="10"/>
        <v>689.99999999999943</v>
      </c>
      <c r="M27" s="295">
        <v>0.28472222222222221</v>
      </c>
      <c r="N27" s="295">
        <v>0.32361111111111113</v>
      </c>
      <c r="O27" s="289">
        <v>20</v>
      </c>
      <c r="P27" s="480">
        <f t="shared" si="11"/>
        <v>56.000000000000043</v>
      </c>
      <c r="Q27" s="296"/>
      <c r="R27" s="296"/>
    </row>
    <row r="28" spans="1:18">
      <c r="A28" s="635"/>
      <c r="B28" s="397" t="s">
        <v>126</v>
      </c>
      <c r="C28" s="476"/>
      <c r="D28" s="306" t="s">
        <v>461</v>
      </c>
      <c r="E28" s="311"/>
      <c r="F28" s="398">
        <v>24.93</v>
      </c>
      <c r="G28" s="475">
        <v>1624</v>
      </c>
      <c r="H28" s="291">
        <f t="shared" si="8"/>
        <v>40486.32</v>
      </c>
      <c r="I28" s="477"/>
      <c r="J28" s="292">
        <v>3</v>
      </c>
      <c r="K28" s="293">
        <f t="shared" si="9"/>
        <v>2952.7272727272689</v>
      </c>
      <c r="L28" s="294">
        <f t="shared" si="10"/>
        <v>984.242424242423</v>
      </c>
      <c r="M28" s="295">
        <v>0.33749999999999997</v>
      </c>
      <c r="N28" s="295">
        <v>0.36041666666666666</v>
      </c>
      <c r="O28" s="289">
        <v>20</v>
      </c>
      <c r="P28" s="480">
        <f t="shared" si="11"/>
        <v>33.000000000000043</v>
      </c>
      <c r="Q28" s="296"/>
      <c r="R28" s="296"/>
    </row>
    <row r="29" spans="1:18">
      <c r="A29" s="635"/>
      <c r="B29" s="397">
        <v>0</v>
      </c>
      <c r="C29" s="475"/>
      <c r="D29" s="310"/>
      <c r="E29" s="311"/>
      <c r="F29" s="398" t="s">
        <v>128</v>
      </c>
      <c r="G29" s="475"/>
      <c r="H29" s="291">
        <f t="shared" si="8"/>
        <v>0</v>
      </c>
      <c r="I29" s="477"/>
      <c r="J29" s="292"/>
      <c r="K29" s="293"/>
      <c r="L29" s="294"/>
      <c r="M29" s="295"/>
      <c r="N29" s="295"/>
      <c r="O29" s="289"/>
      <c r="P29" s="480"/>
      <c r="Q29" s="296"/>
      <c r="R29" s="296"/>
    </row>
    <row r="30" spans="1:18">
      <c r="A30" s="635"/>
      <c r="B30" s="397">
        <v>0</v>
      </c>
      <c r="C30" s="475"/>
      <c r="D30" s="310"/>
      <c r="E30" s="311"/>
      <c r="F30" s="398" t="s">
        <v>128</v>
      </c>
      <c r="G30" s="475"/>
      <c r="H30" s="291">
        <f t="shared" si="8"/>
        <v>0</v>
      </c>
      <c r="I30" s="477"/>
      <c r="J30" s="292"/>
      <c r="K30" s="293"/>
      <c r="L30" s="294"/>
      <c r="M30" s="295"/>
      <c r="N30" s="295"/>
      <c r="O30" s="289"/>
      <c r="P30" s="480"/>
      <c r="Q30" s="296"/>
      <c r="R30" s="296"/>
    </row>
    <row r="31" spans="1:18" ht="15.75" customHeight="1">
      <c r="A31" s="635"/>
      <c r="B31" s="397">
        <v>0</v>
      </c>
      <c r="C31" s="476"/>
      <c r="D31" s="306"/>
      <c r="E31" s="311"/>
      <c r="F31" s="398" t="s">
        <v>128</v>
      </c>
      <c r="G31" s="475"/>
      <c r="H31" s="291">
        <f t="shared" si="8"/>
        <v>0</v>
      </c>
      <c r="I31" s="477"/>
      <c r="J31" s="292"/>
      <c r="K31" s="293"/>
      <c r="L31" s="294"/>
      <c r="M31" s="295"/>
      <c r="N31" s="295"/>
      <c r="O31" s="289"/>
      <c r="P31" s="480"/>
      <c r="Q31" s="296"/>
      <c r="R31" s="296"/>
    </row>
    <row r="32" spans="1:18">
      <c r="A32" s="635"/>
      <c r="B32" s="397">
        <v>0</v>
      </c>
      <c r="C32" s="476"/>
      <c r="D32" s="310"/>
      <c r="E32" s="410"/>
      <c r="F32" s="398" t="s">
        <v>128</v>
      </c>
      <c r="G32" s="475"/>
      <c r="H32" s="291">
        <f t="shared" si="8"/>
        <v>0</v>
      </c>
      <c r="I32" s="477"/>
      <c r="J32" s="292"/>
      <c r="K32" s="293"/>
      <c r="L32" s="294"/>
      <c r="M32" s="295"/>
      <c r="N32" s="295"/>
      <c r="O32" s="289"/>
      <c r="P32" s="480"/>
      <c r="Q32" s="296"/>
      <c r="R32" s="296"/>
    </row>
    <row r="33" spans="1:18">
      <c r="A33" s="635"/>
      <c r="B33" s="397">
        <v>0</v>
      </c>
      <c r="C33" s="475"/>
      <c r="D33" s="306"/>
      <c r="E33" s="311"/>
      <c r="F33" s="398" t="s">
        <v>128</v>
      </c>
      <c r="G33" s="475"/>
      <c r="H33" s="291">
        <f t="shared" si="8"/>
        <v>0</v>
      </c>
      <c r="I33" s="477"/>
      <c r="J33" s="292"/>
      <c r="K33" s="293"/>
      <c r="L33" s="294"/>
      <c r="M33" s="295"/>
      <c r="N33" s="295"/>
      <c r="O33" s="289"/>
      <c r="P33" s="480"/>
      <c r="Q33" s="296"/>
      <c r="R33" s="296"/>
    </row>
    <row r="34" spans="1:18">
      <c r="A34" s="635"/>
      <c r="B34" s="397">
        <v>0</v>
      </c>
      <c r="C34" s="308"/>
      <c r="D34" s="310"/>
      <c r="E34" s="311"/>
      <c r="F34" s="398" t="s">
        <v>128</v>
      </c>
      <c r="G34" s="312"/>
      <c r="H34" s="291">
        <f t="shared" si="8"/>
        <v>0</v>
      </c>
      <c r="I34" s="477"/>
      <c r="J34" s="292"/>
      <c r="K34" s="293"/>
      <c r="L34" s="294"/>
      <c r="M34" s="295"/>
      <c r="N34" s="295"/>
      <c r="O34" s="289"/>
      <c r="P34" s="480"/>
      <c r="Q34" s="296"/>
      <c r="R34" s="296"/>
    </row>
    <row r="35" spans="1:18">
      <c r="A35" s="635"/>
      <c r="B35" s="397">
        <v>0</v>
      </c>
      <c r="C35" s="308"/>
      <c r="D35" s="310"/>
      <c r="E35" s="311"/>
      <c r="F35" s="398" t="s">
        <v>128</v>
      </c>
      <c r="G35" s="312"/>
      <c r="H35" s="291">
        <f t="shared" si="8"/>
        <v>0</v>
      </c>
      <c r="I35" s="477"/>
      <c r="J35" s="292"/>
      <c r="K35" s="293"/>
      <c r="L35" s="294"/>
      <c r="M35" s="295"/>
      <c r="N35" s="295"/>
      <c r="O35" s="289"/>
      <c r="P35" s="480"/>
      <c r="Q35" s="296"/>
      <c r="R35" s="296"/>
    </row>
    <row r="36" spans="1:18">
      <c r="A36" s="635"/>
      <c r="B36" s="397">
        <v>0</v>
      </c>
      <c r="C36" s="308"/>
      <c r="D36" s="310"/>
      <c r="E36" s="310"/>
      <c r="F36" s="398" t="s">
        <v>128</v>
      </c>
      <c r="G36" s="312"/>
      <c r="H36" s="291">
        <f t="shared" si="8"/>
        <v>0</v>
      </c>
      <c r="I36" s="477"/>
      <c r="J36" s="292"/>
      <c r="K36" s="293"/>
      <c r="L36" s="294"/>
      <c r="M36" s="295"/>
      <c r="N36" s="295"/>
      <c r="O36" s="289"/>
      <c r="P36" s="480"/>
      <c r="Q36" s="296"/>
      <c r="R36" s="296"/>
    </row>
    <row r="37" spans="1:18">
      <c r="A37" s="635"/>
      <c r="B37" s="397">
        <v>0</v>
      </c>
      <c r="C37" s="308"/>
      <c r="D37" s="309"/>
      <c r="E37" s="309"/>
      <c r="F37" s="398" t="s">
        <v>128</v>
      </c>
      <c r="G37" s="312"/>
      <c r="H37" s="291">
        <f t="shared" si="8"/>
        <v>0</v>
      </c>
      <c r="I37" s="477"/>
      <c r="J37" s="292"/>
      <c r="K37" s="293"/>
      <c r="L37" s="294"/>
      <c r="M37" s="295"/>
      <c r="N37" s="295"/>
      <c r="O37" s="289"/>
      <c r="P37" s="480"/>
      <c r="Q37" s="296"/>
      <c r="R37" s="296"/>
    </row>
    <row r="38" spans="1:18" ht="17.399999999999999" customHeight="1">
      <c r="A38" s="636"/>
      <c r="B38" s="397">
        <v>0</v>
      </c>
      <c r="C38" s="6" t="s">
        <v>27</v>
      </c>
      <c r="D38" s="614" t="s">
        <v>103</v>
      </c>
      <c r="E38" s="614"/>
      <c r="F38" s="298"/>
      <c r="G38" s="313"/>
      <c r="H38" s="300"/>
      <c r="I38" s="301"/>
      <c r="J38" s="302">
        <f>AVERAGE(J25:J37)</f>
        <v>3.5</v>
      </c>
      <c r="K38" s="302">
        <f>AVERAGE(K25:K37)</f>
        <v>2818.1818181818198</v>
      </c>
      <c r="L38" s="303">
        <f>AVERAGE(L25:L37)</f>
        <v>824.14393939393983</v>
      </c>
      <c r="M38" s="295"/>
      <c r="N38" s="295"/>
      <c r="O38" s="293"/>
      <c r="P38" s="293"/>
      <c r="Q38" s="294"/>
      <c r="R38" s="294"/>
    </row>
    <row r="39" spans="1:18" ht="16.2" customHeight="1">
      <c r="A39" s="624" t="s">
        <v>462</v>
      </c>
      <c r="B39" s="397">
        <v>0</v>
      </c>
      <c r="C39" s="476"/>
      <c r="D39" s="310"/>
      <c r="E39" s="410"/>
      <c r="F39" s="398" t="s">
        <v>128</v>
      </c>
      <c r="G39" s="475"/>
      <c r="H39" s="291">
        <f t="shared" ref="H39:H47" si="12">F39*G39</f>
        <v>0</v>
      </c>
      <c r="I39" s="477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625"/>
      <c r="B40" s="397">
        <v>0</v>
      </c>
      <c r="C40" s="476"/>
      <c r="D40" s="310"/>
      <c r="E40" s="410"/>
      <c r="F40" s="398" t="s">
        <v>128</v>
      </c>
      <c r="G40" s="475"/>
      <c r="H40" s="291">
        <f t="shared" si="12"/>
        <v>0</v>
      </c>
      <c r="I40" s="477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625"/>
      <c r="B41" s="397">
        <v>0</v>
      </c>
      <c r="C41" s="476"/>
      <c r="D41" s="323"/>
      <c r="E41" s="410"/>
      <c r="F41" s="398" t="s">
        <v>128</v>
      </c>
      <c r="G41" s="475"/>
      <c r="H41" s="291">
        <f t="shared" si="12"/>
        <v>0</v>
      </c>
      <c r="I41" s="477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625"/>
      <c r="B42" s="397">
        <v>0</v>
      </c>
      <c r="C42" s="476"/>
      <c r="D42" s="323"/>
      <c r="E42" s="410"/>
      <c r="F42" s="398" t="s">
        <v>128</v>
      </c>
      <c r="G42" s="475"/>
      <c r="H42" s="291">
        <f t="shared" si="12"/>
        <v>0</v>
      </c>
      <c r="I42" s="477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625"/>
      <c r="B43" s="397">
        <v>0</v>
      </c>
      <c r="C43" s="476"/>
      <c r="D43" s="310"/>
      <c r="E43" s="410"/>
      <c r="F43" s="398" t="s">
        <v>128</v>
      </c>
      <c r="G43" s="475"/>
      <c r="H43" s="291">
        <f t="shared" si="12"/>
        <v>0</v>
      </c>
      <c r="I43" s="477"/>
      <c r="J43" s="292"/>
      <c r="K43" s="293"/>
      <c r="L43" s="294"/>
      <c r="M43" s="295"/>
      <c r="N43" s="295"/>
      <c r="O43" s="289"/>
      <c r="P43" s="480"/>
      <c r="Q43" s="296"/>
      <c r="R43" s="296"/>
    </row>
    <row r="44" spans="1:18">
      <c r="A44" s="625"/>
      <c r="B44" s="397">
        <v>0</v>
      </c>
      <c r="C44" s="476"/>
      <c r="D44" s="400"/>
      <c r="E44" s="315"/>
      <c r="F44" s="398" t="s">
        <v>128</v>
      </c>
      <c r="G44" s="316"/>
      <c r="H44" s="317">
        <f t="shared" si="12"/>
        <v>0</v>
      </c>
      <c r="I44" s="478"/>
      <c r="J44" s="292"/>
      <c r="K44" s="293"/>
      <c r="L44" s="294"/>
      <c r="M44" s="295"/>
      <c r="N44" s="295"/>
      <c r="O44" s="289"/>
      <c r="P44" s="480"/>
      <c r="Q44" s="296"/>
      <c r="R44" s="296"/>
    </row>
    <row r="45" spans="1:18">
      <c r="A45" s="625"/>
      <c r="B45" s="397">
        <v>0</v>
      </c>
      <c r="C45" s="476"/>
      <c r="D45" s="323"/>
      <c r="E45" s="311"/>
      <c r="F45" s="398" t="s">
        <v>128</v>
      </c>
      <c r="G45" s="475"/>
      <c r="H45" s="291">
        <f t="shared" si="12"/>
        <v>0</v>
      </c>
      <c r="I45" s="477"/>
      <c r="J45" s="292"/>
      <c r="K45" s="293"/>
      <c r="L45" s="294"/>
      <c r="M45" s="295"/>
      <c r="N45" s="295"/>
      <c r="O45" s="289"/>
      <c r="P45" s="480"/>
      <c r="Q45" s="296"/>
      <c r="R45" s="296"/>
    </row>
    <row r="46" spans="1:18">
      <c r="A46" s="625"/>
      <c r="B46" s="397">
        <v>0</v>
      </c>
      <c r="C46" s="476"/>
      <c r="D46" s="323"/>
      <c r="E46" s="315"/>
      <c r="F46" s="398" t="s">
        <v>128</v>
      </c>
      <c r="G46" s="316"/>
      <c r="H46" s="317">
        <f t="shared" si="12"/>
        <v>0</v>
      </c>
      <c r="I46" s="478"/>
      <c r="J46" s="292"/>
      <c r="K46" s="293"/>
      <c r="L46" s="294"/>
      <c r="M46" s="295"/>
      <c r="N46" s="295"/>
      <c r="O46" s="289"/>
      <c r="P46" s="480"/>
      <c r="Q46" s="296"/>
      <c r="R46" s="296"/>
    </row>
    <row r="47" spans="1:18">
      <c r="A47" s="625"/>
      <c r="B47" s="397">
        <v>0</v>
      </c>
      <c r="C47" s="476"/>
      <c r="D47" s="309"/>
      <c r="E47" s="311"/>
      <c r="F47" s="398" t="s">
        <v>128</v>
      </c>
      <c r="G47" s="475"/>
      <c r="H47" s="291">
        <f t="shared" si="12"/>
        <v>0</v>
      </c>
      <c r="I47" s="477"/>
      <c r="J47" s="292"/>
      <c r="K47" s="293"/>
      <c r="L47" s="294"/>
      <c r="M47" s="295"/>
      <c r="N47" s="295"/>
      <c r="O47" s="289"/>
      <c r="P47" s="480"/>
      <c r="Q47" s="296"/>
      <c r="R47" s="296"/>
    </row>
    <row r="48" spans="1:18">
      <c r="A48" s="626"/>
      <c r="B48" s="397">
        <v>0</v>
      </c>
      <c r="C48" s="475"/>
      <c r="D48" s="309"/>
      <c r="E48" s="401"/>
      <c r="F48" s="398" t="s">
        <v>128</v>
      </c>
      <c r="G48" s="475"/>
      <c r="H48" s="291"/>
      <c r="I48" s="477"/>
      <c r="J48" s="292"/>
      <c r="K48" s="293"/>
      <c r="L48" s="294"/>
      <c r="M48" s="295"/>
      <c r="N48" s="295"/>
      <c r="O48" s="289"/>
      <c r="P48" s="480"/>
      <c r="Q48" s="296"/>
      <c r="R48" s="296"/>
    </row>
    <row r="49" spans="1:18">
      <c r="A49" s="626"/>
      <c r="B49" s="397">
        <v>0</v>
      </c>
      <c r="C49" s="475"/>
      <c r="D49" s="310"/>
      <c r="E49" s="318"/>
      <c r="F49" s="398" t="s">
        <v>128</v>
      </c>
      <c r="G49" s="289"/>
      <c r="H49" s="317">
        <f>F49*G49</f>
        <v>0</v>
      </c>
      <c r="I49" s="480"/>
      <c r="J49" s="292"/>
      <c r="K49" s="293"/>
      <c r="L49" s="294"/>
      <c r="M49" s="295"/>
      <c r="N49" s="295"/>
      <c r="O49" s="289"/>
      <c r="P49" s="480"/>
      <c r="Q49" s="296"/>
      <c r="R49" s="296"/>
    </row>
    <row r="50" spans="1:18">
      <c r="A50" s="626"/>
      <c r="B50" s="397">
        <v>0</v>
      </c>
      <c r="C50" s="475"/>
      <c r="D50" s="309"/>
      <c r="E50" s="318"/>
      <c r="F50" s="398" t="s">
        <v>128</v>
      </c>
      <c r="G50" s="289"/>
      <c r="H50" s="317">
        <f>F50*G50</f>
        <v>0</v>
      </c>
      <c r="I50" s="480"/>
      <c r="J50" s="292"/>
      <c r="K50" s="293"/>
      <c r="L50" s="294"/>
      <c r="M50" s="295"/>
      <c r="N50" s="295"/>
      <c r="O50" s="289"/>
      <c r="P50" s="480"/>
      <c r="Q50" s="296"/>
      <c r="R50" s="296"/>
    </row>
    <row r="51" spans="1:18" ht="15.75" customHeight="1">
      <c r="A51" s="627"/>
      <c r="B51" s="397">
        <v>0</v>
      </c>
      <c r="C51" s="6" t="s">
        <v>28</v>
      </c>
      <c r="D51" s="628" t="s">
        <v>455</v>
      </c>
      <c r="E51" s="628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629" t="s">
        <v>463</v>
      </c>
      <c r="B52" s="397" t="s">
        <v>126</v>
      </c>
      <c r="C52" s="476"/>
      <c r="D52" s="309" t="s">
        <v>109</v>
      </c>
      <c r="E52" s="402"/>
      <c r="F52" s="398">
        <v>18.18</v>
      </c>
      <c r="G52" s="475">
        <v>797</v>
      </c>
      <c r="H52" s="291">
        <f>F52*G52</f>
        <v>14489.46</v>
      </c>
      <c r="I52" s="477"/>
      <c r="J52" s="292">
        <v>3</v>
      </c>
      <c r="K52" s="293">
        <f>G52/P52*60</f>
        <v>3187.9999999999945</v>
      </c>
      <c r="L52" s="294">
        <f>K52/J52</f>
        <v>1062.6666666666649</v>
      </c>
      <c r="M52" s="295">
        <v>0.30555555555555552</v>
      </c>
      <c r="N52" s="295">
        <v>0.31597222222222221</v>
      </c>
      <c r="O52" s="293">
        <v>20</v>
      </c>
      <c r="P52" s="480">
        <f>(N52-M52)*24*60</f>
        <v>15.000000000000027</v>
      </c>
      <c r="Q52" s="296"/>
      <c r="R52" s="296"/>
    </row>
    <row r="53" spans="1:18" ht="15.6" customHeight="1">
      <c r="A53" s="630"/>
      <c r="B53" s="397" t="s">
        <v>126</v>
      </c>
      <c r="C53" s="476"/>
      <c r="D53" s="309" t="s">
        <v>105</v>
      </c>
      <c r="E53" s="322"/>
      <c r="F53" s="398">
        <v>25.03</v>
      </c>
      <c r="G53" s="297">
        <v>489</v>
      </c>
      <c r="H53" s="291">
        <f t="shared" ref="H53:H116" si="13">F53*G53</f>
        <v>12239.67</v>
      </c>
      <c r="I53" s="477"/>
      <c r="J53" s="292">
        <v>4</v>
      </c>
      <c r="K53" s="293">
        <f t="shared" ref="K53:K59" si="14">G53/P53*60</f>
        <v>2933.9999999999873</v>
      </c>
      <c r="L53" s="294">
        <f t="shared" ref="L53:L59" si="15">K53/J53</f>
        <v>733.49999999999682</v>
      </c>
      <c r="M53" s="295">
        <v>0.3298611111111111</v>
      </c>
      <c r="N53" s="295">
        <v>0.33680555555555558</v>
      </c>
      <c r="O53" s="293">
        <v>20</v>
      </c>
      <c r="P53" s="480">
        <f t="shared" ref="P53:P59" si="16">(N53-M53)*24*60</f>
        <v>10.000000000000044</v>
      </c>
      <c r="Q53" s="296"/>
      <c r="R53" s="296"/>
    </row>
    <row r="54" spans="1:18" ht="15.6" customHeight="1">
      <c r="A54" s="630"/>
      <c r="B54" s="397" t="s">
        <v>126</v>
      </c>
      <c r="C54" s="476"/>
      <c r="D54" s="309" t="s">
        <v>106</v>
      </c>
      <c r="E54" s="410"/>
      <c r="F54" s="398">
        <v>24.82</v>
      </c>
      <c r="G54" s="297">
        <v>677</v>
      </c>
      <c r="H54" s="291">
        <f t="shared" si="13"/>
        <v>16803.14</v>
      </c>
      <c r="I54" s="477"/>
      <c r="J54" s="292">
        <v>4</v>
      </c>
      <c r="K54" s="293">
        <f t="shared" si="14"/>
        <v>3124.6153846153766</v>
      </c>
      <c r="L54" s="294">
        <f t="shared" si="15"/>
        <v>781.15384615384414</v>
      </c>
      <c r="M54" s="295">
        <v>0.35069444444444442</v>
      </c>
      <c r="N54" s="295">
        <v>0.35972222222222222</v>
      </c>
      <c r="O54" s="293">
        <v>20</v>
      </c>
      <c r="P54" s="480">
        <f t="shared" si="16"/>
        <v>13.000000000000034</v>
      </c>
      <c r="Q54" s="296"/>
      <c r="R54" s="296"/>
    </row>
    <row r="55" spans="1:18" ht="15.6" customHeight="1">
      <c r="A55" s="630"/>
      <c r="B55" s="397" t="s">
        <v>126</v>
      </c>
      <c r="C55" s="476"/>
      <c r="D55" s="310" t="s">
        <v>464</v>
      </c>
      <c r="E55" s="311"/>
      <c r="F55" s="398">
        <v>23.72</v>
      </c>
      <c r="G55" s="297">
        <v>403</v>
      </c>
      <c r="H55" s="291">
        <f t="shared" si="13"/>
        <v>9559.16</v>
      </c>
      <c r="I55" s="477"/>
      <c r="J55" s="292">
        <v>4</v>
      </c>
      <c r="K55" s="293">
        <f t="shared" si="14"/>
        <v>2686.6666666666524</v>
      </c>
      <c r="L55" s="294">
        <f t="shared" si="15"/>
        <v>671.6666666666631</v>
      </c>
      <c r="M55" s="295">
        <v>0.37361111111111112</v>
      </c>
      <c r="N55" s="295">
        <v>0.37986111111111115</v>
      </c>
      <c r="O55" s="293">
        <v>20</v>
      </c>
      <c r="P55" s="480">
        <f t="shared" si="16"/>
        <v>9.000000000000048</v>
      </c>
      <c r="Q55" s="296">
        <v>0.37986111111111115</v>
      </c>
      <c r="R55" s="296">
        <v>0.42152777777777778</v>
      </c>
    </row>
    <row r="56" spans="1:18" ht="15.6" customHeight="1">
      <c r="A56" s="630"/>
      <c r="B56" s="397" t="s">
        <v>126</v>
      </c>
      <c r="C56" s="476"/>
      <c r="D56" s="309" t="s">
        <v>107</v>
      </c>
      <c r="E56" s="311"/>
      <c r="F56" s="398">
        <v>30</v>
      </c>
      <c r="G56" s="297">
        <v>996</v>
      </c>
      <c r="H56" s="291">
        <f t="shared" si="13"/>
        <v>29880</v>
      </c>
      <c r="I56" s="477"/>
      <c r="J56" s="292">
        <v>4</v>
      </c>
      <c r="K56" s="293">
        <f t="shared" si="14"/>
        <v>3145.2631578947344</v>
      </c>
      <c r="L56" s="294">
        <f t="shared" si="15"/>
        <v>786.31578947368359</v>
      </c>
      <c r="M56" s="295">
        <v>0.43888888888888888</v>
      </c>
      <c r="N56" s="295">
        <v>0.45208333333333334</v>
      </c>
      <c r="O56" s="293">
        <v>25</v>
      </c>
      <c r="P56" s="480">
        <f t="shared" si="16"/>
        <v>19.000000000000014</v>
      </c>
      <c r="Q56" s="296"/>
      <c r="R56" s="296"/>
    </row>
    <row r="57" spans="1:18" ht="15.75" customHeight="1">
      <c r="A57" s="630"/>
      <c r="B57" s="397" t="s">
        <v>126</v>
      </c>
      <c r="C57" s="6" t="s">
        <v>31</v>
      </c>
      <c r="D57" s="323" t="s">
        <v>465</v>
      </c>
      <c r="E57" s="311"/>
      <c r="F57" s="398">
        <v>25.2</v>
      </c>
      <c r="G57" s="297">
        <v>451</v>
      </c>
      <c r="H57" s="291">
        <f t="shared" si="13"/>
        <v>11365.199999999999</v>
      </c>
      <c r="I57" s="477"/>
      <c r="J57" s="292">
        <v>3</v>
      </c>
      <c r="K57" s="293">
        <f t="shared" si="14"/>
        <v>3006.6666666666506</v>
      </c>
      <c r="L57" s="294">
        <f t="shared" si="15"/>
        <v>1002.2222222222168</v>
      </c>
      <c r="M57" s="295">
        <v>0.46597222222222223</v>
      </c>
      <c r="N57" s="295">
        <v>0.47222222222222227</v>
      </c>
      <c r="O57" s="293">
        <v>20</v>
      </c>
      <c r="P57" s="480">
        <f t="shared" si="16"/>
        <v>9.000000000000048</v>
      </c>
      <c r="Q57" s="296"/>
      <c r="R57" s="296"/>
    </row>
    <row r="58" spans="1:18" ht="15.6" customHeight="1">
      <c r="A58" s="630"/>
      <c r="B58" s="397" t="s">
        <v>126</v>
      </c>
      <c r="C58" s="403"/>
      <c r="D58" s="323" t="s">
        <v>466</v>
      </c>
      <c r="E58" s="311"/>
      <c r="F58" s="398">
        <v>20.72</v>
      </c>
      <c r="G58" s="324">
        <v>1154</v>
      </c>
      <c r="H58" s="291">
        <f t="shared" si="13"/>
        <v>23910.879999999997</v>
      </c>
      <c r="I58" s="477"/>
      <c r="J58" s="292">
        <v>3</v>
      </c>
      <c r="K58" s="293">
        <f t="shared" si="14"/>
        <v>3147.272727272727</v>
      </c>
      <c r="L58" s="294">
        <f t="shared" si="15"/>
        <v>1049.090909090909</v>
      </c>
      <c r="M58" s="295">
        <v>0.4861111111111111</v>
      </c>
      <c r="N58" s="295">
        <v>0.50138888888888888</v>
      </c>
      <c r="O58" s="293">
        <v>20</v>
      </c>
      <c r="P58" s="480">
        <f t="shared" si="16"/>
        <v>22</v>
      </c>
      <c r="Q58" s="296"/>
      <c r="R58" s="296"/>
    </row>
    <row r="59" spans="1:18" ht="15.6" customHeight="1">
      <c r="A59" s="630"/>
      <c r="B59" s="397" t="s">
        <v>126</v>
      </c>
      <c r="C59" s="476"/>
      <c r="D59" s="309" t="s">
        <v>467</v>
      </c>
      <c r="E59" s="311"/>
      <c r="F59" s="398">
        <v>17.07</v>
      </c>
      <c r="G59" s="297">
        <v>1488</v>
      </c>
      <c r="H59" s="291">
        <f t="shared" si="13"/>
        <v>25400.16</v>
      </c>
      <c r="I59" s="477"/>
      <c r="J59" s="292">
        <v>3</v>
      </c>
      <c r="K59" s="293">
        <f t="shared" si="14"/>
        <v>3188.5714285714398</v>
      </c>
      <c r="L59" s="294">
        <f t="shared" si="15"/>
        <v>1062.8571428571465</v>
      </c>
      <c r="M59" s="295">
        <v>0.51527777777777783</v>
      </c>
      <c r="N59" s="295">
        <v>0.53472222222222221</v>
      </c>
      <c r="O59" s="293">
        <v>20</v>
      </c>
      <c r="P59" s="480">
        <f t="shared" si="16"/>
        <v>27.999999999999901</v>
      </c>
      <c r="Q59" s="296"/>
      <c r="R59" s="296"/>
    </row>
    <row r="60" spans="1:18" ht="15.6" customHeight="1">
      <c r="A60" s="630"/>
      <c r="B60" s="397">
        <v>0</v>
      </c>
      <c r="C60" s="476"/>
      <c r="D60" s="309"/>
      <c r="E60" s="325"/>
      <c r="F60" s="398" t="s">
        <v>128</v>
      </c>
      <c r="G60" s="297"/>
      <c r="H60" s="291">
        <f t="shared" si="13"/>
        <v>0</v>
      </c>
      <c r="I60" s="477"/>
      <c r="J60" s="292"/>
      <c r="K60" s="293"/>
      <c r="L60" s="294"/>
      <c r="M60" s="295"/>
      <c r="N60" s="295"/>
      <c r="O60" s="293"/>
      <c r="P60" s="480"/>
      <c r="Q60" s="296"/>
      <c r="R60" s="296"/>
    </row>
    <row r="61" spans="1:18" ht="15.6" customHeight="1">
      <c r="A61" s="630"/>
      <c r="B61" s="397">
        <v>0</v>
      </c>
      <c r="C61" s="476"/>
      <c r="D61" s="310"/>
      <c r="E61" s="311"/>
      <c r="F61" s="398" t="s">
        <v>128</v>
      </c>
      <c r="G61" s="297"/>
      <c r="H61" s="291">
        <f t="shared" si="13"/>
        <v>0</v>
      </c>
      <c r="I61" s="477"/>
      <c r="J61" s="292"/>
      <c r="K61" s="293"/>
      <c r="L61" s="294"/>
      <c r="M61" s="295"/>
      <c r="N61" s="295"/>
      <c r="O61" s="293"/>
      <c r="P61" s="480"/>
      <c r="Q61" s="296"/>
      <c r="R61" s="296"/>
    </row>
    <row r="62" spans="1:18" ht="15.6" customHeight="1">
      <c r="A62" s="630"/>
      <c r="B62" s="397">
        <v>0</v>
      </c>
      <c r="C62" s="476"/>
      <c r="D62" s="309"/>
      <c r="E62" s="404"/>
      <c r="F62" s="398" t="s">
        <v>128</v>
      </c>
      <c r="G62" s="297"/>
      <c r="H62" s="291">
        <f t="shared" si="13"/>
        <v>0</v>
      </c>
      <c r="I62" s="477"/>
      <c r="J62" s="292"/>
      <c r="K62" s="293"/>
      <c r="L62" s="294"/>
      <c r="M62" s="295"/>
      <c r="N62" s="295"/>
      <c r="O62" s="293"/>
      <c r="P62" s="480"/>
      <c r="Q62" s="296"/>
      <c r="R62" s="296"/>
    </row>
    <row r="63" spans="1:18" ht="15.6" customHeight="1">
      <c r="A63" s="630"/>
      <c r="B63" s="397">
        <v>0</v>
      </c>
      <c r="C63" s="403"/>
      <c r="D63" s="405"/>
      <c r="E63" s="325"/>
      <c r="F63" s="398" t="s">
        <v>128</v>
      </c>
      <c r="G63" s="297"/>
      <c r="H63" s="291">
        <f t="shared" si="13"/>
        <v>0</v>
      </c>
      <c r="I63" s="478"/>
      <c r="J63" s="292"/>
      <c r="K63" s="293"/>
      <c r="L63" s="294"/>
      <c r="M63" s="295"/>
      <c r="N63" s="295"/>
      <c r="O63" s="289"/>
      <c r="P63" s="480"/>
      <c r="Q63" s="296"/>
      <c r="R63" s="296"/>
    </row>
    <row r="64" spans="1:18" ht="15.75" customHeight="1">
      <c r="A64" s="631"/>
      <c r="B64" s="397">
        <v>0</v>
      </c>
      <c r="C64" s="6" t="s">
        <v>468</v>
      </c>
      <c r="D64" s="628" t="s">
        <v>455</v>
      </c>
      <c r="E64" s="628"/>
      <c r="F64" s="298"/>
      <c r="G64" s="303"/>
      <c r="H64" s="319"/>
      <c r="I64" s="320"/>
      <c r="J64" s="302">
        <f>AVERAGE(J52:J63)</f>
        <v>3.5</v>
      </c>
      <c r="K64" s="302">
        <f>AVERAGE(K52:K63)</f>
        <v>3052.6320039609454</v>
      </c>
      <c r="L64" s="303">
        <f>AVERAGE(L52:L63)</f>
        <v>893.68415539139062</v>
      </c>
      <c r="M64" s="295"/>
      <c r="N64" s="295"/>
      <c r="O64" s="289"/>
      <c r="P64" s="289"/>
      <c r="Q64" s="289"/>
      <c r="R64" s="289"/>
    </row>
    <row r="65" spans="1:18" ht="15.6" customHeight="1">
      <c r="A65" s="632" t="s">
        <v>469</v>
      </c>
      <c r="B65" s="397" t="s">
        <v>126</v>
      </c>
      <c r="C65" s="476"/>
      <c r="D65" s="310" t="s">
        <v>470</v>
      </c>
      <c r="E65" s="402"/>
      <c r="F65" s="398">
        <v>22.281818181818181</v>
      </c>
      <c r="G65" s="475">
        <v>537</v>
      </c>
      <c r="H65" s="291">
        <f>F65*G65</f>
        <v>11965.336363636363</v>
      </c>
      <c r="I65" s="477"/>
      <c r="J65" s="292">
        <v>4</v>
      </c>
      <c r="K65" s="293">
        <f t="shared" ref="K65:K70" si="17">G65/P65*60</f>
        <v>2929.090909090909</v>
      </c>
      <c r="L65" s="294">
        <f t="shared" ref="L65:L70" si="18">K65/J65</f>
        <v>732.27272727272725</v>
      </c>
      <c r="M65" s="295">
        <v>0.18055555555555555</v>
      </c>
      <c r="N65" s="295">
        <v>0.18819444444444444</v>
      </c>
      <c r="O65" s="293">
        <v>20</v>
      </c>
      <c r="P65" s="480">
        <f>(N65-M65)*24*60</f>
        <v>11</v>
      </c>
      <c r="Q65" s="296"/>
      <c r="R65" s="296"/>
    </row>
    <row r="66" spans="1:18" ht="15.6" customHeight="1">
      <c r="A66" s="633"/>
      <c r="B66" s="397" t="s">
        <v>126</v>
      </c>
      <c r="C66" s="476"/>
      <c r="D66" s="400" t="s">
        <v>108</v>
      </c>
      <c r="E66" s="322"/>
      <c r="F66" s="398">
        <v>14.03</v>
      </c>
      <c r="G66" s="297">
        <v>2499</v>
      </c>
      <c r="H66" s="291">
        <f t="shared" ref="H66:H74" si="19">F66*G66</f>
        <v>35060.97</v>
      </c>
      <c r="I66" s="477"/>
      <c r="J66" s="292">
        <v>3</v>
      </c>
      <c r="K66" s="293">
        <f t="shared" si="17"/>
        <v>3190.2127659574471</v>
      </c>
      <c r="L66" s="294">
        <f t="shared" si="18"/>
        <v>1063.4042553191491</v>
      </c>
      <c r="M66" s="295">
        <v>0.20208333333333331</v>
      </c>
      <c r="N66" s="295">
        <v>0.23472222222222219</v>
      </c>
      <c r="O66" s="293">
        <v>20</v>
      </c>
      <c r="P66" s="480">
        <f t="shared" ref="P66:P70" si="20">(N66-M66)*24*60</f>
        <v>46.999999999999993</v>
      </c>
      <c r="Q66" s="296"/>
      <c r="R66" s="296"/>
    </row>
    <row r="67" spans="1:18" ht="15.6" customHeight="1">
      <c r="A67" s="633"/>
      <c r="B67" s="397" t="s">
        <v>126</v>
      </c>
      <c r="C67" s="476"/>
      <c r="D67" s="310" t="s">
        <v>110</v>
      </c>
      <c r="E67" s="311"/>
      <c r="F67" s="398">
        <v>18.18</v>
      </c>
      <c r="G67" s="297">
        <v>1295</v>
      </c>
      <c r="H67" s="291">
        <f t="shared" si="19"/>
        <v>23543.1</v>
      </c>
      <c r="I67" s="477"/>
      <c r="J67" s="292">
        <v>3</v>
      </c>
      <c r="K67" s="293">
        <f t="shared" si="17"/>
        <v>3108.0000000000009</v>
      </c>
      <c r="L67" s="294">
        <f t="shared" si="18"/>
        <v>1036.0000000000002</v>
      </c>
      <c r="M67" s="295">
        <v>0.24861111111111112</v>
      </c>
      <c r="N67" s="295">
        <v>0.26597222222222222</v>
      </c>
      <c r="O67" s="293">
        <v>20</v>
      </c>
      <c r="P67" s="480">
        <f t="shared" si="20"/>
        <v>24.999999999999993</v>
      </c>
      <c r="Q67" s="296"/>
      <c r="R67" s="296"/>
    </row>
    <row r="68" spans="1:18" ht="15.6" customHeight="1">
      <c r="A68" s="633"/>
      <c r="B68" s="397" t="s">
        <v>126</v>
      </c>
      <c r="C68" s="476"/>
      <c r="D68" s="323" t="s">
        <v>471</v>
      </c>
      <c r="E68" s="311"/>
      <c r="F68" s="398">
        <v>17.890909090909091</v>
      </c>
      <c r="G68" s="297">
        <v>1342</v>
      </c>
      <c r="H68" s="291">
        <f t="shared" si="19"/>
        <v>24009.599999999999</v>
      </c>
      <c r="I68" s="477"/>
      <c r="J68" s="292">
        <v>3</v>
      </c>
      <c r="K68" s="293">
        <f t="shared" si="17"/>
        <v>3096.9230769230785</v>
      </c>
      <c r="L68" s="294">
        <f t="shared" si="18"/>
        <v>1032.3076923076928</v>
      </c>
      <c r="M68" s="295">
        <v>0.27986111111111112</v>
      </c>
      <c r="N68" s="295">
        <v>0.29791666666666666</v>
      </c>
      <c r="O68" s="293">
        <v>20</v>
      </c>
      <c r="P68" s="480">
        <f t="shared" si="20"/>
        <v>25.999999999999986</v>
      </c>
      <c r="Q68" s="296">
        <v>0.29791666666666666</v>
      </c>
      <c r="R68" s="296">
        <v>0.33958333333333335</v>
      </c>
    </row>
    <row r="69" spans="1:18" ht="15.6" customHeight="1">
      <c r="A69" s="633"/>
      <c r="B69" s="397" t="s">
        <v>126</v>
      </c>
      <c r="C69" s="476"/>
      <c r="D69" s="310" t="s">
        <v>472</v>
      </c>
      <c r="E69" s="311"/>
      <c r="F69" s="398">
        <v>16.66</v>
      </c>
      <c r="G69" s="297">
        <v>2507</v>
      </c>
      <c r="H69" s="291">
        <f t="shared" si="19"/>
        <v>41766.620000000003</v>
      </c>
      <c r="I69" s="477"/>
      <c r="J69" s="292">
        <v>4</v>
      </c>
      <c r="K69" s="293">
        <f t="shared" si="17"/>
        <v>3200.4255319148942</v>
      </c>
      <c r="L69" s="294">
        <f t="shared" si="18"/>
        <v>800.10638297872356</v>
      </c>
      <c r="M69" s="295">
        <v>0.35694444444444445</v>
      </c>
      <c r="N69" s="295">
        <v>0.38958333333333334</v>
      </c>
      <c r="O69" s="293">
        <v>25</v>
      </c>
      <c r="P69" s="480">
        <f t="shared" si="20"/>
        <v>46.999999999999993</v>
      </c>
      <c r="Q69" s="296"/>
      <c r="R69" s="296"/>
    </row>
    <row r="70" spans="1:18" ht="15.75" customHeight="1">
      <c r="A70" s="633"/>
      <c r="B70" s="397" t="s">
        <v>126</v>
      </c>
      <c r="C70" s="6" t="s">
        <v>31</v>
      </c>
      <c r="D70" s="323" t="s">
        <v>111</v>
      </c>
      <c r="E70" s="311"/>
      <c r="F70" s="398">
        <v>14.285714285714283</v>
      </c>
      <c r="G70" s="297">
        <v>3773</v>
      </c>
      <c r="H70" s="291">
        <f t="shared" si="19"/>
        <v>53899.999999999993</v>
      </c>
      <c r="I70" s="477"/>
      <c r="J70" s="292">
        <v>3</v>
      </c>
      <c r="K70" s="293">
        <f t="shared" si="17"/>
        <v>3188.4507042253526</v>
      </c>
      <c r="L70" s="294">
        <f t="shared" si="18"/>
        <v>1062.8169014084508</v>
      </c>
      <c r="M70" s="295">
        <v>0.40347222222222223</v>
      </c>
      <c r="N70" s="295">
        <v>0.45277777777777778</v>
      </c>
      <c r="O70" s="293">
        <v>20</v>
      </c>
      <c r="P70" s="480">
        <f t="shared" si="20"/>
        <v>70.999999999999986</v>
      </c>
      <c r="Q70" s="296"/>
      <c r="R70" s="296"/>
    </row>
    <row r="71" spans="1:18" ht="15.6" customHeight="1">
      <c r="A71" s="633"/>
      <c r="B71" s="397">
        <v>0</v>
      </c>
      <c r="C71" s="403"/>
      <c r="D71" s="310"/>
      <c r="E71" s="311"/>
      <c r="F71" s="398" t="s">
        <v>128</v>
      </c>
      <c r="G71" s="324"/>
      <c r="H71" s="291">
        <f t="shared" si="19"/>
        <v>0</v>
      </c>
      <c r="I71" s="477"/>
      <c r="J71" s="292"/>
      <c r="K71" s="293"/>
      <c r="L71" s="294"/>
      <c r="M71" s="295"/>
      <c r="N71" s="295"/>
      <c r="O71" s="293"/>
      <c r="P71" s="480"/>
      <c r="Q71" s="296"/>
      <c r="R71" s="296"/>
    </row>
    <row r="72" spans="1:18" ht="15.6" customHeight="1">
      <c r="A72" s="633"/>
      <c r="B72" s="397">
        <v>0</v>
      </c>
      <c r="C72" s="476"/>
      <c r="D72" s="323"/>
      <c r="E72" s="311"/>
      <c r="F72" s="398" t="s">
        <v>128</v>
      </c>
      <c r="G72" s="297"/>
      <c r="H72" s="291">
        <f t="shared" si="19"/>
        <v>0</v>
      </c>
      <c r="I72" s="477"/>
      <c r="J72" s="292"/>
      <c r="K72" s="293"/>
      <c r="L72" s="294"/>
      <c r="M72" s="295"/>
      <c r="N72" s="295"/>
      <c r="O72" s="293"/>
      <c r="P72" s="480"/>
      <c r="Q72" s="296"/>
      <c r="R72" s="296"/>
    </row>
    <row r="73" spans="1:18" ht="15.6" customHeight="1">
      <c r="A73" s="633"/>
      <c r="B73" s="397">
        <v>0</v>
      </c>
      <c r="C73" s="476"/>
      <c r="D73" s="323"/>
      <c r="E73" s="311"/>
      <c r="F73" s="398" t="s">
        <v>128</v>
      </c>
      <c r="G73" s="297"/>
      <c r="H73" s="291">
        <f t="shared" si="19"/>
        <v>0</v>
      </c>
      <c r="I73" s="477"/>
      <c r="J73" s="292"/>
      <c r="K73" s="293"/>
      <c r="L73" s="294"/>
      <c r="M73" s="295"/>
      <c r="N73" s="295"/>
      <c r="O73" s="293"/>
      <c r="P73" s="480"/>
      <c r="Q73" s="296"/>
      <c r="R73" s="296"/>
    </row>
    <row r="74" spans="1:18" ht="15.6" customHeight="1">
      <c r="A74" s="633"/>
      <c r="B74" s="397">
        <v>0</v>
      </c>
      <c r="C74" s="476"/>
      <c r="D74" s="323"/>
      <c r="E74" s="311"/>
      <c r="F74" s="398" t="s">
        <v>128</v>
      </c>
      <c r="G74" s="297"/>
      <c r="H74" s="291">
        <f t="shared" si="19"/>
        <v>0</v>
      </c>
      <c r="I74" s="477"/>
      <c r="J74" s="292"/>
      <c r="K74" s="293"/>
      <c r="L74" s="294"/>
      <c r="M74" s="295"/>
      <c r="N74" s="295"/>
      <c r="O74" s="293"/>
      <c r="P74" s="480"/>
      <c r="Q74" s="296"/>
      <c r="R74" s="296"/>
    </row>
    <row r="75" spans="1:18" ht="15.75" customHeight="1">
      <c r="A75" s="634"/>
      <c r="B75" s="397">
        <v>0</v>
      </c>
      <c r="C75" s="6" t="s">
        <v>473</v>
      </c>
      <c r="D75" s="628" t="s">
        <v>455</v>
      </c>
      <c r="E75" s="628"/>
      <c r="F75" s="298"/>
      <c r="G75" s="303"/>
      <c r="H75" s="319"/>
      <c r="I75" s="320"/>
      <c r="J75" s="302">
        <f>AVERAGE(J65:J74)</f>
        <v>3.3333333333333335</v>
      </c>
      <c r="K75" s="302">
        <f>AVERAGE(K65:K74)</f>
        <v>3118.8504980186135</v>
      </c>
      <c r="L75" s="303">
        <f>AVERAGE(L65:L74)</f>
        <v>954.484659881124</v>
      </c>
      <c r="M75" s="295"/>
      <c r="N75" s="295"/>
      <c r="O75" s="289"/>
      <c r="P75" s="289"/>
      <c r="Q75" s="289"/>
      <c r="R75" s="289"/>
    </row>
    <row r="76" spans="1:18" ht="16.2" customHeight="1">
      <c r="A76" s="618" t="s">
        <v>112</v>
      </c>
      <c r="B76" s="397">
        <v>0</v>
      </c>
      <c r="C76" s="290"/>
      <c r="D76" s="619"/>
      <c r="E76" s="620"/>
      <c r="F76" s="398" t="s">
        <v>128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480"/>
      <c r="Q76" s="296"/>
      <c r="R76" s="296"/>
    </row>
    <row r="77" spans="1:18">
      <c r="A77" s="618"/>
      <c r="B77" s="397">
        <v>0</v>
      </c>
      <c r="C77" s="290"/>
      <c r="D77" s="619"/>
      <c r="E77" s="620"/>
      <c r="F77" s="398" t="s">
        <v>128</v>
      </c>
      <c r="G77" s="475"/>
      <c r="H77" s="291">
        <f t="shared" si="13"/>
        <v>0</v>
      </c>
      <c r="I77" s="477"/>
      <c r="J77" s="292"/>
      <c r="K77" s="293"/>
      <c r="L77" s="294"/>
      <c r="M77" s="295"/>
      <c r="N77" s="295"/>
      <c r="O77" s="289"/>
      <c r="P77" s="480"/>
      <c r="Q77" s="289"/>
      <c r="R77" s="289"/>
    </row>
    <row r="78" spans="1:18">
      <c r="A78" s="618"/>
      <c r="B78" s="397">
        <v>0</v>
      </c>
      <c r="C78" s="290"/>
      <c r="D78" s="481"/>
      <c r="E78" s="481"/>
      <c r="F78" s="398" t="s">
        <v>128</v>
      </c>
      <c r="G78" s="312"/>
      <c r="H78" s="291">
        <f t="shared" si="13"/>
        <v>0</v>
      </c>
      <c r="I78" s="477"/>
      <c r="J78" s="292"/>
      <c r="K78" s="293"/>
      <c r="L78" s="294"/>
      <c r="M78" s="295"/>
      <c r="N78" s="295"/>
      <c r="O78" s="289"/>
      <c r="P78" s="480"/>
      <c r="Q78" s="289"/>
      <c r="R78" s="289"/>
    </row>
    <row r="79" spans="1:18">
      <c r="A79" s="618"/>
      <c r="B79" s="397">
        <v>0</v>
      </c>
      <c r="C79" s="290"/>
      <c r="D79" s="481"/>
      <c r="E79" s="481"/>
      <c r="F79" s="398" t="s">
        <v>128</v>
      </c>
      <c r="G79" s="312"/>
      <c r="H79" s="291">
        <f t="shared" si="13"/>
        <v>0</v>
      </c>
      <c r="I79" s="477"/>
      <c r="J79" s="292"/>
      <c r="K79" s="293"/>
      <c r="L79" s="294"/>
      <c r="M79" s="295"/>
      <c r="N79" s="295"/>
      <c r="O79" s="289"/>
      <c r="P79" s="480"/>
      <c r="Q79" s="289"/>
      <c r="R79" s="289"/>
    </row>
    <row r="80" spans="1:18">
      <c r="A80" s="618"/>
      <c r="B80" s="397">
        <v>0</v>
      </c>
      <c r="C80" s="290"/>
      <c r="D80" s="481"/>
      <c r="E80" s="481"/>
      <c r="F80" s="398" t="s">
        <v>128</v>
      </c>
      <c r="G80" s="312"/>
      <c r="H80" s="291">
        <f t="shared" si="13"/>
        <v>0</v>
      </c>
      <c r="I80" s="477"/>
      <c r="J80" s="292"/>
      <c r="K80" s="293"/>
      <c r="L80" s="294"/>
      <c r="M80" s="295"/>
      <c r="N80" s="295"/>
      <c r="O80" s="289"/>
      <c r="P80" s="480"/>
      <c r="Q80" s="289"/>
      <c r="R80" s="289"/>
    </row>
    <row r="81" spans="1:18" ht="15.75" customHeight="1">
      <c r="A81" s="618"/>
      <c r="B81" s="397">
        <v>0</v>
      </c>
      <c r="C81" s="6" t="s">
        <v>31</v>
      </c>
      <c r="D81" s="614" t="s">
        <v>455</v>
      </c>
      <c r="E81" s="614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621" t="s">
        <v>474</v>
      </c>
      <c r="B82" s="397" t="s">
        <v>126</v>
      </c>
      <c r="C82" s="308"/>
      <c r="D82" s="309" t="s">
        <v>475</v>
      </c>
      <c r="E82" s="328"/>
      <c r="F82" s="398">
        <v>17.22</v>
      </c>
      <c r="G82" s="312">
        <v>644</v>
      </c>
      <c r="H82" s="329">
        <f t="shared" ref="H82:H90" si="21">F82*G82</f>
        <v>11089.679999999998</v>
      </c>
      <c r="I82" s="477"/>
      <c r="J82" s="292">
        <v>3</v>
      </c>
      <c r="K82" s="293">
        <f t="shared" ref="K82" si="22">G82/P82*60</f>
        <v>2576.0000000000091</v>
      </c>
      <c r="L82" s="294">
        <f t="shared" ref="L82" si="23">K82/J82</f>
        <v>858.6666666666697</v>
      </c>
      <c r="M82" s="295">
        <v>0.72222222222222221</v>
      </c>
      <c r="N82" s="295">
        <v>0.73263888888888884</v>
      </c>
      <c r="O82" s="293">
        <v>20</v>
      </c>
      <c r="P82" s="480">
        <f t="shared" ref="P82" si="24">(N82-M82)*24*60</f>
        <v>14.999999999999947</v>
      </c>
      <c r="Q82" s="296"/>
      <c r="R82" s="296"/>
    </row>
    <row r="83" spans="1:18">
      <c r="A83" s="622"/>
      <c r="B83" s="397">
        <v>0</v>
      </c>
      <c r="C83" s="308"/>
      <c r="D83" s="323"/>
      <c r="E83" s="328"/>
      <c r="F83" s="398" t="s">
        <v>128</v>
      </c>
      <c r="G83" s="312"/>
      <c r="H83" s="329">
        <f t="shared" si="21"/>
        <v>0</v>
      </c>
      <c r="I83" s="477"/>
      <c r="J83" s="292"/>
      <c r="K83" s="293"/>
      <c r="L83" s="294"/>
      <c r="M83" s="295"/>
      <c r="N83" s="295"/>
      <c r="O83" s="293"/>
      <c r="P83" s="480"/>
      <c r="Q83" s="296"/>
      <c r="R83" s="296"/>
    </row>
    <row r="84" spans="1:18">
      <c r="A84" s="622"/>
      <c r="B84" s="397">
        <v>0</v>
      </c>
      <c r="C84" s="308"/>
      <c r="D84" s="309"/>
      <c r="E84" s="328"/>
      <c r="F84" s="398" t="s">
        <v>128</v>
      </c>
      <c r="G84" s="312"/>
      <c r="H84" s="329">
        <f t="shared" si="21"/>
        <v>0</v>
      </c>
      <c r="I84" s="477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622"/>
      <c r="B85" s="397">
        <v>0</v>
      </c>
      <c r="C85" s="308"/>
      <c r="D85" s="309"/>
      <c r="E85" s="328"/>
      <c r="F85" s="398" t="s">
        <v>128</v>
      </c>
      <c r="G85" s="312"/>
      <c r="H85" s="330">
        <f t="shared" si="21"/>
        <v>0</v>
      </c>
      <c r="I85" s="477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622"/>
      <c r="B86" s="397">
        <v>0</v>
      </c>
      <c r="C86" s="308"/>
      <c r="D86" s="309"/>
      <c r="E86" s="328"/>
      <c r="F86" s="398" t="s">
        <v>128</v>
      </c>
      <c r="G86" s="475"/>
      <c r="H86" s="330">
        <f t="shared" si="21"/>
        <v>0</v>
      </c>
      <c r="I86" s="477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622"/>
      <c r="B87" s="397"/>
      <c r="C87" s="308"/>
      <c r="D87" s="309"/>
      <c r="E87" s="328"/>
      <c r="F87" s="398" t="s">
        <v>128</v>
      </c>
      <c r="G87" s="475"/>
      <c r="H87" s="330">
        <f t="shared" si="21"/>
        <v>0</v>
      </c>
      <c r="I87" s="477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622"/>
      <c r="B88" s="397">
        <v>0</v>
      </c>
      <c r="C88" s="308"/>
      <c r="D88" s="309"/>
      <c r="E88" s="328"/>
      <c r="F88" s="398" t="s">
        <v>128</v>
      </c>
      <c r="G88" s="475"/>
      <c r="H88" s="330">
        <f t="shared" si="21"/>
        <v>0</v>
      </c>
      <c r="I88" s="477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622"/>
      <c r="B89" s="397">
        <v>0</v>
      </c>
      <c r="C89" s="308"/>
      <c r="D89" s="309"/>
      <c r="E89" s="328"/>
      <c r="F89" s="398" t="s">
        <v>128</v>
      </c>
      <c r="G89" s="475"/>
      <c r="H89" s="330">
        <f t="shared" si="21"/>
        <v>0</v>
      </c>
      <c r="I89" s="477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622"/>
      <c r="B90" s="397">
        <v>0</v>
      </c>
      <c r="C90" s="308"/>
      <c r="D90" s="309"/>
      <c r="E90" s="328"/>
      <c r="F90" s="398" t="s">
        <v>128</v>
      </c>
      <c r="G90" s="475"/>
      <c r="H90" s="330">
        <f t="shared" si="21"/>
        <v>0</v>
      </c>
      <c r="I90" s="477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399999999999999" customHeight="1">
      <c r="A91" s="622"/>
      <c r="B91" s="397">
        <v>0</v>
      </c>
      <c r="C91" s="6" t="s">
        <v>459</v>
      </c>
      <c r="D91" s="623" t="s">
        <v>455</v>
      </c>
      <c r="E91" s="623"/>
      <c r="F91" s="298"/>
      <c r="G91" s="332"/>
      <c r="H91" s="333"/>
      <c r="I91" s="301"/>
      <c r="J91" s="302">
        <f>AVERAGE(J82:J90)</f>
        <v>3</v>
      </c>
      <c r="K91" s="302">
        <f>AVERAGE(K82:K90)</f>
        <v>2576.0000000000091</v>
      </c>
      <c r="L91" s="303">
        <f>AVERAGE(L82:L90)</f>
        <v>858.6666666666697</v>
      </c>
      <c r="M91" s="295"/>
      <c r="N91" s="295"/>
      <c r="O91" s="293"/>
      <c r="P91" s="293"/>
      <c r="Q91" s="294"/>
      <c r="R91" s="294"/>
    </row>
    <row r="92" spans="1:18" ht="16.2" customHeight="1">
      <c r="A92" s="608" t="s">
        <v>476</v>
      </c>
      <c r="B92" s="397" t="s">
        <v>126</v>
      </c>
      <c r="C92" s="290"/>
      <c r="D92" s="334" t="s">
        <v>477</v>
      </c>
      <c r="E92" s="328"/>
      <c r="F92" s="398">
        <v>24.54</v>
      </c>
      <c r="G92" s="475">
        <v>1331</v>
      </c>
      <c r="H92" s="291">
        <f t="shared" ref="H92:H99" si="25">F92*G92</f>
        <v>32662.739999999998</v>
      </c>
      <c r="I92" s="477"/>
      <c r="J92" s="292">
        <v>3</v>
      </c>
      <c r="K92" s="293">
        <f>G92/P92*60</f>
        <v>2281.7142857142835</v>
      </c>
      <c r="L92" s="294">
        <f t="shared" ref="L92:L94" si="26">K92/J92</f>
        <v>760.57142857142787</v>
      </c>
      <c r="M92" s="295">
        <v>0.72222222222222221</v>
      </c>
      <c r="N92" s="295">
        <v>0.74652777777777779</v>
      </c>
      <c r="O92" s="289">
        <v>20</v>
      </c>
      <c r="P92" s="480">
        <f>(N92-M92)*24*60</f>
        <v>35.000000000000036</v>
      </c>
      <c r="Q92" s="296"/>
      <c r="R92" s="296"/>
    </row>
    <row r="93" spans="1:18">
      <c r="A93" s="609"/>
      <c r="B93" s="397" t="s">
        <v>126</v>
      </c>
      <c r="C93" s="290"/>
      <c r="D93" s="309" t="s">
        <v>478</v>
      </c>
      <c r="E93" s="325"/>
      <c r="F93" s="398">
        <v>23.27</v>
      </c>
      <c r="G93" s="297">
        <v>766</v>
      </c>
      <c r="H93" s="291">
        <f t="shared" si="25"/>
        <v>17824.82</v>
      </c>
      <c r="I93" s="477"/>
      <c r="J93" s="292">
        <v>4</v>
      </c>
      <c r="K93" s="293">
        <f t="shared" ref="K93:K94" si="27">G93/P93*60</f>
        <v>2298.0000000000082</v>
      </c>
      <c r="L93" s="294">
        <f t="shared" si="26"/>
        <v>574.50000000000205</v>
      </c>
      <c r="M93" s="295">
        <v>0.76041666666666663</v>
      </c>
      <c r="N93" s="295">
        <v>0.77430555555555547</v>
      </c>
      <c r="O93" s="289">
        <v>20</v>
      </c>
      <c r="P93" s="480">
        <f>(N93-M93)*24*60</f>
        <v>19.999999999999929</v>
      </c>
      <c r="Q93" s="296"/>
      <c r="R93" s="296"/>
    </row>
    <row r="94" spans="1:18">
      <c r="A94" s="609"/>
      <c r="B94" s="397" t="s">
        <v>126</v>
      </c>
      <c r="C94" s="290"/>
      <c r="D94" s="309" t="s">
        <v>479</v>
      </c>
      <c r="E94" s="325"/>
      <c r="F94" s="398">
        <v>24.33</v>
      </c>
      <c r="G94" s="297">
        <v>2029</v>
      </c>
      <c r="H94" s="291">
        <f t="shared" si="25"/>
        <v>49365.57</v>
      </c>
      <c r="I94" s="477"/>
      <c r="J94" s="292">
        <v>4</v>
      </c>
      <c r="K94" s="293">
        <f t="shared" si="27"/>
        <v>2213.4545454545537</v>
      </c>
      <c r="L94" s="294">
        <f t="shared" si="26"/>
        <v>553.36363636363842</v>
      </c>
      <c r="M94" s="295">
        <v>0.78819444444444453</v>
      </c>
      <c r="N94" s="295">
        <v>0.82638888888888884</v>
      </c>
      <c r="O94" s="289">
        <v>20</v>
      </c>
      <c r="P94" s="480">
        <f>(N94-M94)*24*60</f>
        <v>54.999999999999801</v>
      </c>
      <c r="Q94" s="296"/>
      <c r="R94" s="296"/>
    </row>
    <row r="95" spans="1:18">
      <c r="A95" s="610"/>
      <c r="B95" s="397">
        <v>0</v>
      </c>
      <c r="C95" s="290"/>
      <c r="D95" s="309"/>
      <c r="E95" s="325"/>
      <c r="F95" s="398" t="s">
        <v>128</v>
      </c>
      <c r="G95" s="297"/>
      <c r="H95" s="291">
        <f t="shared" si="25"/>
        <v>0</v>
      </c>
      <c r="I95" s="477"/>
      <c r="J95" s="292"/>
      <c r="K95" s="293"/>
      <c r="L95" s="294"/>
      <c r="M95" s="295"/>
      <c r="N95" s="295"/>
      <c r="O95" s="289"/>
      <c r="P95" s="480"/>
      <c r="Q95" s="296"/>
      <c r="R95" s="296"/>
    </row>
    <row r="96" spans="1:18">
      <c r="A96" s="610"/>
      <c r="B96" s="397">
        <v>0</v>
      </c>
      <c r="C96" s="290"/>
      <c r="D96" s="309"/>
      <c r="E96" s="325"/>
      <c r="F96" s="398" t="s">
        <v>128</v>
      </c>
      <c r="G96" s="297"/>
      <c r="H96" s="291">
        <f t="shared" si="25"/>
        <v>0</v>
      </c>
      <c r="I96" s="477"/>
      <c r="J96" s="292"/>
      <c r="K96" s="293"/>
      <c r="L96" s="294"/>
      <c r="M96" s="295"/>
      <c r="N96" s="295"/>
      <c r="O96" s="289"/>
      <c r="P96" s="480"/>
      <c r="Q96" s="296"/>
      <c r="R96" s="296"/>
    </row>
    <row r="97" spans="1:18">
      <c r="A97" s="610"/>
      <c r="B97" s="397">
        <v>0</v>
      </c>
      <c r="C97" s="290"/>
      <c r="D97" s="309"/>
      <c r="E97" s="325"/>
      <c r="F97" s="398" t="s">
        <v>128</v>
      </c>
      <c r="G97" s="297"/>
      <c r="H97" s="291">
        <f t="shared" si="25"/>
        <v>0</v>
      </c>
      <c r="I97" s="477"/>
      <c r="J97" s="292"/>
      <c r="K97" s="293"/>
      <c r="L97" s="294"/>
      <c r="M97" s="295"/>
      <c r="N97" s="295"/>
      <c r="O97" s="289"/>
      <c r="P97" s="480"/>
      <c r="Q97" s="296"/>
      <c r="R97" s="296"/>
    </row>
    <row r="98" spans="1:18">
      <c r="A98" s="610"/>
      <c r="B98" s="397">
        <v>0</v>
      </c>
      <c r="C98" s="290"/>
      <c r="D98" s="309"/>
      <c r="E98" s="325"/>
      <c r="F98" s="398" t="s">
        <v>128</v>
      </c>
      <c r="G98" s="297"/>
      <c r="H98" s="291">
        <f t="shared" si="25"/>
        <v>0</v>
      </c>
      <c r="I98" s="477"/>
      <c r="J98" s="292"/>
      <c r="K98" s="293"/>
      <c r="L98" s="294"/>
      <c r="M98" s="295"/>
      <c r="N98" s="295"/>
      <c r="O98" s="289"/>
      <c r="P98" s="480"/>
      <c r="Q98" s="296"/>
      <c r="R98" s="296"/>
    </row>
    <row r="99" spans="1:18">
      <c r="A99" s="610"/>
      <c r="B99" s="397">
        <v>0</v>
      </c>
      <c r="C99" s="290"/>
      <c r="D99" s="309"/>
      <c r="E99" s="325"/>
      <c r="F99" s="398" t="s">
        <v>128</v>
      </c>
      <c r="G99" s="297"/>
      <c r="H99" s="291">
        <f t="shared" si="25"/>
        <v>0</v>
      </c>
      <c r="I99" s="477"/>
      <c r="J99" s="292"/>
      <c r="K99" s="293"/>
      <c r="L99" s="294"/>
      <c r="M99" s="295"/>
      <c r="N99" s="295"/>
      <c r="O99" s="289"/>
      <c r="P99" s="480"/>
      <c r="Q99" s="296"/>
      <c r="R99" s="296"/>
    </row>
    <row r="100" spans="1:18" ht="15.75" customHeight="1">
      <c r="A100" s="610"/>
      <c r="B100" s="397">
        <v>0</v>
      </c>
      <c r="C100" s="6" t="s">
        <v>480</v>
      </c>
      <c r="D100" s="611" t="s">
        <v>455</v>
      </c>
      <c r="E100" s="612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2264.389610389615</v>
      </c>
      <c r="L100" s="303">
        <f>AVERAGE(L92:L99)</f>
        <v>629.47835497835604</v>
      </c>
      <c r="M100" s="295"/>
      <c r="N100" s="295"/>
      <c r="O100" s="293"/>
      <c r="P100" s="293"/>
      <c r="Q100" s="294"/>
      <c r="R100" s="294"/>
    </row>
    <row r="101" spans="1:18" ht="16.2" customHeight="1">
      <c r="A101" s="613" t="s">
        <v>481</v>
      </c>
      <c r="B101" s="397" t="s">
        <v>126</v>
      </c>
      <c r="C101" s="6"/>
      <c r="D101" s="325" t="s">
        <v>117</v>
      </c>
      <c r="E101" s="336"/>
      <c r="F101" s="398">
        <v>25.03</v>
      </c>
      <c r="G101" s="475">
        <v>889</v>
      </c>
      <c r="H101" s="291">
        <f t="shared" ref="H101:H110" si="28">F101*G101</f>
        <v>22251.670000000002</v>
      </c>
      <c r="I101" s="477"/>
      <c r="J101" s="292">
        <v>4</v>
      </c>
      <c r="K101" s="293">
        <f>G101/P101*60</f>
        <v>3556.0000000000127</v>
      </c>
      <c r="L101" s="294">
        <f t="shared" ref="L101:L105" si="29">K101/J101</f>
        <v>889.00000000000318</v>
      </c>
      <c r="M101" s="295">
        <v>0.72222222222222221</v>
      </c>
      <c r="N101" s="295">
        <v>0.73263888888888884</v>
      </c>
      <c r="O101" s="289">
        <v>20</v>
      </c>
      <c r="P101" s="293">
        <f t="shared" ref="P101:P103" si="30">(N101-M101)*24*60</f>
        <v>14.999999999999947</v>
      </c>
      <c r="Q101" s="294"/>
      <c r="R101" s="296"/>
    </row>
    <row r="102" spans="1:18" ht="15.6" customHeight="1">
      <c r="A102" s="613"/>
      <c r="B102" s="397" t="s">
        <v>126</v>
      </c>
      <c r="C102" s="6"/>
      <c r="D102" s="323" t="s">
        <v>119</v>
      </c>
      <c r="E102" s="336"/>
      <c r="F102" s="398">
        <v>28.57</v>
      </c>
      <c r="G102" s="475">
        <v>2925</v>
      </c>
      <c r="H102" s="291">
        <f t="shared" si="28"/>
        <v>83567.25</v>
      </c>
      <c r="I102" s="477"/>
      <c r="J102" s="292">
        <v>3</v>
      </c>
      <c r="K102" s="293">
        <f t="shared" ref="K102:K105" si="31">G102/P102*60</f>
        <v>2924.999999999995</v>
      </c>
      <c r="L102" s="294">
        <f t="shared" si="29"/>
        <v>974.99999999999829</v>
      </c>
      <c r="M102" s="295">
        <v>0.74652777777777779</v>
      </c>
      <c r="N102" s="295">
        <v>0.78819444444444453</v>
      </c>
      <c r="O102" s="289">
        <v>20</v>
      </c>
      <c r="P102" s="293">
        <f t="shared" si="30"/>
        <v>60.000000000000107</v>
      </c>
      <c r="Q102" s="296">
        <v>0.78819444444444453</v>
      </c>
      <c r="R102" s="296">
        <v>0.82986111111111116</v>
      </c>
    </row>
    <row r="103" spans="1:18">
      <c r="A103" s="613"/>
      <c r="B103" s="397" t="s">
        <v>126</v>
      </c>
      <c r="C103" s="6"/>
      <c r="D103" s="309" t="s">
        <v>118</v>
      </c>
      <c r="E103" s="309"/>
      <c r="F103" s="398">
        <v>24.82</v>
      </c>
      <c r="G103" s="475">
        <v>1494</v>
      </c>
      <c r="H103" s="291">
        <f t="shared" si="28"/>
        <v>37081.08</v>
      </c>
      <c r="I103" s="477"/>
      <c r="J103" s="292">
        <v>4</v>
      </c>
      <c r="K103" s="293">
        <f t="shared" si="31"/>
        <v>2987.9999999999945</v>
      </c>
      <c r="L103" s="294">
        <f t="shared" si="29"/>
        <v>746.99999999999864</v>
      </c>
      <c r="M103" s="295">
        <v>0.84375</v>
      </c>
      <c r="N103" s="295">
        <v>0.86458333333333337</v>
      </c>
      <c r="O103" s="289">
        <v>20</v>
      </c>
      <c r="P103" s="293">
        <f t="shared" si="30"/>
        <v>30.000000000000053</v>
      </c>
      <c r="Q103" s="296"/>
      <c r="R103" s="296"/>
    </row>
    <row r="104" spans="1:18">
      <c r="A104" s="613"/>
      <c r="B104" s="397" t="s">
        <v>126</v>
      </c>
      <c r="C104" s="6"/>
      <c r="D104" s="309" t="s">
        <v>482</v>
      </c>
      <c r="E104" s="325"/>
      <c r="F104" s="398">
        <v>30</v>
      </c>
      <c r="G104" s="475">
        <v>1629</v>
      </c>
      <c r="H104" s="291">
        <f t="shared" si="28"/>
        <v>48870</v>
      </c>
      <c r="I104" s="477"/>
      <c r="J104" s="292">
        <v>3</v>
      </c>
      <c r="K104" s="293">
        <f t="shared" si="31"/>
        <v>2792.5714285714257</v>
      </c>
      <c r="L104" s="294">
        <f t="shared" si="29"/>
        <v>930.85714285714187</v>
      </c>
      <c r="M104" s="295">
        <v>0.87847222222222221</v>
      </c>
      <c r="N104" s="295">
        <v>0.90277777777777779</v>
      </c>
      <c r="O104" s="289">
        <v>20</v>
      </c>
      <c r="P104" s="293">
        <f>(N104-M104)*24*60</f>
        <v>35.000000000000036</v>
      </c>
      <c r="Q104" s="296"/>
      <c r="R104" s="296"/>
    </row>
    <row r="105" spans="1:18">
      <c r="A105" s="613"/>
      <c r="B105" s="397" t="s">
        <v>126</v>
      </c>
      <c r="C105" s="6"/>
      <c r="D105" s="309" t="s">
        <v>120</v>
      </c>
      <c r="E105" s="323"/>
      <c r="F105" s="398">
        <v>14.285714285714283</v>
      </c>
      <c r="G105" s="475">
        <v>8457</v>
      </c>
      <c r="H105" s="291">
        <f t="shared" si="28"/>
        <v>120814.2857142857</v>
      </c>
      <c r="I105" s="477"/>
      <c r="J105" s="292">
        <v>3</v>
      </c>
      <c r="K105" s="293">
        <f t="shared" si="31"/>
        <v>2984.8235294322049</v>
      </c>
      <c r="L105" s="294">
        <f t="shared" si="29"/>
        <v>994.94117647740165</v>
      </c>
      <c r="M105" s="295">
        <v>46207.916666666664</v>
      </c>
      <c r="N105" s="295">
        <v>46208.034722222219</v>
      </c>
      <c r="O105" s="289">
        <v>20</v>
      </c>
      <c r="P105" s="293">
        <f>(N105-M105)*24*60</f>
        <v>169.99999999883585</v>
      </c>
      <c r="Q105" s="294"/>
      <c r="R105" s="296"/>
    </row>
    <row r="106" spans="1:18">
      <c r="A106" s="613"/>
      <c r="B106" s="397">
        <v>0</v>
      </c>
      <c r="C106" s="6"/>
      <c r="D106" s="325"/>
      <c r="E106" s="336"/>
      <c r="F106" s="398" t="s">
        <v>128</v>
      </c>
      <c r="G106" s="297"/>
      <c r="H106" s="291">
        <f t="shared" si="28"/>
        <v>0</v>
      </c>
      <c r="I106" s="477"/>
      <c r="J106" s="292"/>
      <c r="K106" s="293"/>
      <c r="L106" s="294"/>
      <c r="M106" s="295"/>
      <c r="N106" s="295"/>
      <c r="O106" s="293"/>
      <c r="P106" s="293"/>
      <c r="Q106" s="294"/>
      <c r="R106" s="296"/>
    </row>
    <row r="107" spans="1:18">
      <c r="A107" s="613"/>
      <c r="B107" s="397">
        <v>0</v>
      </c>
      <c r="C107" s="6"/>
      <c r="D107" s="309"/>
      <c r="E107" s="323"/>
      <c r="F107" s="398" t="s">
        <v>128</v>
      </c>
      <c r="G107" s="475"/>
      <c r="H107" s="291">
        <f t="shared" si="28"/>
        <v>0</v>
      </c>
      <c r="I107" s="477"/>
      <c r="J107" s="292"/>
      <c r="K107" s="293"/>
      <c r="L107" s="294"/>
      <c r="M107" s="295"/>
      <c r="N107" s="295"/>
      <c r="O107" s="293"/>
      <c r="P107" s="293"/>
      <c r="Q107" s="294"/>
      <c r="R107" s="296"/>
    </row>
    <row r="108" spans="1:18">
      <c r="A108" s="613"/>
      <c r="B108" s="397">
        <v>0</v>
      </c>
      <c r="C108" s="6"/>
      <c r="D108" s="309"/>
      <c r="E108" s="323"/>
      <c r="F108" s="398" t="s">
        <v>128</v>
      </c>
      <c r="G108" s="475"/>
      <c r="H108" s="291">
        <f t="shared" si="28"/>
        <v>0</v>
      </c>
      <c r="I108" s="477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613"/>
      <c r="B109" s="397">
        <v>0</v>
      </c>
      <c r="C109" s="290"/>
      <c r="D109" s="323"/>
      <c r="E109" s="323"/>
      <c r="F109" s="398" t="s">
        <v>128</v>
      </c>
      <c r="G109" s="475"/>
      <c r="H109" s="291">
        <f t="shared" si="28"/>
        <v>0</v>
      </c>
      <c r="I109" s="477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613"/>
      <c r="B110" s="397">
        <v>0</v>
      </c>
      <c r="C110" s="290"/>
      <c r="D110" s="309"/>
      <c r="E110" s="323"/>
      <c r="F110" s="398" t="s">
        <v>128</v>
      </c>
      <c r="G110" s="475"/>
      <c r="H110" s="291">
        <f t="shared" si="28"/>
        <v>0</v>
      </c>
      <c r="I110" s="477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613"/>
      <c r="B111" s="397">
        <v>0</v>
      </c>
      <c r="C111" s="6" t="s">
        <v>468</v>
      </c>
      <c r="D111" s="614" t="s">
        <v>455</v>
      </c>
      <c r="E111" s="615"/>
      <c r="F111" s="337"/>
      <c r="G111" s="338"/>
      <c r="H111" s="300"/>
      <c r="I111" s="301"/>
      <c r="J111" s="302">
        <f>AVERAGE(J101:J110)</f>
        <v>3.4</v>
      </c>
      <c r="K111" s="302">
        <f>AVERAGE(K101:K110)</f>
        <v>3049.2789916007264</v>
      </c>
      <c r="L111" s="303">
        <f>AVERAGE(L101:L110)</f>
        <v>907.3596638669087</v>
      </c>
      <c r="M111" s="295"/>
      <c r="N111" s="295"/>
      <c r="O111" s="293"/>
      <c r="P111" s="293"/>
      <c r="Q111" s="294"/>
      <c r="R111" s="289"/>
    </row>
    <row r="112" spans="1:18" ht="16.2" customHeight="1">
      <c r="A112" s="616" t="s">
        <v>483</v>
      </c>
      <c r="B112" s="397" t="s">
        <v>126</v>
      </c>
      <c r="C112" s="6"/>
      <c r="D112" s="323" t="s">
        <v>114</v>
      </c>
      <c r="E112" s="339"/>
      <c r="F112" s="398">
        <v>16.7</v>
      </c>
      <c r="G112" s="475">
        <v>1167</v>
      </c>
      <c r="H112" s="329">
        <f t="shared" si="13"/>
        <v>19488.899999999998</v>
      </c>
      <c r="I112" s="477"/>
      <c r="J112" s="292">
        <v>3</v>
      </c>
      <c r="K112" s="293">
        <f t="shared" ref="K112:K118" si="32">G112/P112*60</f>
        <v>2800.799999999992</v>
      </c>
      <c r="L112" s="294">
        <f t="shared" ref="L112:L118" si="33">K112/J112</f>
        <v>933.59999999999729</v>
      </c>
      <c r="M112" s="295">
        <v>0.72222222222222221</v>
      </c>
      <c r="N112" s="295">
        <v>0.73958333333333337</v>
      </c>
      <c r="O112" s="289">
        <v>20</v>
      </c>
      <c r="P112" s="480">
        <f t="shared" ref="P112:P118" si="34">(N112-M112)*24*60</f>
        <v>25.000000000000071</v>
      </c>
      <c r="Q112" s="289"/>
      <c r="R112" s="289"/>
    </row>
    <row r="113" spans="1:18">
      <c r="A113" s="616"/>
      <c r="B113" s="397" t="s">
        <v>126</v>
      </c>
      <c r="C113" s="308"/>
      <c r="D113" s="481" t="s">
        <v>121</v>
      </c>
      <c r="E113" s="481"/>
      <c r="F113" s="398">
        <v>18.18</v>
      </c>
      <c r="G113" s="475">
        <v>1012</v>
      </c>
      <c r="H113" s="329">
        <f t="shared" si="13"/>
        <v>18398.16</v>
      </c>
      <c r="I113" s="477"/>
      <c r="J113" s="292">
        <v>4</v>
      </c>
      <c r="K113" s="293">
        <f t="shared" si="32"/>
        <v>3035.9999999999864</v>
      </c>
      <c r="L113" s="294">
        <f t="shared" si="33"/>
        <v>758.99999999999659</v>
      </c>
      <c r="M113" s="295">
        <v>0.75347222222222221</v>
      </c>
      <c r="N113" s="295">
        <v>0.76736111111111116</v>
      </c>
      <c r="O113" s="289">
        <v>20</v>
      </c>
      <c r="P113" s="480">
        <f t="shared" si="34"/>
        <v>20.000000000000089</v>
      </c>
      <c r="Q113" s="296"/>
      <c r="R113" s="296"/>
    </row>
    <row r="114" spans="1:18">
      <c r="A114" s="616"/>
      <c r="B114" s="397" t="s">
        <v>126</v>
      </c>
      <c r="C114" s="308"/>
      <c r="D114" s="481" t="s">
        <v>484</v>
      </c>
      <c r="E114" s="309"/>
      <c r="F114" s="398">
        <v>18.18</v>
      </c>
      <c r="G114" s="475">
        <v>1086</v>
      </c>
      <c r="H114" s="329">
        <f t="shared" si="13"/>
        <v>19743.48</v>
      </c>
      <c r="I114" s="477"/>
      <c r="J114" s="292">
        <v>3</v>
      </c>
      <c r="K114" s="293">
        <f t="shared" si="32"/>
        <v>3258.0000000000118</v>
      </c>
      <c r="L114" s="294">
        <f t="shared" si="33"/>
        <v>1086.0000000000039</v>
      </c>
      <c r="M114" s="295">
        <v>0.78125</v>
      </c>
      <c r="N114" s="295">
        <v>0.79513888888888884</v>
      </c>
      <c r="O114" s="289">
        <v>20</v>
      </c>
      <c r="P114" s="480">
        <f t="shared" si="34"/>
        <v>19.999999999999929</v>
      </c>
      <c r="Q114" s="296"/>
      <c r="R114" s="296"/>
    </row>
    <row r="115" spans="1:18">
      <c r="A115" s="616"/>
      <c r="B115" s="397" t="s">
        <v>126</v>
      </c>
      <c r="C115" s="308"/>
      <c r="D115" s="309" t="s">
        <v>113</v>
      </c>
      <c r="E115" s="325"/>
      <c r="F115" s="398">
        <v>16.66</v>
      </c>
      <c r="G115" s="475">
        <v>5588</v>
      </c>
      <c r="H115" s="329">
        <f t="shared" si="13"/>
        <v>93096.08</v>
      </c>
      <c r="I115" s="477"/>
      <c r="J115" s="292">
        <v>4</v>
      </c>
      <c r="K115" s="293">
        <f t="shared" si="32"/>
        <v>3048.0000000000018</v>
      </c>
      <c r="L115" s="294">
        <f t="shared" si="33"/>
        <v>762.00000000000045</v>
      </c>
      <c r="M115" s="295">
        <v>0.80902777777777779</v>
      </c>
      <c r="N115" s="295">
        <v>0.88541666666666663</v>
      </c>
      <c r="O115" s="289">
        <v>20</v>
      </c>
      <c r="P115" s="480">
        <f t="shared" si="34"/>
        <v>109.99999999999993</v>
      </c>
      <c r="Q115" s="296"/>
      <c r="R115" s="296"/>
    </row>
    <row r="116" spans="1:18">
      <c r="A116" s="616"/>
      <c r="B116" s="397" t="s">
        <v>126</v>
      </c>
      <c r="C116" s="308"/>
      <c r="D116" s="309" t="s">
        <v>115</v>
      </c>
      <c r="E116" s="323"/>
      <c r="F116" s="398">
        <v>22.281818181818181</v>
      </c>
      <c r="G116" s="475">
        <v>1038</v>
      </c>
      <c r="H116" s="329">
        <f t="shared" si="13"/>
        <v>23128.527272727271</v>
      </c>
      <c r="I116" s="477"/>
      <c r="J116" s="292">
        <v>4</v>
      </c>
      <c r="K116" s="293">
        <f t="shared" si="32"/>
        <v>3113.9999999999609</v>
      </c>
      <c r="L116" s="294">
        <f t="shared" si="33"/>
        <v>778.49999999999022</v>
      </c>
      <c r="M116" s="295">
        <v>0.89930555555555547</v>
      </c>
      <c r="N116" s="331">
        <v>0.91319444444444453</v>
      </c>
      <c r="O116" s="289">
        <v>20</v>
      </c>
      <c r="P116" s="480">
        <f t="shared" si="34"/>
        <v>20.000000000000249</v>
      </c>
      <c r="Q116" s="296">
        <v>0.91319444444444453</v>
      </c>
      <c r="R116" s="296">
        <v>0.95486111111111116</v>
      </c>
    </row>
    <row r="117" spans="1:18">
      <c r="A117" s="616"/>
      <c r="B117" s="397" t="s">
        <v>126</v>
      </c>
      <c r="C117" s="308"/>
      <c r="D117" s="309" t="s">
        <v>116</v>
      </c>
      <c r="E117" s="322"/>
      <c r="F117" s="398">
        <v>17.890909090909091</v>
      </c>
      <c r="G117" s="475">
        <v>3641</v>
      </c>
      <c r="H117" s="329">
        <f t="shared" ref="H117:H123" si="35">F117*G117</f>
        <v>65140.799999999996</v>
      </c>
      <c r="I117" s="477"/>
      <c r="J117" s="292">
        <v>3</v>
      </c>
      <c r="K117" s="293">
        <f t="shared" si="32"/>
        <v>2912.7999998643622</v>
      </c>
      <c r="L117" s="294">
        <f t="shared" si="33"/>
        <v>970.93333328812071</v>
      </c>
      <c r="M117" s="295">
        <v>46207.96875</v>
      </c>
      <c r="N117" s="295">
        <v>46208.020833333336</v>
      </c>
      <c r="O117" s="293">
        <v>20</v>
      </c>
      <c r="P117" s="480">
        <f t="shared" si="34"/>
        <v>75.00000000349246</v>
      </c>
      <c r="Q117" s="296"/>
      <c r="R117" s="296"/>
    </row>
    <row r="118" spans="1:18">
      <c r="A118" s="616"/>
      <c r="B118" s="397" t="s">
        <v>126</v>
      </c>
      <c r="C118" s="308"/>
      <c r="D118" s="309" t="s">
        <v>485</v>
      </c>
      <c r="E118" s="322"/>
      <c r="F118" s="398">
        <v>14.03</v>
      </c>
      <c r="G118" s="475">
        <v>6218</v>
      </c>
      <c r="H118" s="329">
        <f t="shared" si="35"/>
        <v>87238.54</v>
      </c>
      <c r="I118" s="477"/>
      <c r="J118" s="292">
        <v>3</v>
      </c>
      <c r="K118" s="293">
        <f t="shared" si="32"/>
        <v>2984.6400000000003</v>
      </c>
      <c r="L118" s="294">
        <f t="shared" si="33"/>
        <v>994.88000000000011</v>
      </c>
      <c r="M118" s="295">
        <v>3.4722222222222224E-2</v>
      </c>
      <c r="N118" s="295">
        <v>0.12152777777777778</v>
      </c>
      <c r="O118" s="293">
        <v>20</v>
      </c>
      <c r="P118" s="480">
        <f t="shared" si="34"/>
        <v>124.99999999999999</v>
      </c>
      <c r="Q118" s="296"/>
      <c r="R118" s="296"/>
    </row>
    <row r="119" spans="1:18">
      <c r="A119" s="616"/>
      <c r="B119" s="397">
        <v>0</v>
      </c>
      <c r="C119" s="308"/>
      <c r="D119" s="323"/>
      <c r="E119" s="322"/>
      <c r="F119" s="398" t="s">
        <v>128</v>
      </c>
      <c r="G119" s="475"/>
      <c r="H119" s="329">
        <f t="shared" si="35"/>
        <v>0</v>
      </c>
      <c r="I119" s="477"/>
      <c r="J119" s="292"/>
      <c r="K119" s="293"/>
      <c r="L119" s="294"/>
      <c r="M119" s="295"/>
      <c r="N119" s="295"/>
      <c r="O119" s="289"/>
      <c r="P119" s="480"/>
      <c r="Q119" s="296"/>
      <c r="R119" s="296"/>
    </row>
    <row r="120" spans="1:18">
      <c r="A120" s="616"/>
      <c r="B120" s="397">
        <v>0</v>
      </c>
      <c r="C120" s="308"/>
      <c r="D120" s="323"/>
      <c r="E120" s="322"/>
      <c r="F120" s="398" t="s">
        <v>128</v>
      </c>
      <c r="G120" s="475"/>
      <c r="H120" s="329">
        <f t="shared" si="35"/>
        <v>0</v>
      </c>
      <c r="I120" s="477"/>
      <c r="J120" s="292"/>
      <c r="K120" s="293"/>
      <c r="L120" s="294"/>
      <c r="M120" s="295"/>
      <c r="N120" s="295"/>
      <c r="O120" s="289"/>
      <c r="P120" s="480"/>
      <c r="Q120" s="296"/>
      <c r="R120" s="296"/>
    </row>
    <row r="121" spans="1:18">
      <c r="A121" s="616"/>
      <c r="B121" s="397">
        <v>0</v>
      </c>
      <c r="C121" s="308"/>
      <c r="D121" s="323"/>
      <c r="E121" s="322"/>
      <c r="F121" s="398" t="s">
        <v>128</v>
      </c>
      <c r="G121" s="475"/>
      <c r="H121" s="329">
        <f t="shared" si="35"/>
        <v>0</v>
      </c>
      <c r="I121" s="477"/>
      <c r="J121" s="292"/>
      <c r="K121" s="293"/>
      <c r="L121" s="294"/>
      <c r="M121" s="295"/>
      <c r="N121" s="295"/>
      <c r="O121" s="289"/>
      <c r="P121" s="480"/>
      <c r="Q121" s="296"/>
      <c r="R121" s="296"/>
    </row>
    <row r="122" spans="1:18" ht="15.6" customHeight="1">
      <c r="A122" s="616"/>
      <c r="B122" s="397">
        <v>0</v>
      </c>
      <c r="C122" s="308"/>
      <c r="D122" s="323"/>
      <c r="E122" s="322"/>
      <c r="F122" s="398" t="s">
        <v>128</v>
      </c>
      <c r="G122" s="475"/>
      <c r="H122" s="329">
        <f t="shared" si="35"/>
        <v>0</v>
      </c>
      <c r="I122" s="477"/>
      <c r="J122" s="292"/>
      <c r="K122" s="293"/>
      <c r="L122" s="294"/>
      <c r="M122" s="295"/>
      <c r="N122" s="295"/>
      <c r="O122" s="289"/>
      <c r="P122" s="480"/>
      <c r="Q122" s="296"/>
      <c r="R122" s="296"/>
    </row>
    <row r="123" spans="1:18">
      <c r="A123" s="616"/>
      <c r="B123" s="397">
        <v>0</v>
      </c>
      <c r="C123" s="308"/>
      <c r="D123" s="323"/>
      <c r="E123" s="322"/>
      <c r="F123" s="398" t="s">
        <v>128</v>
      </c>
      <c r="G123" s="475"/>
      <c r="H123" s="329">
        <f t="shared" si="35"/>
        <v>0</v>
      </c>
      <c r="I123" s="477"/>
      <c r="J123" s="292"/>
      <c r="K123" s="293"/>
      <c r="L123" s="294"/>
      <c r="M123" s="295"/>
      <c r="N123" s="295"/>
      <c r="O123" s="289"/>
      <c r="P123" s="480"/>
      <c r="Q123" s="296"/>
      <c r="R123" s="296"/>
    </row>
    <row r="124" spans="1:18" ht="17.399999999999999" customHeight="1">
      <c r="A124" s="616"/>
      <c r="B124" s="290">
        <v>0</v>
      </c>
      <c r="C124" s="6" t="s">
        <v>473</v>
      </c>
      <c r="D124" s="617" t="s">
        <v>455</v>
      </c>
      <c r="E124" s="617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3022.0342856949019</v>
      </c>
      <c r="L124" s="303">
        <f>AVERAGE(L112:L123)</f>
        <v>897.84476189830127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J36" sqref="J36"/>
      <selection pane="bottomLeft" activeCell="J36" sqref="J36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488</v>
      </c>
      <c r="B1" s="28"/>
      <c r="C1" s="28"/>
      <c r="D1" s="485" t="s">
        <v>434</v>
      </c>
      <c r="E1" s="29">
        <f>SUM(G5:G173)</f>
        <v>170371.20000000001</v>
      </c>
      <c r="F1" s="486" t="s">
        <v>3</v>
      </c>
      <c r="G1" s="30">
        <f>SUM(H5:H173)</f>
        <v>6812430.4921522504</v>
      </c>
      <c r="H1" s="482" t="s">
        <v>37</v>
      </c>
      <c r="I1" s="31">
        <f>M17+M30+M43+M56+M69+M82+M95+M108+M121+M134+M147+M160+M173</f>
        <v>192.79563492063494</v>
      </c>
      <c r="J1" s="732" t="s">
        <v>38</v>
      </c>
      <c r="K1" s="732"/>
      <c r="L1" s="732"/>
      <c r="M1" s="732" t="s">
        <v>39</v>
      </c>
      <c r="N1" s="732"/>
      <c r="O1" s="732"/>
      <c r="P1" s="732" t="s">
        <v>489</v>
      </c>
      <c r="Q1" s="732"/>
      <c r="R1" s="732"/>
      <c r="S1" s="732"/>
      <c r="T1" s="732" t="s">
        <v>437</v>
      </c>
      <c r="U1" s="732"/>
      <c r="V1" s="732"/>
      <c r="W1" s="732"/>
      <c r="X1" s="732"/>
      <c r="Y1" s="732"/>
      <c r="Z1" s="32" t="s">
        <v>490</v>
      </c>
      <c r="AA1" s="32" t="s">
        <v>491</v>
      </c>
      <c r="AB1" s="739" t="s">
        <v>492</v>
      </c>
      <c r="AC1" s="740"/>
      <c r="AD1" s="32" t="s">
        <v>490</v>
      </c>
      <c r="AE1" s="32" t="s">
        <v>493</v>
      </c>
      <c r="AF1" s="732" t="s">
        <v>494</v>
      </c>
      <c r="AG1" s="733"/>
      <c r="AH1" s="733"/>
    </row>
    <row r="2" spans="1:34" ht="26.25" customHeight="1">
      <c r="A2" s="734" t="s">
        <v>538</v>
      </c>
      <c r="B2" s="734"/>
      <c r="C2" s="485"/>
      <c r="D2" s="485" t="s">
        <v>439</v>
      </c>
      <c r="E2" s="34">
        <f>AVERAGE(O17,O30,O43,O56,O69,O82,O95,O108,O121,O134,O147,O160,O173)</f>
        <v>130.54457742399887</v>
      </c>
      <c r="F2" s="35" t="s">
        <v>40</v>
      </c>
      <c r="G2" s="36">
        <f>G1/E1</f>
        <v>39.985810349121508</v>
      </c>
      <c r="H2" s="482" t="s">
        <v>41</v>
      </c>
      <c r="I2" s="482">
        <f>COUNT(I5:I173)</f>
        <v>9</v>
      </c>
      <c r="J2" s="732"/>
      <c r="K2" s="732"/>
      <c r="L2" s="732"/>
      <c r="M2" s="732"/>
      <c r="N2" s="732"/>
      <c r="O2" s="732"/>
      <c r="P2" s="732"/>
      <c r="Q2" s="732"/>
      <c r="R2" s="732"/>
      <c r="S2" s="732"/>
      <c r="T2" s="732"/>
      <c r="U2" s="732"/>
      <c r="V2" s="732"/>
      <c r="W2" s="732"/>
      <c r="X2" s="732"/>
      <c r="Y2" s="732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741"/>
      <c r="AC2" s="742"/>
      <c r="AD2" s="38">
        <f>AD17+AD30+AD43+AD56+AD69+AD82+AD95+AD108+AD121+AD134+AD147+AD160+AD173</f>
        <v>6</v>
      </c>
      <c r="AE2" s="38">
        <f>AE17+AE30+AE43+AE56+AE69+AE82+AE95+AE108+AE121+AE134+AE147+AE160+AE173</f>
        <v>7</v>
      </c>
      <c r="AF2" s="733"/>
      <c r="AG2" s="733"/>
      <c r="AH2" s="733"/>
    </row>
    <row r="3" spans="1:34" ht="30.6" customHeight="1">
      <c r="A3" s="673" t="s">
        <v>441</v>
      </c>
      <c r="B3" s="673" t="s">
        <v>42</v>
      </c>
      <c r="C3" s="730"/>
      <c r="D3" s="673" t="s">
        <v>443</v>
      </c>
      <c r="E3" s="673"/>
      <c r="F3" s="730" t="s">
        <v>43</v>
      </c>
      <c r="G3" s="722" t="s">
        <v>44</v>
      </c>
      <c r="H3" s="730" t="s">
        <v>45</v>
      </c>
      <c r="I3" s="724" t="s">
        <v>446</v>
      </c>
      <c r="J3" s="728" t="s">
        <v>46</v>
      </c>
      <c r="K3" s="727" t="s">
        <v>47</v>
      </c>
      <c r="L3" s="702" t="s">
        <v>35</v>
      </c>
      <c r="M3" s="722" t="s">
        <v>46</v>
      </c>
      <c r="N3" s="727" t="s">
        <v>448</v>
      </c>
      <c r="O3" s="702" t="s">
        <v>439</v>
      </c>
      <c r="P3" s="728" t="s">
        <v>447</v>
      </c>
      <c r="Q3" s="702" t="s">
        <v>439</v>
      </c>
      <c r="R3" s="729" t="s">
        <v>496</v>
      </c>
      <c r="S3" s="703" t="s">
        <v>497</v>
      </c>
      <c r="T3" s="722" t="s">
        <v>48</v>
      </c>
      <c r="U3" s="722"/>
      <c r="V3" s="723" t="s">
        <v>49</v>
      </c>
      <c r="W3" s="724" t="s">
        <v>449</v>
      </c>
      <c r="X3" s="722" t="s">
        <v>450</v>
      </c>
      <c r="Y3" s="722"/>
      <c r="Z3" s="725" t="s">
        <v>498</v>
      </c>
      <c r="AA3" s="726"/>
      <c r="AB3" s="735" t="s">
        <v>499</v>
      </c>
      <c r="AC3" s="736"/>
      <c r="AD3" s="737" t="s">
        <v>500</v>
      </c>
      <c r="AE3" s="738"/>
      <c r="AF3" s="727" t="s">
        <v>448</v>
      </c>
      <c r="AG3" s="729" t="s">
        <v>496</v>
      </c>
      <c r="AH3" s="703" t="s">
        <v>497</v>
      </c>
    </row>
    <row r="4" spans="1:34" ht="30.6" customHeight="1">
      <c r="A4" s="730"/>
      <c r="B4" s="673"/>
      <c r="C4" s="731"/>
      <c r="D4" s="673"/>
      <c r="E4" s="673"/>
      <c r="F4" s="731"/>
      <c r="G4" s="722"/>
      <c r="H4" s="731"/>
      <c r="I4" s="724"/>
      <c r="J4" s="728"/>
      <c r="K4" s="727"/>
      <c r="L4" s="702"/>
      <c r="M4" s="722"/>
      <c r="N4" s="727"/>
      <c r="O4" s="702"/>
      <c r="P4" s="728"/>
      <c r="Q4" s="702"/>
      <c r="R4" s="729"/>
      <c r="S4" s="703"/>
      <c r="T4" s="492" t="s">
        <v>50</v>
      </c>
      <c r="U4" s="492" t="s">
        <v>51</v>
      </c>
      <c r="V4" s="722"/>
      <c r="W4" s="724"/>
      <c r="X4" s="486" t="s">
        <v>451</v>
      </c>
      <c r="Y4" s="486" t="s">
        <v>36</v>
      </c>
      <c r="Z4" s="492" t="s">
        <v>501</v>
      </c>
      <c r="AA4" s="492" t="s">
        <v>502</v>
      </c>
      <c r="AB4" s="736"/>
      <c r="AC4" s="736"/>
      <c r="AD4" s="492" t="s">
        <v>503</v>
      </c>
      <c r="AE4" s="39" t="s">
        <v>504</v>
      </c>
      <c r="AF4" s="727"/>
      <c r="AG4" s="729"/>
      <c r="AH4" s="703"/>
    </row>
    <row r="5" spans="1:34" ht="18.75" customHeight="1">
      <c r="A5" s="719" t="s">
        <v>505</v>
      </c>
      <c r="B5" s="40" t="s">
        <v>122</v>
      </c>
      <c r="C5" s="41"/>
      <c r="D5" s="42" t="s">
        <v>52</v>
      </c>
      <c r="E5" s="43"/>
      <c r="F5" s="343">
        <v>37.83</v>
      </c>
      <c r="G5" s="44">
        <v>4966.72</v>
      </c>
      <c r="H5" s="45">
        <f t="shared" ref="H5:H16" si="0">F5*G5</f>
        <v>187891.01759999999</v>
      </c>
      <c r="I5" s="483"/>
      <c r="J5" s="46">
        <v>20</v>
      </c>
      <c r="K5" s="44">
        <v>2400</v>
      </c>
      <c r="L5" s="47">
        <v>120</v>
      </c>
      <c r="M5" s="484">
        <v>20</v>
      </c>
      <c r="N5" s="44">
        <f t="shared" ref="N5:N11" si="1">G5/W5*60</f>
        <v>2365.1047619047617</v>
      </c>
      <c r="O5" s="47">
        <f t="shared" ref="O5:O11" si="2">N5/M5</f>
        <v>118.25523809523808</v>
      </c>
      <c r="P5" s="48">
        <f t="shared" ref="P5:P11" si="3">M5-J5</f>
        <v>0</v>
      </c>
      <c r="Q5" s="49">
        <f t="shared" ref="Q5:Q11" si="4">O5-L5</f>
        <v>-1.7447619047619156</v>
      </c>
      <c r="R5" s="490">
        <f t="shared" ref="R5:R11" si="5">O5/L5</f>
        <v>0.98546031746031737</v>
      </c>
      <c r="S5" s="688">
        <f>R17</f>
        <v>0.93327654587029218</v>
      </c>
      <c r="T5" s="89">
        <v>0.25</v>
      </c>
      <c r="U5" s="89">
        <v>0.33750000000000002</v>
      </c>
      <c r="V5" s="486">
        <v>5</v>
      </c>
      <c r="W5" s="483">
        <f>(U5-T5)*24*60</f>
        <v>126.00000000000003</v>
      </c>
      <c r="X5" s="486"/>
      <c r="Y5" s="486"/>
      <c r="Z5" s="51"/>
      <c r="AA5" s="51"/>
      <c r="AB5" s="673"/>
      <c r="AC5" s="673"/>
      <c r="AD5" s="52"/>
      <c r="AE5" s="52"/>
      <c r="AF5" s="48">
        <f t="shared" ref="AF5:AF70" si="6">N5-K5</f>
        <v>-34.895238095238255</v>
      </c>
      <c r="AG5" s="490">
        <f t="shared" ref="AG5:AG70" si="7">N5/K5</f>
        <v>0.98546031746031737</v>
      </c>
      <c r="AH5" s="688">
        <f>AG17</f>
        <v>0.93429198208319852</v>
      </c>
    </row>
    <row r="6" spans="1:34" ht="19.2" customHeight="1">
      <c r="A6" s="720"/>
      <c r="B6" s="40" t="s">
        <v>122</v>
      </c>
      <c r="C6" s="41"/>
      <c r="D6" s="42" t="s">
        <v>52</v>
      </c>
      <c r="E6" s="43"/>
      <c r="F6" s="343">
        <v>37.83</v>
      </c>
      <c r="G6" s="44">
        <v>2337.2800000000002</v>
      </c>
      <c r="H6" s="45">
        <f t="shared" si="0"/>
        <v>88419.3024</v>
      </c>
      <c r="I6" s="483"/>
      <c r="J6" s="46">
        <v>20</v>
      </c>
      <c r="K6" s="44">
        <v>2400</v>
      </c>
      <c r="L6" s="47">
        <v>120</v>
      </c>
      <c r="M6" s="484">
        <v>20</v>
      </c>
      <c r="N6" s="44">
        <f t="shared" si="1"/>
        <v>2376.8949152542364</v>
      </c>
      <c r="O6" s="47">
        <f t="shared" si="2"/>
        <v>118.84474576271182</v>
      </c>
      <c r="P6" s="48">
        <f t="shared" si="3"/>
        <v>0</v>
      </c>
      <c r="Q6" s="49">
        <f t="shared" si="4"/>
        <v>-1.155254237288176</v>
      </c>
      <c r="R6" s="490">
        <f t="shared" si="5"/>
        <v>0.99037288135593182</v>
      </c>
      <c r="S6" s="688"/>
      <c r="T6" s="89">
        <v>0.35347222222222224</v>
      </c>
      <c r="U6" s="89">
        <v>0.39444444444444449</v>
      </c>
      <c r="V6" s="486">
        <v>23</v>
      </c>
      <c r="W6" s="483">
        <f t="shared" ref="W6:W17" si="8">(U6-T6)*24*60</f>
        <v>59.000000000000028</v>
      </c>
      <c r="X6" s="53">
        <v>0.34166666666666662</v>
      </c>
      <c r="Y6" s="53">
        <v>0.3527777777777778</v>
      </c>
      <c r="Z6" s="54"/>
      <c r="AA6" s="54"/>
      <c r="AB6" s="673"/>
      <c r="AC6" s="673"/>
      <c r="AD6" s="500"/>
      <c r="AE6" s="500"/>
      <c r="AF6" s="48">
        <f t="shared" si="6"/>
        <v>-23.105084745763634</v>
      </c>
      <c r="AG6" s="490">
        <f t="shared" si="7"/>
        <v>0.99037288135593182</v>
      </c>
      <c r="AH6" s="688"/>
    </row>
    <row r="7" spans="1:34" ht="19.2" customHeight="1">
      <c r="A7" s="720"/>
      <c r="B7" s="40" t="s">
        <v>122</v>
      </c>
      <c r="C7" s="41"/>
      <c r="D7" s="42" t="s">
        <v>204</v>
      </c>
      <c r="E7" s="43"/>
      <c r="F7" s="343">
        <v>46.93</v>
      </c>
      <c r="G7" s="44">
        <v>3157</v>
      </c>
      <c r="H7" s="45">
        <f t="shared" si="0"/>
        <v>148158.01</v>
      </c>
      <c r="I7" s="483"/>
      <c r="J7" s="46">
        <v>21</v>
      </c>
      <c r="K7" s="44">
        <v>2400</v>
      </c>
      <c r="L7" s="47">
        <v>114.28571428571429</v>
      </c>
      <c r="M7" s="484">
        <v>21</v>
      </c>
      <c r="N7" s="44">
        <f t="shared" si="1"/>
        <v>2177.2413793103447</v>
      </c>
      <c r="O7" s="47">
        <f t="shared" si="2"/>
        <v>103.67816091954022</v>
      </c>
      <c r="P7" s="48">
        <f t="shared" si="3"/>
        <v>0</v>
      </c>
      <c r="Q7" s="49">
        <f t="shared" si="4"/>
        <v>-10.607553366174074</v>
      </c>
      <c r="R7" s="490">
        <f t="shared" si="5"/>
        <v>0.90718390804597682</v>
      </c>
      <c r="S7" s="688"/>
      <c r="T7" s="89">
        <v>0.39930555555555558</v>
      </c>
      <c r="U7" s="89">
        <v>0.45972222222222225</v>
      </c>
      <c r="V7" s="486">
        <v>7</v>
      </c>
      <c r="W7" s="483">
        <f t="shared" si="8"/>
        <v>87.000000000000014</v>
      </c>
      <c r="X7" s="53"/>
      <c r="Y7" s="53"/>
      <c r="Z7" s="54"/>
      <c r="AA7" s="54"/>
      <c r="AB7" s="673"/>
      <c r="AC7" s="673"/>
      <c r="AD7" s="500"/>
      <c r="AE7" s="500">
        <v>1</v>
      </c>
      <c r="AF7" s="48">
        <f t="shared" si="6"/>
        <v>-222.75862068965534</v>
      </c>
      <c r="AG7" s="490">
        <f t="shared" si="7"/>
        <v>0.90718390804597693</v>
      </c>
      <c r="AH7" s="688"/>
    </row>
    <row r="8" spans="1:34" ht="19.2" customHeight="1">
      <c r="A8" s="720"/>
      <c r="B8" s="40" t="s">
        <v>122</v>
      </c>
      <c r="C8" s="41"/>
      <c r="D8" s="42" t="s">
        <v>178</v>
      </c>
      <c r="E8" s="43"/>
      <c r="F8" s="343">
        <v>28.86</v>
      </c>
      <c r="G8" s="44">
        <v>1791</v>
      </c>
      <c r="H8" s="45">
        <f t="shared" si="0"/>
        <v>51688.26</v>
      </c>
      <c r="I8" s="483"/>
      <c r="J8" s="46">
        <v>17</v>
      </c>
      <c r="K8" s="44">
        <v>2571</v>
      </c>
      <c r="L8" s="47">
        <v>151.23529411764707</v>
      </c>
      <c r="M8" s="484">
        <v>17</v>
      </c>
      <c r="N8" s="44">
        <f t="shared" si="1"/>
        <v>2388</v>
      </c>
      <c r="O8" s="47">
        <f t="shared" si="2"/>
        <v>140.47058823529412</v>
      </c>
      <c r="P8" s="48">
        <f t="shared" si="3"/>
        <v>0</v>
      </c>
      <c r="Q8" s="49">
        <f t="shared" si="4"/>
        <v>-10.764705882352956</v>
      </c>
      <c r="R8" s="490">
        <f t="shared" si="5"/>
        <v>0.92882147024504069</v>
      </c>
      <c r="S8" s="688"/>
      <c r="T8" s="89">
        <v>0.46458333333333335</v>
      </c>
      <c r="U8" s="89">
        <v>0.49583333333333335</v>
      </c>
      <c r="V8" s="486">
        <v>7</v>
      </c>
      <c r="W8" s="483">
        <f t="shared" si="8"/>
        <v>45</v>
      </c>
      <c r="X8" s="53"/>
      <c r="Y8" s="53"/>
      <c r="Z8" s="54"/>
      <c r="AA8" s="54"/>
      <c r="AB8" s="673"/>
      <c r="AC8" s="673"/>
      <c r="AD8" s="500"/>
      <c r="AE8" s="500"/>
      <c r="AF8" s="48">
        <f t="shared" si="6"/>
        <v>-183</v>
      </c>
      <c r="AG8" s="490">
        <f t="shared" si="7"/>
        <v>0.9288214702450408</v>
      </c>
      <c r="AH8" s="688"/>
    </row>
    <row r="9" spans="1:34" ht="19.2" customHeight="1">
      <c r="A9" s="720"/>
      <c r="B9" s="40" t="s">
        <v>122</v>
      </c>
      <c r="C9" s="55"/>
      <c r="D9" s="42" t="s">
        <v>180</v>
      </c>
      <c r="E9" s="56"/>
      <c r="F9" s="343">
        <v>38.99</v>
      </c>
      <c r="G9" s="57">
        <v>1237</v>
      </c>
      <c r="H9" s="45">
        <f t="shared" si="0"/>
        <v>48230.630000000005</v>
      </c>
      <c r="I9" s="500"/>
      <c r="J9" s="46">
        <v>18</v>
      </c>
      <c r="K9" s="44">
        <v>2571</v>
      </c>
      <c r="L9" s="47">
        <v>142.83333333333334</v>
      </c>
      <c r="M9" s="484">
        <v>18</v>
      </c>
      <c r="N9" s="44">
        <f t="shared" si="1"/>
        <v>2319.3749999999968</v>
      </c>
      <c r="O9" s="47">
        <f t="shared" si="2"/>
        <v>128.85416666666649</v>
      </c>
      <c r="P9" s="48">
        <f t="shared" si="3"/>
        <v>0</v>
      </c>
      <c r="Q9" s="49">
        <f t="shared" si="4"/>
        <v>-13.979166666666856</v>
      </c>
      <c r="R9" s="490">
        <f t="shared" si="5"/>
        <v>0.90212952158692983</v>
      </c>
      <c r="S9" s="688"/>
      <c r="T9" s="89">
        <v>0.53611111111111109</v>
      </c>
      <c r="U9" s="89">
        <v>0.55833333333333335</v>
      </c>
      <c r="V9" s="486">
        <v>5</v>
      </c>
      <c r="W9" s="483">
        <f t="shared" si="8"/>
        <v>32.000000000000043</v>
      </c>
      <c r="X9" s="53"/>
      <c r="Y9" s="53"/>
      <c r="Z9" s="54"/>
      <c r="AA9" s="54"/>
      <c r="AB9" s="673"/>
      <c r="AC9" s="673"/>
      <c r="AD9" s="500"/>
      <c r="AE9" s="500"/>
      <c r="AF9" s="48">
        <f t="shared" si="6"/>
        <v>-251.62500000000318</v>
      </c>
      <c r="AG9" s="490">
        <f t="shared" si="7"/>
        <v>0.90212952158692994</v>
      </c>
      <c r="AH9" s="688"/>
    </row>
    <row r="10" spans="1:34" ht="19.2" customHeight="1">
      <c r="A10" s="721"/>
      <c r="B10" s="40" t="s">
        <v>122</v>
      </c>
      <c r="C10" s="41"/>
      <c r="D10" s="42" t="s">
        <v>198</v>
      </c>
      <c r="E10" s="43"/>
      <c r="F10" s="343">
        <v>35.89</v>
      </c>
      <c r="G10" s="44">
        <v>3546</v>
      </c>
      <c r="H10" s="45">
        <f t="shared" si="0"/>
        <v>127265.94</v>
      </c>
      <c r="I10" s="483"/>
      <c r="J10" s="46">
        <v>18</v>
      </c>
      <c r="K10" s="44">
        <v>2571</v>
      </c>
      <c r="L10" s="47">
        <v>142.83333333333334</v>
      </c>
      <c r="M10" s="484">
        <v>18</v>
      </c>
      <c r="N10" s="44">
        <f t="shared" si="1"/>
        <v>2390.5617977528091</v>
      </c>
      <c r="O10" s="47">
        <f t="shared" si="2"/>
        <v>132.80898876404495</v>
      </c>
      <c r="P10" s="48">
        <f t="shared" si="3"/>
        <v>0</v>
      </c>
      <c r="Q10" s="49">
        <f t="shared" si="4"/>
        <v>-10.024344569288388</v>
      </c>
      <c r="R10" s="490">
        <f t="shared" si="5"/>
        <v>0.92981789099681411</v>
      </c>
      <c r="S10" s="689"/>
      <c r="T10" s="89">
        <v>0.56388888888888888</v>
      </c>
      <c r="U10" s="89">
        <v>0.62569444444444444</v>
      </c>
      <c r="V10" s="486">
        <v>8</v>
      </c>
      <c r="W10" s="483">
        <f t="shared" si="8"/>
        <v>89</v>
      </c>
      <c r="X10" s="53"/>
      <c r="Y10" s="53"/>
      <c r="Z10" s="54"/>
      <c r="AA10" s="54"/>
      <c r="AB10" s="673"/>
      <c r="AC10" s="673"/>
      <c r="AD10" s="500"/>
      <c r="AE10" s="500"/>
      <c r="AF10" s="48">
        <f t="shared" si="6"/>
        <v>-180.43820224719093</v>
      </c>
      <c r="AG10" s="490">
        <f t="shared" si="7"/>
        <v>0.92981789099681411</v>
      </c>
      <c r="AH10" s="689"/>
    </row>
    <row r="11" spans="1:34" ht="19.2" customHeight="1">
      <c r="A11" s="721"/>
      <c r="B11" s="40" t="s">
        <v>122</v>
      </c>
      <c r="C11" s="41"/>
      <c r="D11" s="42" t="s">
        <v>53</v>
      </c>
      <c r="E11" s="43"/>
      <c r="F11" s="343">
        <v>31.11</v>
      </c>
      <c r="G11" s="44">
        <v>3087</v>
      </c>
      <c r="H11" s="45">
        <f t="shared" si="0"/>
        <v>96036.569999999992</v>
      </c>
      <c r="I11" s="483"/>
      <c r="J11" s="46">
        <v>18</v>
      </c>
      <c r="K11" s="44">
        <v>2769</v>
      </c>
      <c r="L11" s="47">
        <v>153.83333333333334</v>
      </c>
      <c r="M11" s="484">
        <v>18</v>
      </c>
      <c r="N11" s="44">
        <f t="shared" si="1"/>
        <v>2502.9729729729711</v>
      </c>
      <c r="O11" s="47">
        <f t="shared" si="2"/>
        <v>139.05405405405395</v>
      </c>
      <c r="P11" s="48">
        <f t="shared" si="3"/>
        <v>0</v>
      </c>
      <c r="Q11" s="49">
        <f t="shared" si="4"/>
        <v>-14.779279279279393</v>
      </c>
      <c r="R11" s="490">
        <f t="shared" si="5"/>
        <v>0.90392667857456521</v>
      </c>
      <c r="S11" s="689"/>
      <c r="T11" s="89">
        <v>0.64166666666666661</v>
      </c>
      <c r="U11" s="89">
        <v>0.69305555555555554</v>
      </c>
      <c r="V11" s="486">
        <v>23</v>
      </c>
      <c r="W11" s="483">
        <f t="shared" si="8"/>
        <v>74.000000000000057</v>
      </c>
      <c r="X11" s="53">
        <v>0.63055555555555554</v>
      </c>
      <c r="Y11" s="53">
        <v>0.64027777777777783</v>
      </c>
      <c r="Z11" s="54"/>
      <c r="AA11" s="54"/>
      <c r="AB11" s="673"/>
      <c r="AC11" s="673"/>
      <c r="AD11" s="500"/>
      <c r="AE11" s="500"/>
      <c r="AF11" s="48">
        <f t="shared" si="6"/>
        <v>-266.02702702702891</v>
      </c>
      <c r="AG11" s="490">
        <f t="shared" si="7"/>
        <v>0.90392667857456521</v>
      </c>
      <c r="AH11" s="689"/>
    </row>
    <row r="12" spans="1:34" ht="19.2" customHeight="1">
      <c r="A12" s="721"/>
      <c r="B12" s="40">
        <v>0</v>
      </c>
      <c r="C12" s="41"/>
      <c r="D12" s="59"/>
      <c r="E12" s="43"/>
      <c r="F12" s="343" t="s">
        <v>128</v>
      </c>
      <c r="G12" s="44"/>
      <c r="H12" s="45">
        <f t="shared" si="0"/>
        <v>0</v>
      </c>
      <c r="I12" s="483"/>
      <c r="J12" s="46"/>
      <c r="K12" s="44"/>
      <c r="L12" s="47"/>
      <c r="M12" s="484"/>
      <c r="N12" s="44"/>
      <c r="O12" s="47"/>
      <c r="P12" s="48"/>
      <c r="Q12" s="49"/>
      <c r="R12" s="490"/>
      <c r="S12" s="689"/>
      <c r="T12" s="89"/>
      <c r="U12" s="89"/>
      <c r="V12" s="486"/>
      <c r="W12" s="483">
        <f t="shared" si="8"/>
        <v>0</v>
      </c>
      <c r="X12" s="53"/>
      <c r="Y12" s="53"/>
      <c r="Z12" s="54"/>
      <c r="AA12" s="54"/>
      <c r="AB12" s="673"/>
      <c r="AC12" s="673"/>
      <c r="AD12" s="500"/>
      <c r="AE12" s="500"/>
      <c r="AF12" s="48">
        <f t="shared" si="6"/>
        <v>0</v>
      </c>
      <c r="AG12" s="490" t="e">
        <f t="shared" si="7"/>
        <v>#DIV/0!</v>
      </c>
      <c r="AH12" s="689"/>
    </row>
    <row r="13" spans="1:34" ht="19.2" customHeight="1">
      <c r="A13" s="721"/>
      <c r="B13" s="40">
        <v>0</v>
      </c>
      <c r="C13" s="58"/>
      <c r="D13" s="59"/>
      <c r="E13" s="60"/>
      <c r="F13" s="343" t="s">
        <v>128</v>
      </c>
      <c r="G13" s="61"/>
      <c r="H13" s="45">
        <f t="shared" si="0"/>
        <v>0</v>
      </c>
      <c r="I13" s="487"/>
      <c r="J13" s="46"/>
      <c r="K13" s="44"/>
      <c r="L13" s="47"/>
      <c r="M13" s="62"/>
      <c r="N13" s="44"/>
      <c r="O13" s="47"/>
      <c r="P13" s="48"/>
      <c r="Q13" s="49"/>
      <c r="R13" s="490"/>
      <c r="S13" s="689"/>
      <c r="T13" s="89"/>
      <c r="U13" s="89"/>
      <c r="V13" s="487"/>
      <c r="W13" s="483">
        <f t="shared" si="8"/>
        <v>0</v>
      </c>
      <c r="X13" s="64"/>
      <c r="Y13" s="64"/>
      <c r="Z13" s="54"/>
      <c r="AA13" s="54"/>
      <c r="AB13" s="673"/>
      <c r="AC13" s="673"/>
      <c r="AD13" s="500"/>
      <c r="AE13" s="500"/>
      <c r="AF13" s="48">
        <f t="shared" si="6"/>
        <v>0</v>
      </c>
      <c r="AG13" s="490" t="e">
        <f t="shared" si="7"/>
        <v>#DIV/0!</v>
      </c>
      <c r="AH13" s="689"/>
    </row>
    <row r="14" spans="1:34" ht="19.2" customHeight="1">
      <c r="A14" s="721"/>
      <c r="B14" s="40">
        <v>0</v>
      </c>
      <c r="C14" s="66"/>
      <c r="D14" s="42"/>
      <c r="E14" s="43"/>
      <c r="F14" s="343" t="s">
        <v>128</v>
      </c>
      <c r="G14" s="61"/>
      <c r="H14" s="45">
        <f t="shared" si="0"/>
        <v>0</v>
      </c>
      <c r="I14" s="487"/>
      <c r="J14" s="46"/>
      <c r="K14" s="44"/>
      <c r="L14" s="47"/>
      <c r="M14" s="62"/>
      <c r="N14" s="44"/>
      <c r="O14" s="47"/>
      <c r="P14" s="48"/>
      <c r="Q14" s="49"/>
      <c r="R14" s="490"/>
      <c r="S14" s="689"/>
      <c r="T14" s="89"/>
      <c r="U14" s="89"/>
      <c r="V14" s="487"/>
      <c r="W14" s="483">
        <f t="shared" si="8"/>
        <v>0</v>
      </c>
      <c r="X14" s="64"/>
      <c r="Y14" s="64"/>
      <c r="Z14" s="54"/>
      <c r="AA14" s="54"/>
      <c r="AB14" s="673"/>
      <c r="AC14" s="673"/>
      <c r="AD14" s="500"/>
      <c r="AE14" s="500"/>
      <c r="AF14" s="48">
        <f t="shared" si="6"/>
        <v>0</v>
      </c>
      <c r="AG14" s="490" t="e">
        <f t="shared" si="7"/>
        <v>#DIV/0!</v>
      </c>
      <c r="AH14" s="689"/>
    </row>
    <row r="15" spans="1:34" ht="19.2" customHeight="1">
      <c r="A15" s="721"/>
      <c r="B15" s="67">
        <v>0</v>
      </c>
      <c r="C15" s="58"/>
      <c r="D15" s="59"/>
      <c r="E15" s="60"/>
      <c r="F15" s="343" t="s">
        <v>128</v>
      </c>
      <c r="G15" s="61"/>
      <c r="H15" s="45">
        <f t="shared" si="0"/>
        <v>0</v>
      </c>
      <c r="I15" s="487"/>
      <c r="J15" s="46"/>
      <c r="K15" s="44"/>
      <c r="L15" s="47"/>
      <c r="M15" s="62"/>
      <c r="N15" s="68"/>
      <c r="O15" s="47"/>
      <c r="P15" s="48"/>
      <c r="Q15" s="49"/>
      <c r="R15" s="490"/>
      <c r="S15" s="689"/>
      <c r="T15" s="89"/>
      <c r="U15" s="89"/>
      <c r="V15" s="487"/>
      <c r="W15" s="483">
        <f t="shared" si="8"/>
        <v>0</v>
      </c>
      <c r="X15" s="64"/>
      <c r="Y15" s="64"/>
      <c r="Z15" s="54"/>
      <c r="AA15" s="54"/>
      <c r="AB15" s="673"/>
      <c r="AC15" s="673"/>
      <c r="AD15" s="500"/>
      <c r="AE15" s="500"/>
      <c r="AF15" s="48">
        <f t="shared" si="6"/>
        <v>0</v>
      </c>
      <c r="AG15" s="490" t="e">
        <f t="shared" si="7"/>
        <v>#DIV/0!</v>
      </c>
      <c r="AH15" s="689"/>
    </row>
    <row r="16" spans="1:34" ht="19.2" customHeight="1">
      <c r="A16" s="721"/>
      <c r="B16" s="67">
        <v>0</v>
      </c>
      <c r="C16" s="58"/>
      <c r="D16" s="59"/>
      <c r="E16" s="60"/>
      <c r="F16" s="343" t="s">
        <v>128</v>
      </c>
      <c r="G16" s="61"/>
      <c r="H16" s="45">
        <f t="shared" si="0"/>
        <v>0</v>
      </c>
      <c r="I16" s="487"/>
      <c r="J16" s="46"/>
      <c r="K16" s="44"/>
      <c r="L16" s="47"/>
      <c r="M16" s="62"/>
      <c r="N16" s="68"/>
      <c r="O16" s="47"/>
      <c r="P16" s="48"/>
      <c r="Q16" s="49"/>
      <c r="R16" s="490"/>
      <c r="S16" s="689"/>
      <c r="T16" s="89"/>
      <c r="U16" s="89"/>
      <c r="V16" s="487"/>
      <c r="W16" s="483">
        <f t="shared" si="8"/>
        <v>0</v>
      </c>
      <c r="X16" s="64"/>
      <c r="Y16" s="64"/>
      <c r="Z16" s="54"/>
      <c r="AA16" s="54"/>
      <c r="AB16" s="673"/>
      <c r="AC16" s="673"/>
      <c r="AD16" s="500"/>
      <c r="AE16" s="500"/>
      <c r="AF16" s="48">
        <f t="shared" si="6"/>
        <v>0</v>
      </c>
      <c r="AG16" s="490" t="e">
        <f t="shared" si="7"/>
        <v>#DIV/0!</v>
      </c>
      <c r="AH16" s="689"/>
    </row>
    <row r="17" spans="1:34" ht="19.2" customHeight="1">
      <c r="A17" s="721"/>
      <c r="B17" s="69">
        <v>0</v>
      </c>
      <c r="C17" s="69" t="s">
        <v>506</v>
      </c>
      <c r="D17" s="683" t="s">
        <v>455</v>
      </c>
      <c r="E17" s="683"/>
      <c r="F17" s="344"/>
      <c r="G17" s="70"/>
      <c r="H17" s="71"/>
      <c r="I17" s="72"/>
      <c r="J17" s="70">
        <v>18.857142857142858</v>
      </c>
      <c r="K17" s="70">
        <v>2526</v>
      </c>
      <c r="L17" s="73">
        <v>135.00300120048021</v>
      </c>
      <c r="M17" s="70">
        <f t="shared" ref="M17:O17" si="9">AVERAGE(M5:M16)</f>
        <v>18.857142857142858</v>
      </c>
      <c r="N17" s="70">
        <f t="shared" si="9"/>
        <v>2360.0215467421594</v>
      </c>
      <c r="O17" s="73">
        <f t="shared" si="9"/>
        <v>125.99513464250708</v>
      </c>
      <c r="P17" s="65">
        <f t="shared" ref="P17:P23" si="10">M17-J17</f>
        <v>0</v>
      </c>
      <c r="Q17" s="74">
        <f t="shared" ref="Q17:Q23" si="11">O17-L17</f>
        <v>-9.0078665579731307</v>
      </c>
      <c r="R17" s="75">
        <f>O17/L17</f>
        <v>0.93327654587029218</v>
      </c>
      <c r="S17" s="689"/>
      <c r="T17" s="89"/>
      <c r="U17" s="89"/>
      <c r="V17" s="487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673"/>
      <c r="AC17" s="673"/>
      <c r="AD17" s="79">
        <f>SUM(AD5:AD16)</f>
        <v>0</v>
      </c>
      <c r="AE17" s="79">
        <f>SUM(AE5:AE16)</f>
        <v>1</v>
      </c>
      <c r="AF17" s="65">
        <f t="shared" si="6"/>
        <v>-165.97845325784056</v>
      </c>
      <c r="AG17" s="491">
        <f t="shared" si="7"/>
        <v>0.93429198208319852</v>
      </c>
      <c r="AH17" s="689"/>
    </row>
    <row r="18" spans="1:34" ht="19.2" customHeight="1">
      <c r="A18" s="671" t="s">
        <v>507</v>
      </c>
      <c r="B18" s="80" t="s">
        <v>125</v>
      </c>
      <c r="C18" s="81"/>
      <c r="D18" s="82" t="s">
        <v>189</v>
      </c>
      <c r="E18" s="83"/>
      <c r="F18" s="345">
        <v>27.5</v>
      </c>
      <c r="G18" s="57">
        <v>821</v>
      </c>
      <c r="H18" s="84">
        <f t="shared" ref="H18:H29" si="12">F18*G18</f>
        <v>22577.5</v>
      </c>
      <c r="I18" s="500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1539.3749999999995</v>
      </c>
      <c r="O18" s="86">
        <f t="shared" ref="O18:O23" si="14">N18/M18</f>
        <v>128.28124999999997</v>
      </c>
      <c r="P18" s="54">
        <f t="shared" si="10"/>
        <v>0</v>
      </c>
      <c r="Q18" s="88">
        <f t="shared" si="11"/>
        <v>-38.385416666666686</v>
      </c>
      <c r="R18" s="493">
        <f t="shared" ref="R18:R23" si="15">O18/L18</f>
        <v>0.76968749999999986</v>
      </c>
      <c r="S18" s="672">
        <f>R30</f>
        <v>0.86803387265785659</v>
      </c>
      <c r="T18" s="89">
        <v>0.125</v>
      </c>
      <c r="U18" s="89">
        <v>0.14722222222222223</v>
      </c>
      <c r="V18" s="500">
        <v>5</v>
      </c>
      <c r="W18" s="90">
        <f>(U18-T18)*24*60</f>
        <v>32.000000000000007</v>
      </c>
      <c r="X18" s="86"/>
      <c r="Y18" s="86"/>
      <c r="Z18" s="54"/>
      <c r="AA18" s="54"/>
      <c r="AB18" s="673"/>
      <c r="AC18" s="673"/>
      <c r="AD18" s="500"/>
      <c r="AE18" s="500"/>
      <c r="AF18" s="91">
        <f t="shared" si="6"/>
        <v>-460.62500000000045</v>
      </c>
      <c r="AG18" s="92">
        <f t="shared" si="7"/>
        <v>0.76968749999999975</v>
      </c>
      <c r="AH18" s="714">
        <f>AG30</f>
        <v>0.87601320366383928</v>
      </c>
    </row>
    <row r="19" spans="1:34" ht="19.2" customHeight="1">
      <c r="A19" s="671"/>
      <c r="B19" s="497" t="s">
        <v>122</v>
      </c>
      <c r="C19" s="496"/>
      <c r="D19" s="82" t="s">
        <v>59</v>
      </c>
      <c r="E19" s="83"/>
      <c r="F19" s="343">
        <v>36.86</v>
      </c>
      <c r="G19" s="57">
        <v>4056</v>
      </c>
      <c r="H19" s="84">
        <f t="shared" si="12"/>
        <v>149504.16</v>
      </c>
      <c r="I19" s="500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2172.8571428571431</v>
      </c>
      <c r="O19" s="95">
        <f t="shared" si="14"/>
        <v>120.71428571428572</v>
      </c>
      <c r="P19" s="54">
        <f t="shared" si="10"/>
        <v>0</v>
      </c>
      <c r="Q19" s="88">
        <f t="shared" si="11"/>
        <v>-12.61904761904762</v>
      </c>
      <c r="R19" s="493">
        <f t="shared" si="15"/>
        <v>0.90535714285714286</v>
      </c>
      <c r="S19" s="672"/>
      <c r="T19" s="89">
        <v>0.15138888888888891</v>
      </c>
      <c r="U19" s="89">
        <v>0.22916666666666669</v>
      </c>
      <c r="V19" s="500">
        <v>6</v>
      </c>
      <c r="W19" s="90">
        <f>(U19-T19)*24*60</f>
        <v>112</v>
      </c>
      <c r="X19" s="96"/>
      <c r="Y19" s="96"/>
      <c r="Z19" s="54"/>
      <c r="AA19" s="54"/>
      <c r="AB19" s="673"/>
      <c r="AC19" s="673"/>
      <c r="AD19" s="500"/>
      <c r="AE19" s="500"/>
      <c r="AF19" s="48">
        <f t="shared" si="6"/>
        <v>-227.14285714285688</v>
      </c>
      <c r="AG19" s="490">
        <f t="shared" si="7"/>
        <v>0.90535714285714297</v>
      </c>
      <c r="AH19" s="715"/>
    </row>
    <row r="20" spans="1:34" ht="19.2" customHeight="1">
      <c r="A20" s="671"/>
      <c r="B20" s="497" t="s">
        <v>125</v>
      </c>
      <c r="C20" s="55"/>
      <c r="D20" s="42" t="s">
        <v>60</v>
      </c>
      <c r="E20" s="83"/>
      <c r="F20" s="343">
        <v>43.14</v>
      </c>
      <c r="G20" s="57">
        <v>1813</v>
      </c>
      <c r="H20" s="84">
        <f t="shared" si="12"/>
        <v>78212.820000000007</v>
      </c>
      <c r="I20" s="500"/>
      <c r="J20" s="93">
        <v>17</v>
      </c>
      <c r="K20" s="44">
        <v>1500</v>
      </c>
      <c r="L20" s="47">
        <v>88.235294117647058</v>
      </c>
      <c r="M20" s="93">
        <v>17</v>
      </c>
      <c r="N20" s="94">
        <f t="shared" si="13"/>
        <v>1359.7499999999995</v>
      </c>
      <c r="O20" s="95">
        <f t="shared" si="14"/>
        <v>79.98529411764703</v>
      </c>
      <c r="P20" s="54">
        <f t="shared" si="10"/>
        <v>0</v>
      </c>
      <c r="Q20" s="88">
        <f t="shared" si="11"/>
        <v>-8.2500000000000284</v>
      </c>
      <c r="R20" s="493">
        <f t="shared" si="15"/>
        <v>0.90649999999999964</v>
      </c>
      <c r="S20" s="672"/>
      <c r="T20" s="89">
        <v>0.24444444444444446</v>
      </c>
      <c r="U20" s="89">
        <v>0.30000000000000004</v>
      </c>
      <c r="V20" s="500">
        <v>22</v>
      </c>
      <c r="W20" s="90">
        <f t="shared" ref="W20:W29" si="16">(U20-T20)*24*60</f>
        <v>80.000000000000028</v>
      </c>
      <c r="X20" s="96">
        <v>0.23333333333333331</v>
      </c>
      <c r="Y20" s="96">
        <v>0.24305555555555555</v>
      </c>
      <c r="Z20" s="54"/>
      <c r="AA20" s="54"/>
      <c r="AB20" s="673"/>
      <c r="AC20" s="673"/>
      <c r="AD20" s="500"/>
      <c r="AE20" s="500"/>
      <c r="AF20" s="91">
        <f t="shared" si="6"/>
        <v>-140.25000000000045</v>
      </c>
      <c r="AG20" s="92">
        <f t="shared" si="7"/>
        <v>0.90649999999999975</v>
      </c>
      <c r="AH20" s="715"/>
    </row>
    <row r="21" spans="1:34" ht="19.2" customHeight="1">
      <c r="A21" s="671"/>
      <c r="B21" s="497" t="s">
        <v>124</v>
      </c>
      <c r="C21" s="97"/>
      <c r="D21" s="98" t="s">
        <v>199</v>
      </c>
      <c r="E21" s="43"/>
      <c r="F21" s="343">
        <v>44.3</v>
      </c>
      <c r="G21" s="44">
        <v>2295</v>
      </c>
      <c r="H21" s="84">
        <f t="shared" si="12"/>
        <v>101668.5</v>
      </c>
      <c r="I21" s="486"/>
      <c r="J21" s="93">
        <v>18</v>
      </c>
      <c r="K21" s="44">
        <v>1565</v>
      </c>
      <c r="L21" s="47">
        <v>86.944444444444443</v>
      </c>
      <c r="M21" s="93">
        <v>18</v>
      </c>
      <c r="N21" s="94">
        <f t="shared" si="13"/>
        <v>1405.102040816327</v>
      </c>
      <c r="O21" s="95">
        <f t="shared" si="14"/>
        <v>78.061224489795947</v>
      </c>
      <c r="P21" s="54">
        <f t="shared" si="10"/>
        <v>0</v>
      </c>
      <c r="Q21" s="88">
        <f t="shared" si="11"/>
        <v>-8.8832199546484958</v>
      </c>
      <c r="R21" s="493">
        <f t="shared" si="15"/>
        <v>0.89782878007433042</v>
      </c>
      <c r="S21" s="672"/>
      <c r="T21" s="89">
        <v>0.30486111111111114</v>
      </c>
      <c r="U21" s="89">
        <v>0.37291666666666667</v>
      </c>
      <c r="V21" s="500">
        <v>7</v>
      </c>
      <c r="W21" s="90">
        <f t="shared" si="16"/>
        <v>97.999999999999972</v>
      </c>
      <c r="X21" s="96"/>
      <c r="Y21" s="96"/>
      <c r="Z21" s="54"/>
      <c r="AA21" s="54"/>
      <c r="AB21" s="673"/>
      <c r="AC21" s="673"/>
      <c r="AD21" s="500"/>
      <c r="AE21" s="500"/>
      <c r="AF21" s="48">
        <f t="shared" si="6"/>
        <v>-159.89795918367304</v>
      </c>
      <c r="AG21" s="490">
        <f t="shared" si="7"/>
        <v>0.89782878007433031</v>
      </c>
      <c r="AH21" s="716"/>
    </row>
    <row r="22" spans="1:34" ht="19.2" customHeight="1">
      <c r="A22" s="671"/>
      <c r="B22" s="497" t="s">
        <v>124</v>
      </c>
      <c r="C22" s="97"/>
      <c r="D22" s="42" t="s">
        <v>205</v>
      </c>
      <c r="E22" s="43"/>
      <c r="F22" s="343">
        <v>49.91</v>
      </c>
      <c r="G22" s="44">
        <v>2868.1</v>
      </c>
      <c r="H22" s="84">
        <f t="shared" si="12"/>
        <v>143146.87099999998</v>
      </c>
      <c r="I22" s="486"/>
      <c r="J22" s="93">
        <v>17</v>
      </c>
      <c r="K22" s="44">
        <v>1565</v>
      </c>
      <c r="L22" s="47">
        <v>92.058823529411768</v>
      </c>
      <c r="M22" s="93">
        <v>17</v>
      </c>
      <c r="N22" s="94">
        <f t="shared" si="13"/>
        <v>1422.1983471074384</v>
      </c>
      <c r="O22" s="95">
        <f t="shared" si="14"/>
        <v>83.65872630043755</v>
      </c>
      <c r="P22" s="54">
        <f t="shared" si="10"/>
        <v>0</v>
      </c>
      <c r="Q22" s="88">
        <f t="shared" si="11"/>
        <v>-8.400097228974218</v>
      </c>
      <c r="R22" s="493">
        <f t="shared" si="15"/>
        <v>0.90875293744884234</v>
      </c>
      <c r="S22" s="672"/>
      <c r="T22" s="89">
        <v>0.3888888888888889</v>
      </c>
      <c r="U22" s="89">
        <v>0.47291666666666665</v>
      </c>
      <c r="V22" s="500">
        <v>23</v>
      </c>
      <c r="W22" s="90">
        <f t="shared" si="16"/>
        <v>120.99999999999997</v>
      </c>
      <c r="X22" s="96">
        <v>0.37777777777777777</v>
      </c>
      <c r="Y22" s="96">
        <v>0.38750000000000001</v>
      </c>
      <c r="Z22" s="54"/>
      <c r="AA22" s="54"/>
      <c r="AB22" s="673"/>
      <c r="AC22" s="673"/>
      <c r="AD22" s="500"/>
      <c r="AE22" s="500"/>
      <c r="AF22" s="91">
        <f t="shared" si="6"/>
        <v>-142.80165289256161</v>
      </c>
      <c r="AG22" s="92">
        <f t="shared" si="7"/>
        <v>0.90875293744884245</v>
      </c>
      <c r="AH22" s="716"/>
    </row>
    <row r="23" spans="1:34" ht="19.2" customHeight="1">
      <c r="A23" s="671"/>
      <c r="B23" s="497" t="s">
        <v>122</v>
      </c>
      <c r="C23" s="97"/>
      <c r="D23" s="42" t="s">
        <v>59</v>
      </c>
      <c r="E23" s="43"/>
      <c r="F23" s="343">
        <v>36.86</v>
      </c>
      <c r="G23" s="44">
        <v>2184</v>
      </c>
      <c r="H23" s="84">
        <f t="shared" si="12"/>
        <v>80502.240000000005</v>
      </c>
      <c r="I23" s="486"/>
      <c r="J23" s="93">
        <v>18</v>
      </c>
      <c r="K23" s="44">
        <v>2400</v>
      </c>
      <c r="L23" s="47">
        <v>133.33333333333334</v>
      </c>
      <c r="M23" s="93">
        <v>18</v>
      </c>
      <c r="N23" s="94">
        <f t="shared" si="13"/>
        <v>2113.548387096776</v>
      </c>
      <c r="O23" s="95">
        <f t="shared" si="14"/>
        <v>117.41935483870978</v>
      </c>
      <c r="P23" s="54">
        <f t="shared" si="10"/>
        <v>0</v>
      </c>
      <c r="Q23" s="88">
        <f t="shared" si="11"/>
        <v>-15.913978494623564</v>
      </c>
      <c r="R23" s="493">
        <f t="shared" si="15"/>
        <v>0.88064516129032333</v>
      </c>
      <c r="S23" s="672"/>
      <c r="T23" s="89">
        <v>0.5131944444444444</v>
      </c>
      <c r="U23" s="89">
        <v>0.55624999999999991</v>
      </c>
      <c r="V23" s="500">
        <v>5</v>
      </c>
      <c r="W23" s="90">
        <f t="shared" si="16"/>
        <v>61.999999999999943</v>
      </c>
      <c r="X23" s="96"/>
      <c r="Y23" s="96"/>
      <c r="Z23" s="54"/>
      <c r="AA23" s="54"/>
      <c r="AB23" s="673"/>
      <c r="AC23" s="673"/>
      <c r="AD23" s="500"/>
      <c r="AE23" s="500">
        <v>1</v>
      </c>
      <c r="AF23" s="48">
        <f t="shared" si="6"/>
        <v>-286.45161290322403</v>
      </c>
      <c r="AG23" s="490">
        <f t="shared" si="7"/>
        <v>0.88064516129032333</v>
      </c>
      <c r="AH23" s="716"/>
    </row>
    <row r="24" spans="1:34" ht="19.2" customHeight="1">
      <c r="A24" s="671"/>
      <c r="B24" s="497">
        <v>0</v>
      </c>
      <c r="C24" s="81"/>
      <c r="D24" s="82"/>
      <c r="E24" s="83"/>
      <c r="F24" s="343" t="s">
        <v>128</v>
      </c>
      <c r="G24" s="57"/>
      <c r="H24" s="84">
        <f t="shared" si="12"/>
        <v>0</v>
      </c>
      <c r="I24" s="486"/>
      <c r="J24" s="93"/>
      <c r="K24" s="44"/>
      <c r="L24" s="47"/>
      <c r="M24" s="93"/>
      <c r="N24" s="94"/>
      <c r="O24" s="95"/>
      <c r="P24" s="54"/>
      <c r="Q24" s="88"/>
      <c r="R24" s="493"/>
      <c r="S24" s="672"/>
      <c r="T24" s="89"/>
      <c r="U24" s="89"/>
      <c r="V24" s="500"/>
      <c r="W24" s="90">
        <f t="shared" si="16"/>
        <v>0</v>
      </c>
      <c r="X24" s="96"/>
      <c r="Y24" s="96"/>
      <c r="Z24" s="54"/>
      <c r="AA24" s="54"/>
      <c r="AB24" s="673"/>
      <c r="AC24" s="673"/>
      <c r="AD24" s="500"/>
      <c r="AE24" s="500"/>
      <c r="AF24" s="91">
        <f t="shared" si="6"/>
        <v>0</v>
      </c>
      <c r="AG24" s="92" t="e">
        <f t="shared" si="7"/>
        <v>#DIV/0!</v>
      </c>
      <c r="AH24" s="716"/>
    </row>
    <row r="25" spans="1:34" ht="19.2" customHeight="1">
      <c r="A25" s="671"/>
      <c r="B25" s="497">
        <v>0</v>
      </c>
      <c r="C25" s="81"/>
      <c r="D25" s="82"/>
      <c r="E25" s="83"/>
      <c r="F25" s="343" t="s">
        <v>128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493"/>
      <c r="S25" s="672"/>
      <c r="T25" s="89"/>
      <c r="U25" s="89"/>
      <c r="V25" s="500"/>
      <c r="W25" s="90">
        <f t="shared" si="16"/>
        <v>0</v>
      </c>
      <c r="X25" s="500"/>
      <c r="Y25" s="500"/>
      <c r="Z25" s="54"/>
      <c r="AA25" s="54"/>
      <c r="AB25" s="673"/>
      <c r="AC25" s="673"/>
      <c r="AD25" s="500"/>
      <c r="AE25" s="500"/>
      <c r="AF25" s="48">
        <f t="shared" si="6"/>
        <v>0</v>
      </c>
      <c r="AG25" s="490" t="e">
        <f t="shared" si="7"/>
        <v>#DIV/0!</v>
      </c>
      <c r="AH25" s="716"/>
    </row>
    <row r="26" spans="1:34" ht="19.2" customHeight="1">
      <c r="A26" s="671"/>
      <c r="B26" s="497">
        <v>0</v>
      </c>
      <c r="C26" s="81"/>
      <c r="D26" s="82"/>
      <c r="E26" s="83"/>
      <c r="F26" s="343" t="s">
        <v>128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93"/>
      <c r="S26" s="672"/>
      <c r="T26" s="89"/>
      <c r="U26" s="89"/>
      <c r="V26" s="500"/>
      <c r="W26" s="90">
        <f t="shared" si="16"/>
        <v>0</v>
      </c>
      <c r="X26" s="500"/>
      <c r="Y26" s="500"/>
      <c r="Z26" s="54"/>
      <c r="AA26" s="54"/>
      <c r="AB26" s="673"/>
      <c r="AC26" s="673"/>
      <c r="AD26" s="500"/>
      <c r="AE26" s="500"/>
      <c r="AF26" s="91">
        <f t="shared" si="6"/>
        <v>0</v>
      </c>
      <c r="AG26" s="92" t="e">
        <f t="shared" si="7"/>
        <v>#DIV/0!</v>
      </c>
      <c r="AH26" s="716"/>
    </row>
    <row r="27" spans="1:34" ht="19.2" customHeight="1">
      <c r="A27" s="671"/>
      <c r="B27" s="80">
        <v>0</v>
      </c>
      <c r="C27" s="81"/>
      <c r="D27" s="82"/>
      <c r="E27" s="83"/>
      <c r="F27" s="346" t="s">
        <v>128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93"/>
      <c r="S27" s="672"/>
      <c r="T27" s="89"/>
      <c r="U27" s="89"/>
      <c r="V27" s="500"/>
      <c r="W27" s="90">
        <f t="shared" si="16"/>
        <v>0</v>
      </c>
      <c r="X27" s="500"/>
      <c r="Y27" s="500"/>
      <c r="Z27" s="54"/>
      <c r="AA27" s="54"/>
      <c r="AB27" s="673"/>
      <c r="AC27" s="673"/>
      <c r="AD27" s="500"/>
      <c r="AE27" s="500"/>
      <c r="AF27" s="48">
        <f t="shared" si="6"/>
        <v>0</v>
      </c>
      <c r="AG27" s="490" t="e">
        <f t="shared" si="7"/>
        <v>#DIV/0!</v>
      </c>
      <c r="AH27" s="716"/>
    </row>
    <row r="28" spans="1:34" ht="19.2" customHeight="1">
      <c r="A28" s="671"/>
      <c r="B28" s="80">
        <v>0</v>
      </c>
      <c r="C28" s="81"/>
      <c r="D28" s="82"/>
      <c r="E28" s="83"/>
      <c r="F28" s="346" t="s">
        <v>128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93"/>
      <c r="S28" s="672"/>
      <c r="T28" s="89"/>
      <c r="U28" s="89"/>
      <c r="V28" s="500"/>
      <c r="W28" s="90">
        <f t="shared" si="16"/>
        <v>0</v>
      </c>
      <c r="X28" s="500"/>
      <c r="Y28" s="500"/>
      <c r="Z28" s="54"/>
      <c r="AA28" s="54"/>
      <c r="AB28" s="673"/>
      <c r="AC28" s="673"/>
      <c r="AD28" s="500"/>
      <c r="AE28" s="500"/>
      <c r="AF28" s="91">
        <f t="shared" si="6"/>
        <v>0</v>
      </c>
      <c r="AG28" s="92" t="e">
        <f t="shared" si="7"/>
        <v>#DIV/0!</v>
      </c>
      <c r="AH28" s="716"/>
    </row>
    <row r="29" spans="1:34" ht="19.2" customHeight="1">
      <c r="A29" s="671"/>
      <c r="B29" s="80">
        <v>0</v>
      </c>
      <c r="C29" s="81"/>
      <c r="D29" s="82"/>
      <c r="E29" s="83"/>
      <c r="F29" s="346" t="s">
        <v>128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93"/>
      <c r="S29" s="672"/>
      <c r="T29" s="89"/>
      <c r="U29" s="89"/>
      <c r="V29" s="500"/>
      <c r="W29" s="90">
        <f t="shared" si="16"/>
        <v>0</v>
      </c>
      <c r="X29" s="500"/>
      <c r="Y29" s="500"/>
      <c r="Z29" s="54"/>
      <c r="AA29" s="54"/>
      <c r="AB29" s="673"/>
      <c r="AC29" s="673"/>
      <c r="AD29" s="500"/>
      <c r="AE29" s="500"/>
      <c r="AF29" s="48">
        <f t="shared" si="6"/>
        <v>0</v>
      </c>
      <c r="AG29" s="490"/>
      <c r="AH29" s="716"/>
    </row>
    <row r="30" spans="1:34" ht="19.2" customHeight="1">
      <c r="A30" s="671"/>
      <c r="B30" s="99">
        <v>0</v>
      </c>
      <c r="C30" s="100" t="s">
        <v>508</v>
      </c>
      <c r="D30" s="718" t="s">
        <v>455</v>
      </c>
      <c r="E30" s="718"/>
      <c r="F30" s="347"/>
      <c r="G30" s="101"/>
      <c r="H30" s="102"/>
      <c r="I30" s="103"/>
      <c r="J30" s="101">
        <v>16.666666666666668</v>
      </c>
      <c r="K30" s="101">
        <v>1905</v>
      </c>
      <c r="L30" s="104">
        <v>116.76198257080613</v>
      </c>
      <c r="M30" s="101">
        <f t="shared" ref="M30:O30" si="17">AVERAGE(M18:M29)</f>
        <v>16.666666666666668</v>
      </c>
      <c r="N30" s="101">
        <f t="shared" si="17"/>
        <v>1668.8051529796139</v>
      </c>
      <c r="O30" s="104">
        <f t="shared" si="17"/>
        <v>101.35335591014599</v>
      </c>
      <c r="P30" s="54">
        <f t="shared" ref="P30:P38" si="18">M30-J30</f>
        <v>0</v>
      </c>
      <c r="Q30" s="88">
        <f t="shared" ref="Q30:Q38" si="19">O30-L30</f>
        <v>-15.408626660660133</v>
      </c>
      <c r="R30" s="105">
        <f t="shared" ref="R30:R38" si="20">O30/L30</f>
        <v>0.86803387265785659</v>
      </c>
      <c r="S30" s="672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673"/>
      <c r="AC30" s="673"/>
      <c r="AD30" s="107">
        <f>SUM(AD18:AD29)</f>
        <v>0</v>
      </c>
      <c r="AE30" s="107">
        <f>SUM(AE18:AE29)</f>
        <v>1</v>
      </c>
      <c r="AF30" s="108">
        <f t="shared" si="6"/>
        <v>-236.19484702038608</v>
      </c>
      <c r="AG30" s="109">
        <f t="shared" ref="AG30" si="21">N30/K30</f>
        <v>0.87601320366383928</v>
      </c>
      <c r="AH30" s="717"/>
    </row>
    <row r="31" spans="1:34" ht="19.2" customHeight="1">
      <c r="A31" s="708" t="s">
        <v>509</v>
      </c>
      <c r="B31" s="110" t="s">
        <v>125</v>
      </c>
      <c r="C31" s="66"/>
      <c r="D31" s="42" t="s">
        <v>190</v>
      </c>
      <c r="E31" s="111"/>
      <c r="F31" s="348">
        <v>26.5</v>
      </c>
      <c r="G31" s="134">
        <v>1521.65</v>
      </c>
      <c r="H31" s="112">
        <f t="shared" ref="H31:H40" si="22">F31*G31</f>
        <v>40323.725000000006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1449.1904761904759</v>
      </c>
      <c r="O31" s="115">
        <f t="shared" ref="O31:O38" si="24">N31/M31</f>
        <v>120.765873015873</v>
      </c>
      <c r="P31" s="116">
        <f t="shared" si="18"/>
        <v>0</v>
      </c>
      <c r="Q31" s="117">
        <f t="shared" si="19"/>
        <v>-45.900793650793659</v>
      </c>
      <c r="R31" s="494">
        <f t="shared" si="20"/>
        <v>0.72459523809523807</v>
      </c>
      <c r="S31" s="709">
        <f>R43</f>
        <v>0.85116577355242229</v>
      </c>
      <c r="T31" s="118">
        <v>0.125</v>
      </c>
      <c r="U31" s="118">
        <v>0.16875000000000001</v>
      </c>
      <c r="V31" s="142">
        <v>5</v>
      </c>
      <c r="W31" s="119">
        <f t="shared" ref="W31:W42" si="25">(U31-T31)*24*60</f>
        <v>63.000000000000014</v>
      </c>
      <c r="X31" s="52"/>
      <c r="Y31" s="52"/>
      <c r="Z31" s="51"/>
      <c r="AA31" s="51"/>
      <c r="AB31" s="673"/>
      <c r="AC31" s="673"/>
      <c r="AD31" s="52"/>
      <c r="AE31" s="52"/>
      <c r="AF31" s="116">
        <f t="shared" si="6"/>
        <v>-550.80952380952408</v>
      </c>
      <c r="AG31" s="120">
        <f t="shared" si="7"/>
        <v>0.72459523809523796</v>
      </c>
      <c r="AH31" s="687">
        <f>AG43</f>
        <v>0.85050807472204892</v>
      </c>
    </row>
    <row r="32" spans="1:34" ht="19.2" customHeight="1">
      <c r="A32" s="701"/>
      <c r="B32" s="121" t="s">
        <v>126</v>
      </c>
      <c r="C32" s="122"/>
      <c r="D32" s="42" t="s">
        <v>61</v>
      </c>
      <c r="E32" s="43"/>
      <c r="F32" s="343">
        <v>35.33</v>
      </c>
      <c r="G32" s="134">
        <v>2103</v>
      </c>
      <c r="H32" s="84">
        <f t="shared" si="22"/>
        <v>74298.989999999991</v>
      </c>
      <c r="I32" s="48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1883.2835820895523</v>
      </c>
      <c r="O32" s="47">
        <f t="shared" si="24"/>
        <v>156.9402985074627</v>
      </c>
      <c r="P32" s="116">
        <f t="shared" si="18"/>
        <v>0</v>
      </c>
      <c r="Q32" s="49">
        <f t="shared" si="19"/>
        <v>-19.5597014925373</v>
      </c>
      <c r="R32" s="490">
        <f t="shared" si="20"/>
        <v>0.88918016151536938</v>
      </c>
      <c r="S32" s="672"/>
      <c r="T32" s="89">
        <v>0.17291666666666669</v>
      </c>
      <c r="U32" s="89">
        <v>0.21944444444444447</v>
      </c>
      <c r="V32" s="142">
        <v>6</v>
      </c>
      <c r="W32" s="90">
        <f t="shared" si="25"/>
        <v>67</v>
      </c>
      <c r="X32" s="123"/>
      <c r="Y32" s="123"/>
      <c r="Z32" s="124"/>
      <c r="AA32" s="124"/>
      <c r="AB32" s="673"/>
      <c r="AC32" s="673"/>
      <c r="AD32" s="500"/>
      <c r="AE32" s="500"/>
      <c r="AF32" s="48">
        <f t="shared" si="6"/>
        <v>-234.71641791044772</v>
      </c>
      <c r="AG32" s="490">
        <f t="shared" si="7"/>
        <v>0.88918016151536938</v>
      </c>
      <c r="AH32" s="688"/>
    </row>
    <row r="33" spans="1:34" ht="19.2" customHeight="1">
      <c r="A33" s="701"/>
      <c r="B33" s="121" t="s">
        <v>126</v>
      </c>
      <c r="C33" s="500"/>
      <c r="D33" s="42" t="s">
        <v>88</v>
      </c>
      <c r="E33" s="83"/>
      <c r="F33" s="343">
        <v>34.229999999999997</v>
      </c>
      <c r="G33" s="134">
        <v>3154</v>
      </c>
      <c r="H33" s="84">
        <f t="shared" si="22"/>
        <v>107961.41999999998</v>
      </c>
      <c r="I33" s="500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2056.95652173913</v>
      </c>
      <c r="O33" s="47">
        <f t="shared" si="24"/>
        <v>158.22742474916384</v>
      </c>
      <c r="P33" s="116">
        <f t="shared" si="18"/>
        <v>0</v>
      </c>
      <c r="Q33" s="49">
        <f t="shared" si="19"/>
        <v>-14.849498327759221</v>
      </c>
      <c r="R33" s="490">
        <f t="shared" si="20"/>
        <v>0.91420289855072445</v>
      </c>
      <c r="S33" s="672"/>
      <c r="T33" s="89">
        <v>0.23541666666666669</v>
      </c>
      <c r="U33" s="89">
        <v>0.2993055555555556</v>
      </c>
      <c r="V33" s="142">
        <v>23</v>
      </c>
      <c r="W33" s="90">
        <f t="shared" si="25"/>
        <v>92.000000000000028</v>
      </c>
      <c r="X33" s="123">
        <v>0.22361111111111109</v>
      </c>
      <c r="Y33" s="123">
        <v>0.23472222222222219</v>
      </c>
      <c r="Z33" s="124"/>
      <c r="AA33" s="124"/>
      <c r="AB33" s="673"/>
      <c r="AC33" s="673"/>
      <c r="AD33" s="500"/>
      <c r="AE33" s="500"/>
      <c r="AF33" s="48">
        <f t="shared" si="6"/>
        <v>-193.04347826086996</v>
      </c>
      <c r="AG33" s="125">
        <f t="shared" si="7"/>
        <v>0.91420289855072445</v>
      </c>
      <c r="AH33" s="688"/>
    </row>
    <row r="34" spans="1:34" ht="19.2" customHeight="1">
      <c r="A34" s="701"/>
      <c r="B34" s="121" t="s">
        <v>126</v>
      </c>
      <c r="C34" s="126"/>
      <c r="D34" s="147" t="s">
        <v>90</v>
      </c>
      <c r="E34" s="83"/>
      <c r="F34" s="343">
        <v>35.83</v>
      </c>
      <c r="G34" s="137">
        <v>1881.2</v>
      </c>
      <c r="H34" s="84">
        <f t="shared" si="22"/>
        <v>67403.395999999993</v>
      </c>
      <c r="I34" s="500"/>
      <c r="J34" s="113">
        <v>11</v>
      </c>
      <c r="K34" s="94">
        <v>2250</v>
      </c>
      <c r="L34" s="95">
        <v>204.54545454545453</v>
      </c>
      <c r="M34" s="149">
        <v>11</v>
      </c>
      <c r="N34" s="44">
        <f t="shared" si="23"/>
        <v>1980.2105263157912</v>
      </c>
      <c r="O34" s="47">
        <f t="shared" si="24"/>
        <v>180.019138755981</v>
      </c>
      <c r="P34" s="116">
        <f t="shared" si="18"/>
        <v>0</v>
      </c>
      <c r="Q34" s="49">
        <f t="shared" si="19"/>
        <v>-24.526315789473529</v>
      </c>
      <c r="R34" s="490">
        <f t="shared" si="20"/>
        <v>0.88009356725146271</v>
      </c>
      <c r="S34" s="672"/>
      <c r="T34" s="89">
        <v>0.3041666666666667</v>
      </c>
      <c r="U34" s="89">
        <v>0.34375</v>
      </c>
      <c r="V34" s="137">
        <v>7</v>
      </c>
      <c r="W34" s="90">
        <f t="shared" si="25"/>
        <v>56.999999999999957</v>
      </c>
      <c r="X34" s="123"/>
      <c r="Y34" s="123"/>
      <c r="Z34" s="124"/>
      <c r="AA34" s="124"/>
      <c r="AB34" s="673"/>
      <c r="AC34" s="673"/>
      <c r="AD34" s="500"/>
      <c r="AE34" s="500"/>
      <c r="AF34" s="48">
        <f t="shared" si="6"/>
        <v>-269.78947368420882</v>
      </c>
      <c r="AG34" s="125">
        <f t="shared" si="7"/>
        <v>0.88009356725146271</v>
      </c>
      <c r="AH34" s="688"/>
    </row>
    <row r="35" spans="1:34" ht="19.2" customHeight="1">
      <c r="A35" s="701"/>
      <c r="B35" s="121" t="s">
        <v>124</v>
      </c>
      <c r="C35" s="41"/>
      <c r="D35" s="150" t="s">
        <v>173</v>
      </c>
      <c r="E35" s="43"/>
      <c r="F35" s="343">
        <v>49.91</v>
      </c>
      <c r="G35" s="137">
        <v>3276.9</v>
      </c>
      <c r="H35" s="84">
        <f t="shared" si="22"/>
        <v>163550.079</v>
      </c>
      <c r="I35" s="486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1328.4729729729727</v>
      </c>
      <c r="O35" s="47">
        <f t="shared" si="24"/>
        <v>78.145468998410152</v>
      </c>
      <c r="P35" s="116">
        <f t="shared" si="18"/>
        <v>0</v>
      </c>
      <c r="Q35" s="49">
        <f t="shared" si="19"/>
        <v>-13.913354531001616</v>
      </c>
      <c r="R35" s="490">
        <f t="shared" si="20"/>
        <v>0.84886451947154795</v>
      </c>
      <c r="S35" s="672"/>
      <c r="T35" s="89">
        <v>0.35902777777777778</v>
      </c>
      <c r="U35" s="89">
        <v>0.46180555555555558</v>
      </c>
      <c r="V35" s="134">
        <v>22</v>
      </c>
      <c r="W35" s="90">
        <f t="shared" si="25"/>
        <v>148.00000000000003</v>
      </c>
      <c r="X35" s="123">
        <v>0.34861111111111115</v>
      </c>
      <c r="Y35" s="123">
        <v>0.35833333333333334</v>
      </c>
      <c r="Z35" s="124"/>
      <c r="AA35" s="124"/>
      <c r="AB35" s="673"/>
      <c r="AC35" s="673"/>
      <c r="AD35" s="500"/>
      <c r="AE35" s="500"/>
      <c r="AF35" s="116">
        <f t="shared" si="6"/>
        <v>-236.52702702702732</v>
      </c>
      <c r="AG35" s="120">
        <f t="shared" si="7"/>
        <v>0.84886451947154806</v>
      </c>
      <c r="AH35" s="689"/>
    </row>
    <row r="36" spans="1:34" ht="19.2" customHeight="1">
      <c r="A36" s="701"/>
      <c r="B36" s="121" t="s">
        <v>122</v>
      </c>
      <c r="C36" s="128"/>
      <c r="D36" s="150" t="s">
        <v>194</v>
      </c>
      <c r="E36" s="83"/>
      <c r="F36" s="343">
        <v>46.93</v>
      </c>
      <c r="G36" s="134">
        <v>1296</v>
      </c>
      <c r="H36" s="84">
        <f t="shared" si="22"/>
        <v>60821.279999999999</v>
      </c>
      <c r="I36" s="500"/>
      <c r="J36" s="113">
        <v>19</v>
      </c>
      <c r="K36" s="94">
        <v>2400</v>
      </c>
      <c r="L36" s="95">
        <v>126.31578947368421</v>
      </c>
      <c r="M36" s="149">
        <v>19</v>
      </c>
      <c r="N36" s="44">
        <f t="shared" si="23"/>
        <v>2046.3157894736828</v>
      </c>
      <c r="O36" s="47">
        <f t="shared" si="24"/>
        <v>107.70083102493068</v>
      </c>
      <c r="P36" s="116">
        <f t="shared" si="18"/>
        <v>0</v>
      </c>
      <c r="Q36" s="49">
        <f t="shared" si="19"/>
        <v>-18.614958448753526</v>
      </c>
      <c r="R36" s="490">
        <f t="shared" si="20"/>
        <v>0.85263157894736796</v>
      </c>
      <c r="S36" s="672"/>
      <c r="T36" s="89">
        <v>0.50208333333333333</v>
      </c>
      <c r="U36" s="89">
        <v>0.52847222222222223</v>
      </c>
      <c r="V36" s="134">
        <v>5</v>
      </c>
      <c r="W36" s="90">
        <f t="shared" si="25"/>
        <v>38.000000000000028</v>
      </c>
      <c r="X36" s="123"/>
      <c r="Y36" s="123"/>
      <c r="Z36" s="124"/>
      <c r="AA36" s="124"/>
      <c r="AB36" s="673"/>
      <c r="AC36" s="673"/>
      <c r="AD36" s="500"/>
      <c r="AE36" s="500"/>
      <c r="AF36" s="48">
        <f t="shared" si="6"/>
        <v>-353.6842105263172</v>
      </c>
      <c r="AG36" s="490">
        <f t="shared" si="7"/>
        <v>0.85263157894736785</v>
      </c>
      <c r="AH36" s="689"/>
    </row>
    <row r="37" spans="1:34" ht="19.2" customHeight="1">
      <c r="A37" s="701"/>
      <c r="B37" s="121" t="s">
        <v>122</v>
      </c>
      <c r="C37" s="128"/>
      <c r="D37" s="150" t="s">
        <v>201</v>
      </c>
      <c r="E37" s="83"/>
      <c r="F37" s="343">
        <v>43.96</v>
      </c>
      <c r="G37" s="134">
        <v>1620</v>
      </c>
      <c r="H37" s="84">
        <f t="shared" si="22"/>
        <v>71215.199999999997</v>
      </c>
      <c r="I37" s="500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2025.0000000000005</v>
      </c>
      <c r="O37" s="47">
        <f t="shared" si="24"/>
        <v>106.57894736842108</v>
      </c>
      <c r="P37" s="116">
        <f t="shared" si="18"/>
        <v>0</v>
      </c>
      <c r="Q37" s="49">
        <f t="shared" si="19"/>
        <v>-19.736842105263122</v>
      </c>
      <c r="R37" s="490">
        <f t="shared" si="20"/>
        <v>0.84375000000000033</v>
      </c>
      <c r="S37" s="672"/>
      <c r="T37" s="89">
        <v>0.53402777777777777</v>
      </c>
      <c r="U37" s="89">
        <v>0.56736111111111109</v>
      </c>
      <c r="V37" s="134">
        <v>8</v>
      </c>
      <c r="W37" s="90">
        <f t="shared" si="25"/>
        <v>47.999999999999986</v>
      </c>
      <c r="X37" s="123"/>
      <c r="Y37" s="123"/>
      <c r="Z37" s="124"/>
      <c r="AA37" s="124"/>
      <c r="AB37" s="673"/>
      <c r="AC37" s="673"/>
      <c r="AD37" s="500">
        <v>1</v>
      </c>
      <c r="AE37" s="500"/>
      <c r="AF37" s="48">
        <f t="shared" si="6"/>
        <v>-374.99999999999955</v>
      </c>
      <c r="AG37" s="125">
        <f t="shared" si="7"/>
        <v>0.84375000000000022</v>
      </c>
      <c r="AH37" s="689"/>
    </row>
    <row r="38" spans="1:34" ht="19.2" customHeight="1">
      <c r="A38" s="701"/>
      <c r="B38" s="121" t="s">
        <v>122</v>
      </c>
      <c r="C38" s="128"/>
      <c r="D38" s="150" t="s">
        <v>54</v>
      </c>
      <c r="E38" s="83"/>
      <c r="F38" s="343">
        <v>38.479999999999997</v>
      </c>
      <c r="G38" s="134">
        <v>2949.7999999999997</v>
      </c>
      <c r="H38" s="84">
        <f t="shared" si="22"/>
        <v>113508.30399999997</v>
      </c>
      <c r="I38" s="500"/>
      <c r="J38" s="46">
        <v>19</v>
      </c>
      <c r="K38" s="44">
        <v>2769</v>
      </c>
      <c r="L38" s="47">
        <v>145.73684210526315</v>
      </c>
      <c r="M38" s="149">
        <v>19</v>
      </c>
      <c r="N38" s="44">
        <f t="shared" si="23"/>
        <v>2328.7894736842086</v>
      </c>
      <c r="O38" s="47">
        <f t="shared" si="24"/>
        <v>122.56786703601098</v>
      </c>
      <c r="P38" s="116">
        <f t="shared" si="18"/>
        <v>0</v>
      </c>
      <c r="Q38" s="49">
        <f t="shared" si="19"/>
        <v>-23.16897506925217</v>
      </c>
      <c r="R38" s="490">
        <f t="shared" si="20"/>
        <v>0.84102183953925924</v>
      </c>
      <c r="S38" s="672"/>
      <c r="T38" s="151">
        <v>0.57222222222222219</v>
      </c>
      <c r="U38" s="151">
        <v>0.625</v>
      </c>
      <c r="V38" s="134">
        <v>7</v>
      </c>
      <c r="W38" s="90">
        <f t="shared" si="25"/>
        <v>76.000000000000057</v>
      </c>
      <c r="X38" s="123"/>
      <c r="Y38" s="123"/>
      <c r="Z38" s="124"/>
      <c r="AA38" s="124"/>
      <c r="AB38" s="673"/>
      <c r="AC38" s="673"/>
      <c r="AD38" s="500">
        <v>1</v>
      </c>
      <c r="AE38" s="500"/>
      <c r="AF38" s="48">
        <f t="shared" si="6"/>
        <v>-440.21052631579141</v>
      </c>
      <c r="AG38" s="125">
        <f t="shared" si="7"/>
        <v>0.84102183953925913</v>
      </c>
      <c r="AH38" s="689"/>
    </row>
    <row r="39" spans="1:34" ht="19.2" customHeight="1">
      <c r="A39" s="701"/>
      <c r="B39" s="121">
        <v>0</v>
      </c>
      <c r="C39" s="126"/>
      <c r="D39" s="42"/>
      <c r="E39" s="43"/>
      <c r="F39" s="343" t="s">
        <v>128</v>
      </c>
      <c r="G39" s="57"/>
      <c r="H39" s="84">
        <f t="shared" si="22"/>
        <v>0</v>
      </c>
      <c r="I39" s="500"/>
      <c r="J39" s="113"/>
      <c r="K39" s="94"/>
      <c r="L39" s="95"/>
      <c r="M39" s="489"/>
      <c r="N39" s="44"/>
      <c r="O39" s="47"/>
      <c r="P39" s="116"/>
      <c r="Q39" s="49"/>
      <c r="R39" s="490"/>
      <c r="S39" s="672"/>
      <c r="T39" s="89"/>
      <c r="U39" s="89"/>
      <c r="V39" s="500" t="s">
        <v>15</v>
      </c>
      <c r="W39" s="90">
        <f t="shared" si="25"/>
        <v>0</v>
      </c>
      <c r="X39" s="123"/>
      <c r="Y39" s="123"/>
      <c r="Z39" s="124"/>
      <c r="AA39" s="124"/>
      <c r="AB39" s="673"/>
      <c r="AC39" s="673"/>
      <c r="AD39" s="500"/>
      <c r="AE39" s="500"/>
      <c r="AF39" s="116">
        <f t="shared" si="6"/>
        <v>0</v>
      </c>
      <c r="AG39" s="120" t="e">
        <f t="shared" si="7"/>
        <v>#DIV/0!</v>
      </c>
      <c r="AH39" s="689"/>
    </row>
    <row r="40" spans="1:34" ht="19.2" customHeight="1">
      <c r="A40" s="701"/>
      <c r="B40" s="130">
        <v>0</v>
      </c>
      <c r="C40" s="97"/>
      <c r="D40" s="42"/>
      <c r="E40" s="43"/>
      <c r="F40" s="343" t="s">
        <v>128</v>
      </c>
      <c r="G40" s="44"/>
      <c r="H40" s="84">
        <f t="shared" si="22"/>
        <v>0</v>
      </c>
      <c r="I40" s="486"/>
      <c r="J40" s="46"/>
      <c r="K40" s="44"/>
      <c r="L40" s="47"/>
      <c r="M40" s="484" t="s">
        <v>15</v>
      </c>
      <c r="N40" s="44"/>
      <c r="O40" s="47"/>
      <c r="P40" s="116"/>
      <c r="Q40" s="49"/>
      <c r="R40" s="490"/>
      <c r="S40" s="672"/>
      <c r="T40" s="89"/>
      <c r="U40" s="89"/>
      <c r="V40" s="500"/>
      <c r="W40" s="90">
        <f t="shared" si="25"/>
        <v>0</v>
      </c>
      <c r="X40" s="123"/>
      <c r="Y40" s="123"/>
      <c r="Z40" s="124"/>
      <c r="AA40" s="124"/>
      <c r="AB40" s="673"/>
      <c r="AC40" s="673"/>
      <c r="AD40" s="500"/>
      <c r="AE40" s="500"/>
      <c r="AF40" s="48">
        <f t="shared" si="6"/>
        <v>0</v>
      </c>
      <c r="AG40" s="490" t="e">
        <f t="shared" si="7"/>
        <v>#DIV/0!</v>
      </c>
      <c r="AH40" s="689"/>
    </row>
    <row r="41" spans="1:34" ht="19.2" customHeight="1">
      <c r="A41" s="701"/>
      <c r="B41" s="500">
        <v>0</v>
      </c>
      <c r="C41" s="55"/>
      <c r="D41" s="82"/>
      <c r="E41" s="83"/>
      <c r="F41" s="343" t="s">
        <v>128</v>
      </c>
      <c r="G41" s="57"/>
      <c r="H41" s="84"/>
      <c r="I41" s="500"/>
      <c r="J41" s="87"/>
      <c r="K41" s="57"/>
      <c r="L41" s="86"/>
      <c r="M41" s="489"/>
      <c r="N41" s="57"/>
      <c r="O41" s="86"/>
      <c r="P41" s="54"/>
      <c r="Q41" s="88"/>
      <c r="R41" s="493"/>
      <c r="S41" s="672"/>
      <c r="T41" s="89"/>
      <c r="U41" s="89"/>
      <c r="V41" s="500"/>
      <c r="W41" s="90">
        <f t="shared" si="25"/>
        <v>0</v>
      </c>
      <c r="X41" s="123"/>
      <c r="Y41" s="123"/>
      <c r="Z41" s="124"/>
      <c r="AA41" s="124"/>
      <c r="AB41" s="673"/>
      <c r="AC41" s="673"/>
      <c r="AD41" s="500"/>
      <c r="AE41" s="500"/>
      <c r="AF41" s="48"/>
      <c r="AG41" s="129"/>
      <c r="AH41" s="689"/>
    </row>
    <row r="42" spans="1:34" ht="19.2" customHeight="1">
      <c r="A42" s="701"/>
      <c r="B42" s="500">
        <v>0</v>
      </c>
      <c r="C42" s="55"/>
      <c r="D42" s="82"/>
      <c r="E42" s="83"/>
      <c r="F42" s="349" t="s">
        <v>128</v>
      </c>
      <c r="G42" s="57"/>
      <c r="H42" s="84">
        <f>F42*G42</f>
        <v>0</v>
      </c>
      <c r="I42" s="500"/>
      <c r="J42" s="87"/>
      <c r="K42" s="57"/>
      <c r="L42" s="86"/>
      <c r="M42" s="489"/>
      <c r="N42" s="57"/>
      <c r="O42" s="86"/>
      <c r="P42" s="54"/>
      <c r="Q42" s="88"/>
      <c r="R42" s="493"/>
      <c r="S42" s="672"/>
      <c r="T42" s="89"/>
      <c r="U42" s="89"/>
      <c r="V42" s="500"/>
      <c r="W42" s="90">
        <f t="shared" si="25"/>
        <v>0</v>
      </c>
      <c r="X42" s="123"/>
      <c r="Y42" s="123"/>
      <c r="Z42" s="124"/>
      <c r="AA42" s="124"/>
      <c r="AB42" s="673"/>
      <c r="AC42" s="673"/>
      <c r="AD42" s="500"/>
      <c r="AE42" s="500"/>
      <c r="AF42" s="48"/>
      <c r="AG42" s="129"/>
      <c r="AH42" s="689"/>
    </row>
    <row r="43" spans="1:34" ht="19.2" customHeight="1">
      <c r="A43" s="701"/>
      <c r="B43" s="121">
        <v>0</v>
      </c>
      <c r="C43" s="100" t="s">
        <v>539</v>
      </c>
      <c r="D43" s="669" t="s">
        <v>455</v>
      </c>
      <c r="E43" s="669"/>
      <c r="F43" s="347"/>
      <c r="G43" s="101"/>
      <c r="H43" s="102"/>
      <c r="I43" s="103"/>
      <c r="J43" s="101">
        <v>15.25</v>
      </c>
      <c r="K43" s="101">
        <v>2219</v>
      </c>
      <c r="L43" s="104">
        <v>151.40203610888594</v>
      </c>
      <c r="M43" s="101">
        <f t="shared" ref="M43:O43" si="26">AVERAGE(M31:M42)</f>
        <v>15.25</v>
      </c>
      <c r="N43" s="101">
        <f t="shared" si="26"/>
        <v>1887.2774178082266</v>
      </c>
      <c r="O43" s="104">
        <f t="shared" si="26"/>
        <v>128.86823118203168</v>
      </c>
      <c r="P43" s="54">
        <f>M43-J43</f>
        <v>0</v>
      </c>
      <c r="Q43" s="88">
        <f>N43-K43</f>
        <v>-331.72258219177343</v>
      </c>
      <c r="R43" s="105">
        <f t="shared" ref="R43:R50" si="27">O43/L43</f>
        <v>0.85116577355242229</v>
      </c>
      <c r="S43" s="672"/>
      <c r="T43" s="89"/>
      <c r="U43" s="89"/>
      <c r="V43" s="500"/>
      <c r="W43" s="500"/>
      <c r="X43" s="123"/>
      <c r="Y43" s="123"/>
      <c r="Z43" s="132">
        <f>SUM(Z31:Z42)</f>
        <v>0</v>
      </c>
      <c r="AA43" s="132">
        <f>SUM(AA31:AA42)</f>
        <v>0</v>
      </c>
      <c r="AB43" s="673"/>
      <c r="AC43" s="673"/>
      <c r="AD43" s="107">
        <f>SUM(AD31:AD42)</f>
        <v>2</v>
      </c>
      <c r="AE43" s="107">
        <f>SUM(AE31:AE42)</f>
        <v>0</v>
      </c>
      <c r="AF43" s="48">
        <f t="shared" ref="AF43:AF54" si="28">N43-K43</f>
        <v>-331.72258219177343</v>
      </c>
      <c r="AG43" s="491">
        <f t="shared" si="7"/>
        <v>0.85050807472204892</v>
      </c>
      <c r="AH43" s="689"/>
    </row>
    <row r="44" spans="1:34" s="145" customFormat="1" ht="19.2" customHeight="1">
      <c r="A44" s="711" t="s">
        <v>540</v>
      </c>
      <c r="B44" s="97" t="s">
        <v>126</v>
      </c>
      <c r="C44" s="133"/>
      <c r="D44" s="164" t="s">
        <v>73</v>
      </c>
      <c r="E44" s="43"/>
      <c r="F44" s="350">
        <v>24.73</v>
      </c>
      <c r="G44" s="134">
        <v>1594</v>
      </c>
      <c r="H44" s="45">
        <f>F44*G44</f>
        <v>39419.620000000003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2125.3333333333335</v>
      </c>
      <c r="O44" s="138">
        <f t="shared" ref="O44:O50" si="30">N44/M44</f>
        <v>425.06666666666672</v>
      </c>
      <c r="P44" s="51">
        <f t="shared" ref="P44:P50" si="31">M44-J44</f>
        <v>1</v>
      </c>
      <c r="Q44" s="139">
        <f t="shared" ref="Q44:Q50" si="32">O44-L44</f>
        <v>-74.93333333333328</v>
      </c>
      <c r="R44" s="140">
        <f t="shared" si="27"/>
        <v>0.85013333333333341</v>
      </c>
      <c r="S44" s="688">
        <f>R56</f>
        <v>0.90235616804707652</v>
      </c>
      <c r="T44" s="118">
        <v>0.125</v>
      </c>
      <c r="U44" s="118">
        <v>0.15625</v>
      </c>
      <c r="V44" s="142">
        <v>5</v>
      </c>
      <c r="W44" s="143">
        <f t="shared" ref="W44:W56" si="33">(U44-T44)*24*60</f>
        <v>45</v>
      </c>
      <c r="X44" s="123"/>
      <c r="Y44" s="123"/>
      <c r="Z44" s="124"/>
      <c r="AA44" s="124"/>
      <c r="AB44" s="673"/>
      <c r="AC44" s="673"/>
      <c r="AD44" s="500"/>
      <c r="AE44" s="500"/>
      <c r="AF44" s="144">
        <f t="shared" si="28"/>
        <v>125.33333333333348</v>
      </c>
      <c r="AG44" s="495">
        <f t="shared" si="7"/>
        <v>1.0626666666666666</v>
      </c>
      <c r="AH44" s="705">
        <f>AG56</f>
        <v>0.98735262023669035</v>
      </c>
    </row>
    <row r="45" spans="1:34" s="145" customFormat="1" ht="19.2" customHeight="1">
      <c r="A45" s="712"/>
      <c r="B45" s="97" t="s">
        <v>126</v>
      </c>
      <c r="C45" s="133"/>
      <c r="D45" s="42" t="s">
        <v>74</v>
      </c>
      <c r="E45" s="43"/>
      <c r="F45" s="350">
        <v>24.73</v>
      </c>
      <c r="G45" s="134">
        <v>1548</v>
      </c>
      <c r="H45" s="45">
        <f>F45*G45</f>
        <v>38282.04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2110.909090909091</v>
      </c>
      <c r="O45" s="138">
        <f t="shared" si="30"/>
        <v>422.18181818181819</v>
      </c>
      <c r="P45" s="51">
        <f t="shared" si="31"/>
        <v>1</v>
      </c>
      <c r="Q45" s="139">
        <f t="shared" si="32"/>
        <v>-77.818181818181813</v>
      </c>
      <c r="R45" s="140">
        <f t="shared" si="27"/>
        <v>0.84436363636363643</v>
      </c>
      <c r="S45" s="688"/>
      <c r="T45" s="89">
        <v>0.15972222222222221</v>
      </c>
      <c r="U45" s="89">
        <v>0.19027777777777777</v>
      </c>
      <c r="V45" s="142">
        <v>5</v>
      </c>
      <c r="W45" s="143">
        <f t="shared" si="33"/>
        <v>44</v>
      </c>
      <c r="X45" s="123"/>
      <c r="Y45" s="123"/>
      <c r="Z45" s="124"/>
      <c r="AA45" s="124"/>
      <c r="AB45" s="673"/>
      <c r="AC45" s="673"/>
      <c r="AD45" s="500"/>
      <c r="AE45" s="500"/>
      <c r="AF45" s="144">
        <f t="shared" si="28"/>
        <v>110.90909090909099</v>
      </c>
      <c r="AG45" s="495">
        <f t="shared" si="7"/>
        <v>1.0554545454545454</v>
      </c>
      <c r="AH45" s="705"/>
    </row>
    <row r="46" spans="1:34" s="145" customFormat="1" ht="19.2" customHeight="1">
      <c r="A46" s="712"/>
      <c r="B46" s="97" t="s">
        <v>125</v>
      </c>
      <c r="C46" s="133"/>
      <c r="D46" s="42" t="s">
        <v>65</v>
      </c>
      <c r="E46" s="43"/>
      <c r="F46" s="350">
        <v>31.43</v>
      </c>
      <c r="G46" s="134">
        <v>1671</v>
      </c>
      <c r="H46" s="45">
        <f t="shared" ref="H46:H51" si="34">F46*G46</f>
        <v>52519.53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1453.0434782608695</v>
      </c>
      <c r="O46" s="138">
        <f t="shared" si="30"/>
        <v>207.57763975155279</v>
      </c>
      <c r="P46" s="51">
        <f t="shared" si="31"/>
        <v>0</v>
      </c>
      <c r="Q46" s="139">
        <f t="shared" si="32"/>
        <v>-6.7080745341614829</v>
      </c>
      <c r="R46" s="140">
        <f t="shared" si="27"/>
        <v>0.96869565217391307</v>
      </c>
      <c r="S46" s="688"/>
      <c r="T46" s="89">
        <v>0.20069444444444443</v>
      </c>
      <c r="U46" s="89">
        <v>0.24861111111111109</v>
      </c>
      <c r="V46" s="142">
        <v>15</v>
      </c>
      <c r="W46" s="143">
        <f t="shared" si="33"/>
        <v>69</v>
      </c>
      <c r="X46" s="123"/>
      <c r="Y46" s="123"/>
      <c r="Z46" s="124"/>
      <c r="AA46" s="124"/>
      <c r="AB46" s="673"/>
      <c r="AC46" s="673"/>
      <c r="AD46" s="500"/>
      <c r="AE46" s="500"/>
      <c r="AF46" s="144">
        <f t="shared" si="28"/>
        <v>-46.956521739130494</v>
      </c>
      <c r="AG46" s="495">
        <f t="shared" si="7"/>
        <v>0.96869565217391296</v>
      </c>
      <c r="AH46" s="705"/>
    </row>
    <row r="47" spans="1:34" s="145" customFormat="1" ht="19.2" customHeight="1">
      <c r="A47" s="712"/>
      <c r="B47" s="97" t="s">
        <v>125</v>
      </c>
      <c r="C47" s="133"/>
      <c r="D47" s="42" t="s">
        <v>202</v>
      </c>
      <c r="E47" s="148"/>
      <c r="F47" s="350">
        <v>28.47</v>
      </c>
      <c r="G47" s="137">
        <v>1352</v>
      </c>
      <c r="H47" s="45">
        <f t="shared" si="34"/>
        <v>38491.439999999995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1474.9090909090917</v>
      </c>
      <c r="O47" s="138">
        <f t="shared" si="30"/>
        <v>210.70129870129881</v>
      </c>
      <c r="P47" s="51">
        <f t="shared" si="31"/>
        <v>0</v>
      </c>
      <c r="Q47" s="139">
        <f t="shared" si="32"/>
        <v>-3.584415584415467</v>
      </c>
      <c r="R47" s="140">
        <f t="shared" si="27"/>
        <v>0.98327272727272785</v>
      </c>
      <c r="S47" s="688"/>
      <c r="T47" s="89">
        <v>0.25902777777777775</v>
      </c>
      <c r="U47" s="89">
        <v>0.29722222222222217</v>
      </c>
      <c r="V47" s="137">
        <v>15</v>
      </c>
      <c r="W47" s="143">
        <f t="shared" si="33"/>
        <v>54.999999999999964</v>
      </c>
      <c r="X47" s="123"/>
      <c r="Y47" s="123"/>
      <c r="Z47" s="124"/>
      <c r="AA47" s="124"/>
      <c r="AB47" s="673"/>
      <c r="AC47" s="673"/>
      <c r="AD47" s="500"/>
      <c r="AE47" s="500"/>
      <c r="AF47" s="144">
        <f t="shared" si="28"/>
        <v>-25.090909090908326</v>
      </c>
      <c r="AG47" s="495">
        <f t="shared" si="7"/>
        <v>0.98327272727272774</v>
      </c>
      <c r="AH47" s="705"/>
    </row>
    <row r="48" spans="1:34" s="145" customFormat="1" ht="19.2" customHeight="1">
      <c r="A48" s="712"/>
      <c r="B48" s="97" t="s">
        <v>125</v>
      </c>
      <c r="C48" s="133"/>
      <c r="D48" s="42" t="s">
        <v>172</v>
      </c>
      <c r="E48" s="148"/>
      <c r="F48" s="350">
        <v>11.86</v>
      </c>
      <c r="G48" s="137">
        <v>1298</v>
      </c>
      <c r="H48" s="45">
        <f t="shared" si="34"/>
        <v>15394.279999999999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1442.2222222222229</v>
      </c>
      <c r="O48" s="138">
        <f t="shared" si="30"/>
        <v>240.37037037037047</v>
      </c>
      <c r="P48" s="51">
        <f t="shared" si="31"/>
        <v>0</v>
      </c>
      <c r="Q48" s="139">
        <f t="shared" si="32"/>
        <v>-32.296296296296219</v>
      </c>
      <c r="R48" s="140">
        <f t="shared" si="27"/>
        <v>0.88155392556370582</v>
      </c>
      <c r="S48" s="688"/>
      <c r="T48" s="89">
        <v>0.30763888888888885</v>
      </c>
      <c r="U48" s="89">
        <v>0.34513888888888883</v>
      </c>
      <c r="V48" s="134">
        <v>15</v>
      </c>
      <c r="W48" s="143">
        <f t="shared" si="33"/>
        <v>53.999999999999972</v>
      </c>
      <c r="X48" s="123"/>
      <c r="Y48" s="123"/>
      <c r="Z48" s="124"/>
      <c r="AA48" s="124"/>
      <c r="AB48" s="673"/>
      <c r="AC48" s="673"/>
      <c r="AD48" s="500"/>
      <c r="AE48" s="500"/>
      <c r="AF48" s="144">
        <f t="shared" si="28"/>
        <v>-193.77777777777715</v>
      </c>
      <c r="AG48" s="495">
        <f t="shared" si="7"/>
        <v>0.88155392556370593</v>
      </c>
      <c r="AH48" s="705"/>
    </row>
    <row r="49" spans="1:34" s="145" customFormat="1" ht="19.2" customHeight="1">
      <c r="A49" s="712"/>
      <c r="B49" s="97" t="s">
        <v>127</v>
      </c>
      <c r="C49" s="133"/>
      <c r="D49" s="42" t="s">
        <v>64</v>
      </c>
      <c r="E49" s="148"/>
      <c r="F49" s="350">
        <v>10.09</v>
      </c>
      <c r="G49" s="134">
        <v>2752.36</v>
      </c>
      <c r="H49" s="45">
        <f t="shared" si="34"/>
        <v>27771.312400000003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1436.0139130434784</v>
      </c>
      <c r="O49" s="138">
        <f t="shared" si="30"/>
        <v>239.33565217391308</v>
      </c>
      <c r="P49" s="51">
        <f t="shared" si="31"/>
        <v>0</v>
      </c>
      <c r="Q49" s="139">
        <f t="shared" si="32"/>
        <v>-10.664347826086924</v>
      </c>
      <c r="R49" s="140">
        <f t="shared" si="27"/>
        <v>0.95734260869565235</v>
      </c>
      <c r="S49" s="688"/>
      <c r="T49" s="89">
        <v>0.36249999999999993</v>
      </c>
      <c r="U49" s="89">
        <v>0.44236111111111104</v>
      </c>
      <c r="V49" s="134">
        <v>25</v>
      </c>
      <c r="W49" s="143">
        <f t="shared" si="33"/>
        <v>114.99999999999999</v>
      </c>
      <c r="X49" s="152">
        <v>0.35069444444444442</v>
      </c>
      <c r="Y49" s="152">
        <v>0.3611111111111111</v>
      </c>
      <c r="Z49" s="153"/>
      <c r="AA49" s="124"/>
      <c r="AB49" s="673"/>
      <c r="AC49" s="673"/>
      <c r="AD49" s="500"/>
      <c r="AE49" s="500"/>
      <c r="AF49" s="144">
        <f t="shared" si="28"/>
        <v>-63.986086956521603</v>
      </c>
      <c r="AG49" s="495">
        <f t="shared" si="7"/>
        <v>0.95734260869565224</v>
      </c>
      <c r="AH49" s="705"/>
    </row>
    <row r="50" spans="1:34" s="145" customFormat="1" ht="19.2" customHeight="1">
      <c r="A50" s="712"/>
      <c r="B50" s="97" t="s">
        <v>127</v>
      </c>
      <c r="C50" s="133"/>
      <c r="D50" s="42" t="s">
        <v>64</v>
      </c>
      <c r="E50" s="148"/>
      <c r="F50" s="350">
        <v>10.09</v>
      </c>
      <c r="G50" s="134">
        <v>2434.7800000000002</v>
      </c>
      <c r="H50" s="45">
        <f t="shared" si="34"/>
        <v>24566.930200000003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1446.4039603960402</v>
      </c>
      <c r="O50" s="138">
        <f t="shared" si="30"/>
        <v>241.06732673267337</v>
      </c>
      <c r="P50" s="51">
        <f t="shared" si="31"/>
        <v>0</v>
      </c>
      <c r="Q50" s="139">
        <f t="shared" si="32"/>
        <v>-8.9326732673266349</v>
      </c>
      <c r="R50" s="140">
        <f t="shared" si="27"/>
        <v>0.96426930693069346</v>
      </c>
      <c r="S50" s="688"/>
      <c r="T50" s="89">
        <v>0.45972222222222214</v>
      </c>
      <c r="U50" s="89">
        <v>0.52986111111111101</v>
      </c>
      <c r="V50" s="134">
        <v>25</v>
      </c>
      <c r="W50" s="143">
        <f t="shared" si="33"/>
        <v>100.99999999999996</v>
      </c>
      <c r="X50" s="152">
        <v>0.44791666666666669</v>
      </c>
      <c r="Y50" s="152">
        <v>0.45833333333333331</v>
      </c>
      <c r="Z50" s="153"/>
      <c r="AA50" s="153"/>
      <c r="AB50" s="673"/>
      <c r="AC50" s="673"/>
      <c r="AD50" s="500"/>
      <c r="AE50" s="500">
        <v>1</v>
      </c>
      <c r="AF50" s="144">
        <f t="shared" si="28"/>
        <v>-53.596039603959753</v>
      </c>
      <c r="AG50" s="495">
        <f t="shared" si="7"/>
        <v>0.96426930693069346</v>
      </c>
      <c r="AH50" s="705"/>
    </row>
    <row r="51" spans="1:34" s="145" customFormat="1" ht="19.2" customHeight="1">
      <c r="A51" s="712"/>
      <c r="B51" s="97">
        <v>0</v>
      </c>
      <c r="C51" s="133"/>
      <c r="D51" s="150"/>
      <c r="E51" s="148"/>
      <c r="F51" s="350" t="s">
        <v>128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688"/>
      <c r="T51" s="151"/>
      <c r="U51" s="151"/>
      <c r="V51" s="134" t="s">
        <v>15</v>
      </c>
      <c r="W51" s="143">
        <f t="shared" si="33"/>
        <v>0</v>
      </c>
      <c r="X51" s="152"/>
      <c r="Y51" s="152"/>
      <c r="Z51" s="153"/>
      <c r="AA51" s="153"/>
      <c r="AB51" s="673"/>
      <c r="AC51" s="673"/>
      <c r="AD51" s="500"/>
      <c r="AE51" s="500"/>
      <c r="AF51" s="144">
        <f t="shared" si="28"/>
        <v>0</v>
      </c>
      <c r="AG51" s="495" t="e">
        <f t="shared" si="7"/>
        <v>#DIV/0!</v>
      </c>
      <c r="AH51" s="705"/>
    </row>
    <row r="52" spans="1:34" s="145" customFormat="1" ht="19.2" customHeight="1">
      <c r="A52" s="712"/>
      <c r="B52" s="97">
        <v>0</v>
      </c>
      <c r="C52" s="133"/>
      <c r="D52" s="150"/>
      <c r="E52" s="148"/>
      <c r="F52" s="350" t="s">
        <v>128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688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673"/>
      <c r="AC52" s="673"/>
      <c r="AD52" s="500"/>
      <c r="AE52" s="500"/>
      <c r="AF52" s="144">
        <f t="shared" si="28"/>
        <v>0</v>
      </c>
      <c r="AG52" s="495" t="e">
        <f t="shared" si="7"/>
        <v>#DIV/0!</v>
      </c>
      <c r="AH52" s="705"/>
    </row>
    <row r="53" spans="1:34" s="145" customFormat="1" ht="19.2" customHeight="1">
      <c r="A53" s="712"/>
      <c r="B53" s="97">
        <v>0</v>
      </c>
      <c r="C53" s="133"/>
      <c r="D53" s="150"/>
      <c r="E53" s="148"/>
      <c r="F53" s="350" t="s">
        <v>128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93"/>
      <c r="S53" s="688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673"/>
      <c r="AC53" s="673"/>
      <c r="AD53" s="500"/>
      <c r="AE53" s="500"/>
      <c r="AF53" s="144">
        <f t="shared" si="28"/>
        <v>0</v>
      </c>
      <c r="AG53" s="495" t="e">
        <f t="shared" si="7"/>
        <v>#DIV/0!</v>
      </c>
      <c r="AH53" s="705"/>
    </row>
    <row r="54" spans="1:34" s="145" customFormat="1" ht="19.2" customHeight="1">
      <c r="A54" s="712"/>
      <c r="B54" s="156">
        <v>0</v>
      </c>
      <c r="C54" s="133"/>
      <c r="D54" s="150"/>
      <c r="E54" s="148"/>
      <c r="F54" s="351" t="s">
        <v>128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93"/>
      <c r="S54" s="688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673"/>
      <c r="AC54" s="673"/>
      <c r="AD54" s="500"/>
      <c r="AE54" s="500"/>
      <c r="AF54" s="144">
        <f t="shared" si="28"/>
        <v>0</v>
      </c>
      <c r="AG54" s="495" t="e">
        <f t="shared" si="7"/>
        <v>#DIV/0!</v>
      </c>
      <c r="AH54" s="705"/>
    </row>
    <row r="55" spans="1:34" s="145" customFormat="1" ht="19.2" customHeight="1">
      <c r="A55" s="712"/>
      <c r="B55" s="156">
        <v>0</v>
      </c>
      <c r="C55" s="133"/>
      <c r="D55" s="150"/>
      <c r="E55" s="148"/>
      <c r="F55" s="351" t="s">
        <v>128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93"/>
      <c r="S55" s="688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673"/>
      <c r="AC55" s="673"/>
      <c r="AD55" s="500"/>
      <c r="AE55" s="500"/>
      <c r="AF55" s="144"/>
      <c r="AG55" s="495"/>
      <c r="AH55" s="705"/>
    </row>
    <row r="56" spans="1:34" ht="19.2" customHeight="1">
      <c r="A56" s="713"/>
      <c r="B56" s="157">
        <v>0</v>
      </c>
      <c r="C56" s="268" t="s">
        <v>541</v>
      </c>
      <c r="D56" s="710" t="s">
        <v>455</v>
      </c>
      <c r="E56" s="669"/>
      <c r="F56" s="34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1641.2621555820183</v>
      </c>
      <c r="O56" s="104">
        <f t="shared" si="35"/>
        <v>283.75725322547049</v>
      </c>
      <c r="P56" s="158">
        <f>M56-J56</f>
        <v>0.28571428571428559</v>
      </c>
      <c r="Q56" s="117">
        <f>N56-K56</f>
        <v>-21.023558703695926</v>
      </c>
      <c r="R56" s="159">
        <f t="shared" ref="R56:R61" si="36">O56/L56</f>
        <v>0.90235616804707652</v>
      </c>
      <c r="S56" s="688"/>
      <c r="T56" s="160"/>
      <c r="U56" s="160"/>
      <c r="V56" s="488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673"/>
      <c r="AC56" s="673"/>
      <c r="AD56" s="107">
        <f>SUM(AD44:AD55)</f>
        <v>0</v>
      </c>
      <c r="AE56" s="107">
        <f>SUM(AE44:AE55)</f>
        <v>1</v>
      </c>
      <c r="AF56" s="162">
        <f>N56-K56</f>
        <v>-21.023558703695926</v>
      </c>
      <c r="AG56" s="493">
        <f>N56/K56</f>
        <v>0.98735262023669035</v>
      </c>
      <c r="AH56" s="705"/>
    </row>
    <row r="57" spans="1:34" ht="19.2" customHeight="1">
      <c r="A57" s="700" t="s">
        <v>542</v>
      </c>
      <c r="B57" s="121" t="s">
        <v>125</v>
      </c>
      <c r="C57" s="121"/>
      <c r="D57" s="42" t="s">
        <v>66</v>
      </c>
      <c r="E57" s="43"/>
      <c r="F57" s="343">
        <v>28.26</v>
      </c>
      <c r="G57" s="57">
        <v>1148</v>
      </c>
      <c r="H57" s="84">
        <f t="shared" ref="H57:H66" si="37">F57*G57</f>
        <v>32442.480000000003</v>
      </c>
      <c r="I57" s="500"/>
      <c r="J57" s="87">
        <v>7</v>
      </c>
      <c r="K57" s="57">
        <v>1500</v>
      </c>
      <c r="L57" s="86">
        <v>214.28571428571428</v>
      </c>
      <c r="M57" s="489">
        <v>7</v>
      </c>
      <c r="N57" s="57">
        <f t="shared" ref="N57:N61" si="38">G57/W57*60</f>
        <v>1465.5319148936173</v>
      </c>
      <c r="O57" s="86">
        <f t="shared" ref="O57:O61" si="39">N57/M57</f>
        <v>209.36170212765961</v>
      </c>
      <c r="P57" s="165">
        <f t="shared" ref="P57:P61" si="40">M57-J57</f>
        <v>0</v>
      </c>
      <c r="Q57" s="49">
        <f t="shared" ref="Q57:Q61" si="41">O57-L57</f>
        <v>-4.9240121580546656</v>
      </c>
      <c r="R57" s="490">
        <f t="shared" si="36"/>
        <v>0.97702127659574489</v>
      </c>
      <c r="S57" s="688">
        <f>R69</f>
        <v>0.97199314296797512</v>
      </c>
      <c r="T57" s="50">
        <v>0.125</v>
      </c>
      <c r="U57" s="50">
        <v>0.15763888888888888</v>
      </c>
      <c r="V57" s="486">
        <v>5</v>
      </c>
      <c r="W57" s="483">
        <f>(U57-T57)*24*60</f>
        <v>46.999999999999993</v>
      </c>
      <c r="X57" s="53"/>
      <c r="Y57" s="53"/>
      <c r="Z57" s="54"/>
      <c r="AA57" s="54"/>
      <c r="AB57" s="673"/>
      <c r="AC57" s="673"/>
      <c r="AD57" s="500"/>
      <c r="AE57" s="500"/>
      <c r="AF57" s="48">
        <f t="shared" si="6"/>
        <v>-34.468085106382659</v>
      </c>
      <c r="AG57" s="494">
        <f t="shared" si="7"/>
        <v>0.97702127659574489</v>
      </c>
      <c r="AH57" s="687">
        <f>AG69</f>
        <v>0.97223431940797111</v>
      </c>
    </row>
    <row r="58" spans="1:34" ht="19.2" customHeight="1">
      <c r="A58" s="701"/>
      <c r="B58" s="121" t="s">
        <v>125</v>
      </c>
      <c r="C58" s="500"/>
      <c r="D58" s="42" t="s">
        <v>67</v>
      </c>
      <c r="E58" s="43"/>
      <c r="F58" s="343">
        <v>27.88</v>
      </c>
      <c r="G58" s="44">
        <v>3125</v>
      </c>
      <c r="H58" s="45">
        <f t="shared" si="37"/>
        <v>87125</v>
      </c>
      <c r="I58" s="486"/>
      <c r="J58" s="46">
        <v>7</v>
      </c>
      <c r="K58" s="44">
        <v>1500</v>
      </c>
      <c r="L58" s="86">
        <v>214.28571428571428</v>
      </c>
      <c r="M58" s="484">
        <v>7</v>
      </c>
      <c r="N58" s="44">
        <f t="shared" si="38"/>
        <v>1453.4883720930236</v>
      </c>
      <c r="O58" s="47">
        <f t="shared" si="39"/>
        <v>207.64119601328909</v>
      </c>
      <c r="P58" s="165">
        <f t="shared" si="40"/>
        <v>0</v>
      </c>
      <c r="Q58" s="49">
        <f t="shared" si="41"/>
        <v>-6.6445182724251879</v>
      </c>
      <c r="R58" s="490">
        <f t="shared" si="36"/>
        <v>0.96899224806201578</v>
      </c>
      <c r="S58" s="688"/>
      <c r="T58" s="50">
        <v>0.16458333333333333</v>
      </c>
      <c r="U58" s="50">
        <v>0.25416666666666665</v>
      </c>
      <c r="V58" s="486">
        <v>10</v>
      </c>
      <c r="W58" s="483">
        <f>(U58-T58)*24*60</f>
        <v>128.99999999999997</v>
      </c>
      <c r="X58" s="53"/>
      <c r="Y58" s="53"/>
      <c r="Z58" s="54"/>
      <c r="AA58" s="54"/>
      <c r="AB58" s="706"/>
      <c r="AC58" s="707"/>
      <c r="AD58" s="500"/>
      <c r="AE58" s="500"/>
      <c r="AF58" s="48">
        <f t="shared" si="6"/>
        <v>-46.5116279069764</v>
      </c>
      <c r="AG58" s="490">
        <f t="shared" si="7"/>
        <v>0.96899224806201578</v>
      </c>
      <c r="AH58" s="688"/>
    </row>
    <row r="59" spans="1:34" ht="19.2" customHeight="1">
      <c r="A59" s="701"/>
      <c r="B59" s="121" t="s">
        <v>125</v>
      </c>
      <c r="C59" s="500"/>
      <c r="D59" s="42" t="s">
        <v>68</v>
      </c>
      <c r="E59" s="43"/>
      <c r="F59" s="343">
        <v>28</v>
      </c>
      <c r="G59" s="44">
        <v>2764</v>
      </c>
      <c r="H59" s="45">
        <f t="shared" si="37"/>
        <v>77392</v>
      </c>
      <c r="I59" s="486"/>
      <c r="J59" s="46">
        <v>7</v>
      </c>
      <c r="K59" s="44">
        <v>1500</v>
      </c>
      <c r="L59" s="86">
        <v>214.28571428571428</v>
      </c>
      <c r="M59" s="484">
        <v>7</v>
      </c>
      <c r="N59" s="44">
        <f t="shared" si="38"/>
        <v>1467.6106194690267</v>
      </c>
      <c r="O59" s="47">
        <f t="shared" si="39"/>
        <v>209.65865992414666</v>
      </c>
      <c r="P59" s="165">
        <f t="shared" si="40"/>
        <v>0</v>
      </c>
      <c r="Q59" s="49">
        <f t="shared" si="41"/>
        <v>-4.6270543615676161</v>
      </c>
      <c r="R59" s="490">
        <f t="shared" si="36"/>
        <v>0.97840707964601781</v>
      </c>
      <c r="S59" s="688"/>
      <c r="T59" s="50">
        <v>0.26458333333333334</v>
      </c>
      <c r="U59" s="50">
        <v>0.34305555555555556</v>
      </c>
      <c r="V59" s="142">
        <v>15</v>
      </c>
      <c r="W59" s="483">
        <f t="shared" ref="W59:W69" si="42">(U59-T59)*24*60</f>
        <v>113</v>
      </c>
      <c r="X59" s="53"/>
      <c r="Y59" s="53"/>
      <c r="Z59" s="54"/>
      <c r="AA59" s="54"/>
      <c r="AB59" s="673"/>
      <c r="AC59" s="673"/>
      <c r="AD59" s="500"/>
      <c r="AE59" s="500"/>
      <c r="AF59" s="48">
        <f t="shared" si="6"/>
        <v>-32.389380530973312</v>
      </c>
      <c r="AG59" s="490">
        <f t="shared" si="7"/>
        <v>0.97840707964601781</v>
      </c>
      <c r="AH59" s="688"/>
    </row>
    <row r="60" spans="1:34" ht="19.2" customHeight="1">
      <c r="A60" s="701"/>
      <c r="B60" s="121" t="s">
        <v>127</v>
      </c>
      <c r="C60" s="500"/>
      <c r="D60" s="42" t="s">
        <v>64</v>
      </c>
      <c r="E60" s="43"/>
      <c r="F60" s="343">
        <v>10.09</v>
      </c>
      <c r="G60" s="44">
        <v>2540.64</v>
      </c>
      <c r="H60" s="45">
        <f t="shared" si="37"/>
        <v>25635.0576</v>
      </c>
      <c r="I60" s="486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1451.7942857142853</v>
      </c>
      <c r="O60" s="47">
        <f t="shared" si="39"/>
        <v>241.9657142857142</v>
      </c>
      <c r="P60" s="165">
        <f t="shared" si="40"/>
        <v>0</v>
      </c>
      <c r="Q60" s="49">
        <f t="shared" si="41"/>
        <v>-8.0342857142858009</v>
      </c>
      <c r="R60" s="490">
        <f t="shared" si="36"/>
        <v>0.9678628571428568</v>
      </c>
      <c r="S60" s="688"/>
      <c r="T60" s="50">
        <v>0.36041666666666666</v>
      </c>
      <c r="U60" s="50">
        <v>0.43333333333333335</v>
      </c>
      <c r="V60" s="142">
        <v>25</v>
      </c>
      <c r="W60" s="483">
        <f t="shared" si="42"/>
        <v>105.00000000000003</v>
      </c>
      <c r="X60" s="53">
        <v>0.34722222222222227</v>
      </c>
      <c r="Y60" s="53">
        <v>0.35972222222222222</v>
      </c>
      <c r="Z60" s="54"/>
      <c r="AA60" s="54"/>
      <c r="AB60" s="673"/>
      <c r="AC60" s="673"/>
      <c r="AD60" s="500"/>
      <c r="AE60" s="500"/>
      <c r="AF60" s="48">
        <f t="shared" si="6"/>
        <v>-48.205714285714748</v>
      </c>
      <c r="AG60" s="494">
        <f t="shared" si="7"/>
        <v>0.9678628571428568</v>
      </c>
      <c r="AH60" s="688"/>
    </row>
    <row r="61" spans="1:34" ht="19.2" customHeight="1">
      <c r="A61" s="701"/>
      <c r="B61" s="121" t="s">
        <v>127</v>
      </c>
      <c r="C61" s="500"/>
      <c r="D61" s="42" t="s">
        <v>64</v>
      </c>
      <c r="E61" s="43"/>
      <c r="F61" s="343">
        <v>10.09</v>
      </c>
      <c r="G61" s="44">
        <v>2858.2200000000003</v>
      </c>
      <c r="H61" s="45">
        <f t="shared" si="37"/>
        <v>28839.439800000004</v>
      </c>
      <c r="I61" s="486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1453.332203389831</v>
      </c>
      <c r="O61" s="47">
        <f t="shared" si="39"/>
        <v>242.22203389830517</v>
      </c>
      <c r="P61" s="165">
        <f t="shared" si="40"/>
        <v>0</v>
      </c>
      <c r="Q61" s="49">
        <f t="shared" si="41"/>
        <v>-7.7779661016948296</v>
      </c>
      <c r="R61" s="490">
        <f t="shared" si="36"/>
        <v>0.96888813559322073</v>
      </c>
      <c r="S61" s="688"/>
      <c r="T61" s="50">
        <v>0.45069444444444445</v>
      </c>
      <c r="U61" s="50">
        <v>0.53263888888888888</v>
      </c>
      <c r="V61" s="142">
        <v>25</v>
      </c>
      <c r="W61" s="483">
        <f t="shared" si="42"/>
        <v>117.99999999999999</v>
      </c>
      <c r="X61" s="53">
        <v>0.4375</v>
      </c>
      <c r="Y61" s="53">
        <v>0.45</v>
      </c>
      <c r="Z61" s="54"/>
      <c r="AA61" s="54"/>
      <c r="AB61" s="673"/>
      <c r="AC61" s="673"/>
      <c r="AD61" s="500"/>
      <c r="AE61" s="500"/>
      <c r="AF61" s="48">
        <f t="shared" si="6"/>
        <v>-46.667796610169034</v>
      </c>
      <c r="AG61" s="490">
        <f t="shared" si="7"/>
        <v>0.96888813559322062</v>
      </c>
      <c r="AH61" s="688"/>
    </row>
    <row r="62" spans="1:34" ht="19.2" customHeight="1">
      <c r="A62" s="701"/>
      <c r="B62" s="121">
        <v>0</v>
      </c>
      <c r="C62" s="500"/>
      <c r="D62" s="42"/>
      <c r="E62" s="43"/>
      <c r="F62" s="343" t="s">
        <v>128</v>
      </c>
      <c r="G62" s="134"/>
      <c r="H62" s="45">
        <f t="shared" si="37"/>
        <v>0</v>
      </c>
      <c r="I62" s="486"/>
      <c r="J62" s="46"/>
      <c r="K62" s="44"/>
      <c r="L62" s="86"/>
      <c r="M62" s="62"/>
      <c r="N62" s="44"/>
      <c r="O62" s="47"/>
      <c r="P62" s="165"/>
      <c r="Q62" s="49"/>
      <c r="R62" s="490"/>
      <c r="S62" s="688"/>
      <c r="T62" s="166"/>
      <c r="U62" s="166"/>
      <c r="V62" s="142"/>
      <c r="W62" s="483">
        <f t="shared" si="42"/>
        <v>0</v>
      </c>
      <c r="X62" s="53"/>
      <c r="Y62" s="53"/>
      <c r="Z62" s="54"/>
      <c r="AA62" s="54"/>
      <c r="AB62" s="673"/>
      <c r="AC62" s="673"/>
      <c r="AD62" s="500"/>
      <c r="AE62" s="500"/>
      <c r="AF62" s="48">
        <f t="shared" si="6"/>
        <v>0</v>
      </c>
      <c r="AG62" s="490" t="e">
        <f t="shared" si="7"/>
        <v>#DIV/0!</v>
      </c>
      <c r="AH62" s="688"/>
    </row>
    <row r="63" spans="1:34" ht="19.2" customHeight="1">
      <c r="A63" s="701"/>
      <c r="B63" s="121">
        <v>0</v>
      </c>
      <c r="C63" s="500"/>
      <c r="D63" s="42"/>
      <c r="E63" s="43"/>
      <c r="F63" s="343" t="s">
        <v>128</v>
      </c>
      <c r="G63" s="134"/>
      <c r="H63" s="45">
        <f t="shared" si="37"/>
        <v>0</v>
      </c>
      <c r="I63" s="486"/>
      <c r="J63" s="46"/>
      <c r="K63" s="44"/>
      <c r="L63" s="86"/>
      <c r="M63" s="62" t="s">
        <v>15</v>
      </c>
      <c r="N63" s="44"/>
      <c r="O63" s="47"/>
      <c r="P63" s="165"/>
      <c r="Q63" s="49"/>
      <c r="R63" s="490"/>
      <c r="S63" s="688"/>
      <c r="T63" s="166"/>
      <c r="U63" s="166"/>
      <c r="V63" s="142"/>
      <c r="W63" s="483">
        <f t="shared" si="42"/>
        <v>0</v>
      </c>
      <c r="X63" s="53"/>
      <c r="Y63" s="53"/>
      <c r="Z63" s="54"/>
      <c r="AA63" s="54"/>
      <c r="AB63" s="673"/>
      <c r="AC63" s="673"/>
      <c r="AD63" s="500"/>
      <c r="AE63" s="500"/>
      <c r="AF63" s="48">
        <f t="shared" si="6"/>
        <v>0</v>
      </c>
      <c r="AG63" s="494" t="e">
        <f t="shared" si="7"/>
        <v>#DIV/0!</v>
      </c>
      <c r="AH63" s="688"/>
    </row>
    <row r="64" spans="1:34" ht="19.2" customHeight="1">
      <c r="A64" s="702"/>
      <c r="B64" s="163">
        <v>0</v>
      </c>
      <c r="C64" s="393"/>
      <c r="D64" s="42"/>
      <c r="E64" s="43"/>
      <c r="F64" s="343" t="s">
        <v>128</v>
      </c>
      <c r="G64" s="134"/>
      <c r="H64" s="45">
        <f t="shared" si="37"/>
        <v>0</v>
      </c>
      <c r="I64" s="486"/>
      <c r="J64" s="167"/>
      <c r="K64" s="61"/>
      <c r="L64" s="86"/>
      <c r="M64" s="62"/>
      <c r="N64" s="44"/>
      <c r="O64" s="47"/>
      <c r="P64" s="165"/>
      <c r="Q64" s="49"/>
      <c r="R64" s="490"/>
      <c r="S64" s="688"/>
      <c r="T64" s="166"/>
      <c r="U64" s="166"/>
      <c r="V64" s="142"/>
      <c r="W64" s="483">
        <f t="shared" si="42"/>
        <v>0</v>
      </c>
      <c r="X64" s="486"/>
      <c r="Y64" s="486"/>
      <c r="Z64" s="54"/>
      <c r="AA64" s="54"/>
      <c r="AB64" s="673"/>
      <c r="AC64" s="673"/>
      <c r="AD64" s="500"/>
      <c r="AE64" s="500"/>
      <c r="AF64" s="48">
        <f t="shared" si="6"/>
        <v>0</v>
      </c>
      <c r="AG64" s="490" t="e">
        <f t="shared" si="7"/>
        <v>#DIV/0!</v>
      </c>
      <c r="AH64" s="688"/>
    </row>
    <row r="65" spans="1:34" ht="19.2" customHeight="1">
      <c r="A65" s="702"/>
      <c r="B65" s="97">
        <v>0</v>
      </c>
      <c r="C65" s="496"/>
      <c r="D65" s="42"/>
      <c r="E65" s="43"/>
      <c r="F65" s="343" t="s">
        <v>128</v>
      </c>
      <c r="G65" s="134"/>
      <c r="H65" s="45">
        <f t="shared" si="37"/>
        <v>0</v>
      </c>
      <c r="I65" s="486"/>
      <c r="J65" s="167"/>
      <c r="K65" s="61"/>
      <c r="L65" s="86"/>
      <c r="M65" s="62"/>
      <c r="N65" s="61"/>
      <c r="O65" s="77"/>
      <c r="P65" s="48"/>
      <c r="Q65" s="49"/>
      <c r="R65" s="490"/>
      <c r="S65" s="688"/>
      <c r="T65" s="166"/>
      <c r="U65" s="166"/>
      <c r="V65" s="142"/>
      <c r="W65" s="483">
        <f t="shared" si="42"/>
        <v>0</v>
      </c>
      <c r="X65" s="486"/>
      <c r="Y65" s="486"/>
      <c r="Z65" s="54"/>
      <c r="AA65" s="54"/>
      <c r="AB65" s="673"/>
      <c r="AC65" s="673"/>
      <c r="AD65" s="500"/>
      <c r="AE65" s="500"/>
      <c r="AF65" s="48">
        <f t="shared" si="6"/>
        <v>0</v>
      </c>
      <c r="AG65" s="490" t="e">
        <f t="shared" si="7"/>
        <v>#DIV/0!</v>
      </c>
      <c r="AH65" s="688"/>
    </row>
    <row r="66" spans="1:34" ht="19.2" customHeight="1">
      <c r="A66" s="702"/>
      <c r="B66" s="97">
        <v>0</v>
      </c>
      <c r="C66" s="496"/>
      <c r="D66" s="42"/>
      <c r="E66" s="43"/>
      <c r="F66" s="343" t="s">
        <v>128</v>
      </c>
      <c r="G66" s="134"/>
      <c r="H66" s="45">
        <f t="shared" si="37"/>
        <v>0</v>
      </c>
      <c r="I66" s="486"/>
      <c r="J66" s="167"/>
      <c r="K66" s="61"/>
      <c r="L66" s="86"/>
      <c r="M66" s="62"/>
      <c r="N66" s="61"/>
      <c r="O66" s="77"/>
      <c r="P66" s="48"/>
      <c r="Q66" s="49"/>
      <c r="R66" s="490"/>
      <c r="S66" s="688"/>
      <c r="T66" s="166"/>
      <c r="U66" s="166"/>
      <c r="V66" s="142"/>
      <c r="W66" s="483">
        <f t="shared" si="42"/>
        <v>0</v>
      </c>
      <c r="X66" s="486"/>
      <c r="Y66" s="486"/>
      <c r="Z66" s="54"/>
      <c r="AA66" s="54"/>
      <c r="AB66" s="673"/>
      <c r="AC66" s="673"/>
      <c r="AD66" s="500"/>
      <c r="AE66" s="500"/>
      <c r="AF66" s="48">
        <f t="shared" si="6"/>
        <v>0</v>
      </c>
      <c r="AG66" s="494" t="e">
        <f t="shared" si="7"/>
        <v>#DIV/0!</v>
      </c>
      <c r="AH66" s="688"/>
    </row>
    <row r="67" spans="1:34" ht="19.2" customHeight="1">
      <c r="A67" s="702"/>
      <c r="B67" s="97">
        <v>0</v>
      </c>
      <c r="C67" s="496"/>
      <c r="D67" s="42"/>
      <c r="E67" s="43"/>
      <c r="F67" s="343" t="s">
        <v>128</v>
      </c>
      <c r="G67" s="134"/>
      <c r="H67" s="45">
        <f>F67*G67</f>
        <v>0</v>
      </c>
      <c r="I67" s="486"/>
      <c r="J67" s="167"/>
      <c r="K67" s="61"/>
      <c r="L67" s="86"/>
      <c r="M67" s="62"/>
      <c r="N67" s="61"/>
      <c r="O67" s="77"/>
      <c r="P67" s="48"/>
      <c r="Q67" s="49"/>
      <c r="R67" s="490"/>
      <c r="S67" s="688"/>
      <c r="T67" s="166"/>
      <c r="U67" s="166"/>
      <c r="V67" s="142"/>
      <c r="W67" s="483">
        <f t="shared" si="42"/>
        <v>0</v>
      </c>
      <c r="X67" s="486"/>
      <c r="Y67" s="486"/>
      <c r="Z67" s="54"/>
      <c r="AA67" s="54"/>
      <c r="AB67" s="673"/>
      <c r="AC67" s="673"/>
      <c r="AD67" s="500"/>
      <c r="AE67" s="500"/>
      <c r="AF67" s="48">
        <f t="shared" si="6"/>
        <v>0</v>
      </c>
      <c r="AG67" s="490" t="e">
        <f t="shared" si="7"/>
        <v>#DIV/0!</v>
      </c>
      <c r="AH67" s="688"/>
    </row>
    <row r="68" spans="1:34" ht="19.2" customHeight="1">
      <c r="A68" s="702"/>
      <c r="B68" s="486">
        <v>0</v>
      </c>
      <c r="C68" s="496"/>
      <c r="D68" s="42"/>
      <c r="E68" s="43"/>
      <c r="F68" s="350" t="s">
        <v>128</v>
      </c>
      <c r="G68" s="134"/>
      <c r="H68" s="45">
        <f>F68*G68</f>
        <v>0</v>
      </c>
      <c r="I68" s="486"/>
      <c r="J68" s="167"/>
      <c r="K68" s="61"/>
      <c r="L68" s="86"/>
      <c r="M68" s="62"/>
      <c r="N68" s="61"/>
      <c r="O68" s="77"/>
      <c r="P68" s="48"/>
      <c r="Q68" s="49"/>
      <c r="R68" s="490"/>
      <c r="S68" s="688"/>
      <c r="T68" s="166"/>
      <c r="U68" s="166"/>
      <c r="V68" s="142"/>
      <c r="W68" s="483">
        <f t="shared" si="42"/>
        <v>0</v>
      </c>
      <c r="X68" s="486"/>
      <c r="Y68" s="486"/>
      <c r="Z68" s="54"/>
      <c r="AA68" s="54"/>
      <c r="AB68" s="673"/>
      <c r="AC68" s="673"/>
      <c r="AD68" s="500"/>
      <c r="AE68" s="500"/>
      <c r="AF68" s="48"/>
      <c r="AG68" s="490"/>
      <c r="AH68" s="688"/>
    </row>
    <row r="69" spans="1:34" ht="19.2" customHeight="1">
      <c r="A69" s="702"/>
      <c r="B69" s="168">
        <v>0</v>
      </c>
      <c r="C69" s="6" t="s">
        <v>543</v>
      </c>
      <c r="D69" s="669" t="s">
        <v>455</v>
      </c>
      <c r="E69" s="669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1458.3514791119567</v>
      </c>
      <c r="O69" s="73">
        <f t="shared" si="43"/>
        <v>222.1698612498229</v>
      </c>
      <c r="P69" s="48">
        <f>M69-J69</f>
        <v>0</v>
      </c>
      <c r="Q69" s="49">
        <f>N69-K69</f>
        <v>-41.648520888043322</v>
      </c>
      <c r="R69" s="172">
        <f t="shared" ref="R69:R75" si="44">O69/L69</f>
        <v>0.97199314296797512</v>
      </c>
      <c r="S69" s="688"/>
      <c r="T69" s="141"/>
      <c r="U69" s="141"/>
      <c r="V69" s="44"/>
      <c r="W69" s="48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673"/>
      <c r="AC69" s="673"/>
      <c r="AD69" s="107">
        <f>SUM(AD57:AD68)</f>
        <v>0</v>
      </c>
      <c r="AE69" s="107">
        <f>SUM(AE57:AE68)</f>
        <v>0</v>
      </c>
      <c r="AF69" s="48">
        <f t="shared" si="6"/>
        <v>-41.648520888043322</v>
      </c>
      <c r="AG69" s="490">
        <f t="shared" si="7"/>
        <v>0.97223431940797111</v>
      </c>
      <c r="AH69" s="688"/>
    </row>
    <row r="70" spans="1:34" ht="19.2" customHeight="1">
      <c r="A70" s="703" t="s">
        <v>544</v>
      </c>
      <c r="B70" s="486" t="s">
        <v>127</v>
      </c>
      <c r="C70" s="97"/>
      <c r="D70" s="42" t="s">
        <v>138</v>
      </c>
      <c r="E70" s="43"/>
      <c r="F70" s="343">
        <v>54.09</v>
      </c>
      <c r="G70" s="57">
        <v>868</v>
      </c>
      <c r="H70" s="45">
        <f>F70*G70</f>
        <v>46950.12</v>
      </c>
      <c r="I70" s="486"/>
      <c r="J70" s="46">
        <v>16</v>
      </c>
      <c r="K70" s="44">
        <v>1500</v>
      </c>
      <c r="L70" s="47">
        <v>93.75</v>
      </c>
      <c r="M70" s="484">
        <v>17</v>
      </c>
      <c r="N70" s="44">
        <f t="shared" ref="N70:N75" si="45">G70/W70*60</f>
        <v>1370.5263157894726</v>
      </c>
      <c r="O70" s="47">
        <f t="shared" ref="O70:O75" si="46">N70/M70</f>
        <v>80.619195046439572</v>
      </c>
      <c r="P70" s="48">
        <f t="shared" ref="P70:P75" si="47">M70-J70</f>
        <v>1</v>
      </c>
      <c r="Q70" s="49">
        <f t="shared" ref="Q70:Q75" si="48">O70-L70</f>
        <v>-13.130804953560428</v>
      </c>
      <c r="R70" s="490">
        <f t="shared" si="44"/>
        <v>0.85993808049535547</v>
      </c>
      <c r="S70" s="688">
        <f>R82</f>
        <v>0.87837873551508261</v>
      </c>
      <c r="T70" s="50">
        <v>0.25</v>
      </c>
      <c r="U70" s="50">
        <v>0.27638888888888891</v>
      </c>
      <c r="V70" s="486">
        <v>5</v>
      </c>
      <c r="W70" s="483">
        <f>(U70-T70)*24*60</f>
        <v>38.000000000000028</v>
      </c>
      <c r="X70" s="486"/>
      <c r="Y70" s="486"/>
      <c r="Z70" s="54"/>
      <c r="AA70" s="54"/>
      <c r="AB70" s="673"/>
      <c r="AC70" s="673"/>
      <c r="AD70" s="500"/>
      <c r="AE70" s="500">
        <v>1</v>
      </c>
      <c r="AF70" s="48">
        <f t="shared" si="6"/>
        <v>-129.47368421052738</v>
      </c>
      <c r="AG70" s="490">
        <f t="shared" si="7"/>
        <v>0.9136842105263151</v>
      </c>
      <c r="AH70" s="688">
        <f>AG82</f>
        <v>0.88612423894517978</v>
      </c>
    </row>
    <row r="71" spans="1:34" ht="19.2" customHeight="1">
      <c r="A71" s="703"/>
      <c r="B71" s="486" t="s">
        <v>123</v>
      </c>
      <c r="C71" s="41"/>
      <c r="D71" s="173" t="s">
        <v>69</v>
      </c>
      <c r="E71" s="43"/>
      <c r="F71" s="343">
        <v>53.36</v>
      </c>
      <c r="G71" s="44">
        <v>2903.58</v>
      </c>
      <c r="H71" s="45">
        <f>F71*G71</f>
        <v>154935.0288</v>
      </c>
      <c r="I71" s="486"/>
      <c r="J71" s="46">
        <v>19</v>
      </c>
      <c r="K71" s="174">
        <v>1636</v>
      </c>
      <c r="L71" s="47">
        <v>86.10526315789474</v>
      </c>
      <c r="M71" s="489">
        <v>19</v>
      </c>
      <c r="N71" s="44">
        <f t="shared" si="45"/>
        <v>1416.3804878048775</v>
      </c>
      <c r="O71" s="47">
        <f t="shared" si="46"/>
        <v>74.546341463414606</v>
      </c>
      <c r="P71" s="48">
        <f t="shared" si="47"/>
        <v>0</v>
      </c>
      <c r="Q71" s="49">
        <f t="shared" si="48"/>
        <v>-11.558921694480134</v>
      </c>
      <c r="R71" s="490">
        <f t="shared" si="44"/>
        <v>0.86575824437950943</v>
      </c>
      <c r="S71" s="688"/>
      <c r="T71" s="50">
        <v>0.28125</v>
      </c>
      <c r="U71" s="50">
        <v>0.3666666666666667</v>
      </c>
      <c r="V71" s="486">
        <v>7</v>
      </c>
      <c r="W71" s="483">
        <f t="shared" ref="W71:W81" si="49">(U71-T71)*24*60</f>
        <v>123.00000000000004</v>
      </c>
      <c r="X71" s="53"/>
      <c r="Y71" s="53"/>
      <c r="Z71" s="54"/>
      <c r="AA71" s="54"/>
      <c r="AB71" s="673"/>
      <c r="AC71" s="673"/>
      <c r="AD71" s="500"/>
      <c r="AE71" s="500"/>
      <c r="AF71" s="48">
        <f>N71-K71</f>
        <v>-219.61951219512252</v>
      </c>
      <c r="AG71" s="490">
        <f>N71/K71</f>
        <v>0.86575824437950943</v>
      </c>
      <c r="AH71" s="688"/>
    </row>
    <row r="72" spans="1:34" ht="19.2" customHeight="1">
      <c r="A72" s="703"/>
      <c r="B72" s="486" t="s">
        <v>123</v>
      </c>
      <c r="C72" s="66"/>
      <c r="D72" s="173" t="s">
        <v>69</v>
      </c>
      <c r="E72" s="43"/>
      <c r="F72" s="343">
        <v>53.36</v>
      </c>
      <c r="G72" s="44">
        <v>2190.42</v>
      </c>
      <c r="H72" s="45">
        <f t="shared" ref="H72:H80" si="50">F72*G72</f>
        <v>116880.8112</v>
      </c>
      <c r="I72" s="486"/>
      <c r="J72" s="87">
        <v>19</v>
      </c>
      <c r="K72" s="57">
        <v>1636</v>
      </c>
      <c r="L72" s="86">
        <v>86.10526315789474</v>
      </c>
      <c r="M72" s="484">
        <v>19</v>
      </c>
      <c r="N72" s="44">
        <f t="shared" si="45"/>
        <v>1398.1404255319153</v>
      </c>
      <c r="O72" s="47">
        <f t="shared" si="46"/>
        <v>73.586338185890284</v>
      </c>
      <c r="P72" s="48">
        <f t="shared" si="47"/>
        <v>0</v>
      </c>
      <c r="Q72" s="49">
        <f t="shared" si="48"/>
        <v>-12.518924972004456</v>
      </c>
      <c r="R72" s="490">
        <f t="shared" si="44"/>
        <v>0.8546090620610729</v>
      </c>
      <c r="S72" s="688"/>
      <c r="T72" s="50">
        <v>0.38194444444444448</v>
      </c>
      <c r="U72" s="50">
        <v>0.44722222222222224</v>
      </c>
      <c r="V72" s="486">
        <v>22</v>
      </c>
      <c r="W72" s="483">
        <f t="shared" si="49"/>
        <v>93.999999999999986</v>
      </c>
      <c r="X72" s="53">
        <v>0.37083333333333335</v>
      </c>
      <c r="Y72" s="53">
        <v>0.38055555555555554</v>
      </c>
      <c r="Z72" s="54"/>
      <c r="AA72" s="54"/>
      <c r="AB72" s="673"/>
      <c r="AC72" s="673"/>
      <c r="AD72" s="500"/>
      <c r="AE72" s="500"/>
      <c r="AF72" s="48">
        <f>N72-K72</f>
        <v>-237.8595744680847</v>
      </c>
      <c r="AG72" s="490">
        <f>N72/K72</f>
        <v>0.8546090620610729</v>
      </c>
      <c r="AH72" s="688"/>
    </row>
    <row r="73" spans="1:34" ht="19.2" customHeight="1">
      <c r="A73" s="703"/>
      <c r="B73" s="486" t="s">
        <v>127</v>
      </c>
      <c r="C73" s="175"/>
      <c r="D73" s="176" t="s">
        <v>76</v>
      </c>
      <c r="E73" s="177"/>
      <c r="F73" s="343">
        <v>56.43</v>
      </c>
      <c r="G73" s="44">
        <v>991</v>
      </c>
      <c r="H73" s="45">
        <f t="shared" si="50"/>
        <v>55922.13</v>
      </c>
      <c r="I73" s="500"/>
      <c r="J73" s="178">
        <v>18</v>
      </c>
      <c r="K73" s="179">
        <v>1500</v>
      </c>
      <c r="L73" s="86">
        <v>83.333333333333329</v>
      </c>
      <c r="M73" s="489">
        <v>18</v>
      </c>
      <c r="N73" s="44">
        <f t="shared" si="45"/>
        <v>1292.608695652174</v>
      </c>
      <c r="O73" s="47">
        <f t="shared" si="46"/>
        <v>71.811594202898561</v>
      </c>
      <c r="P73" s="48">
        <f t="shared" si="47"/>
        <v>0</v>
      </c>
      <c r="Q73" s="49">
        <f t="shared" si="48"/>
        <v>-11.521739130434767</v>
      </c>
      <c r="R73" s="490">
        <f t="shared" si="44"/>
        <v>0.86173913043478279</v>
      </c>
      <c r="S73" s="688"/>
      <c r="T73" s="50">
        <v>0.45208333333333334</v>
      </c>
      <c r="U73" s="50">
        <v>0.48402777777777778</v>
      </c>
      <c r="V73" s="486">
        <v>7</v>
      </c>
      <c r="W73" s="483">
        <f t="shared" si="49"/>
        <v>46</v>
      </c>
      <c r="X73" s="180"/>
      <c r="Y73" s="180"/>
      <c r="Z73" s="124"/>
      <c r="AA73" s="124"/>
      <c r="AB73" s="673"/>
      <c r="AC73" s="673"/>
      <c r="AD73" s="500"/>
      <c r="AE73" s="500"/>
      <c r="AF73" s="48">
        <f>N73-K73</f>
        <v>-207.39130434782601</v>
      </c>
      <c r="AG73" s="490">
        <f>N73/K73</f>
        <v>0.86173913043478267</v>
      </c>
      <c r="AH73" s="688"/>
    </row>
    <row r="74" spans="1:34" ht="19.2" customHeight="1">
      <c r="A74" s="703"/>
      <c r="B74" s="486" t="s">
        <v>123</v>
      </c>
      <c r="C74" s="175"/>
      <c r="D74" s="176" t="s">
        <v>71</v>
      </c>
      <c r="E74" s="177"/>
      <c r="F74" s="343">
        <v>47.51</v>
      </c>
      <c r="G74" s="44">
        <v>1916</v>
      </c>
      <c r="H74" s="45">
        <f t="shared" si="50"/>
        <v>91029.159999999989</v>
      </c>
      <c r="I74" s="486"/>
      <c r="J74" s="46">
        <v>17</v>
      </c>
      <c r="K74" s="174">
        <v>1440</v>
      </c>
      <c r="L74" s="47">
        <v>84.705882352941174</v>
      </c>
      <c r="M74" s="484">
        <v>17</v>
      </c>
      <c r="N74" s="44">
        <f t="shared" si="45"/>
        <v>1306.3636363636365</v>
      </c>
      <c r="O74" s="47">
        <f t="shared" si="46"/>
        <v>76.84491978609627</v>
      </c>
      <c r="P74" s="48">
        <f t="shared" si="47"/>
        <v>0</v>
      </c>
      <c r="Q74" s="49">
        <f t="shared" si="48"/>
        <v>-7.8609625668449041</v>
      </c>
      <c r="R74" s="490">
        <f t="shared" si="44"/>
        <v>0.90719696969696983</v>
      </c>
      <c r="S74" s="688"/>
      <c r="T74" s="50">
        <v>0.52430555555555547</v>
      </c>
      <c r="U74" s="50">
        <v>0.58541666666666659</v>
      </c>
      <c r="V74" s="486">
        <v>5</v>
      </c>
      <c r="W74" s="483">
        <f t="shared" si="49"/>
        <v>88</v>
      </c>
      <c r="X74" s="180"/>
      <c r="Y74" s="180"/>
      <c r="Z74" s="124"/>
      <c r="AA74" s="124"/>
      <c r="AB74" s="673"/>
      <c r="AC74" s="673"/>
      <c r="AD74" s="500"/>
      <c r="AE74" s="500"/>
      <c r="AF74" s="48">
        <f t="shared" ref="AF74:AF80" si="51">N74-K74</f>
        <v>-133.63636363636351</v>
      </c>
      <c r="AG74" s="490">
        <f t="shared" ref="AG74:AG80" si="52">N74/K74</f>
        <v>0.90719696969696983</v>
      </c>
      <c r="AH74" s="688"/>
    </row>
    <row r="75" spans="1:34" ht="19.2" customHeight="1">
      <c r="A75" s="703"/>
      <c r="B75" s="486" t="s">
        <v>123</v>
      </c>
      <c r="C75" s="66"/>
      <c r="D75" s="173" t="s">
        <v>70</v>
      </c>
      <c r="E75" s="43"/>
      <c r="F75" s="343">
        <v>53.76</v>
      </c>
      <c r="G75" s="57">
        <v>2519</v>
      </c>
      <c r="H75" s="45">
        <f t="shared" si="50"/>
        <v>135421.44</v>
      </c>
      <c r="I75" s="486"/>
      <c r="J75" s="87">
        <v>16</v>
      </c>
      <c r="K75" s="57">
        <v>1440</v>
      </c>
      <c r="L75" s="86">
        <v>90</v>
      </c>
      <c r="M75" s="484">
        <v>16</v>
      </c>
      <c r="N75" s="44">
        <f t="shared" si="45"/>
        <v>1325.7894736842097</v>
      </c>
      <c r="O75" s="47">
        <f t="shared" si="46"/>
        <v>82.861842105263108</v>
      </c>
      <c r="P75" s="48">
        <f t="shared" si="47"/>
        <v>0</v>
      </c>
      <c r="Q75" s="49">
        <f t="shared" si="48"/>
        <v>-7.1381578947368922</v>
      </c>
      <c r="R75" s="490">
        <f t="shared" si="44"/>
        <v>0.92068713450292339</v>
      </c>
      <c r="S75" s="688"/>
      <c r="T75" s="50">
        <v>0.60069444444444431</v>
      </c>
      <c r="U75" s="50">
        <v>0.67986111111111103</v>
      </c>
      <c r="V75" s="486">
        <v>22</v>
      </c>
      <c r="W75" s="483">
        <f t="shared" si="49"/>
        <v>114.00000000000007</v>
      </c>
      <c r="X75" s="180">
        <v>0.59027777777777779</v>
      </c>
      <c r="Y75" s="180">
        <v>0.6</v>
      </c>
      <c r="Z75" s="124"/>
      <c r="AA75" s="124"/>
      <c r="AB75" s="673"/>
      <c r="AC75" s="673"/>
      <c r="AD75" s="500"/>
      <c r="AE75" s="500"/>
      <c r="AF75" s="48">
        <f t="shared" si="51"/>
        <v>-114.21052631579028</v>
      </c>
      <c r="AG75" s="490">
        <f t="shared" si="52"/>
        <v>0.92068713450292339</v>
      </c>
      <c r="AH75" s="688"/>
    </row>
    <row r="76" spans="1:34" ht="19.2" customHeight="1">
      <c r="A76" s="703"/>
      <c r="B76" s="486">
        <v>0</v>
      </c>
      <c r="C76" s="175"/>
      <c r="D76" s="176"/>
      <c r="E76" s="177"/>
      <c r="F76" s="343" t="s">
        <v>128</v>
      </c>
      <c r="G76" s="174"/>
      <c r="H76" s="45">
        <f t="shared" si="50"/>
        <v>0</v>
      </c>
      <c r="I76" s="486"/>
      <c r="J76" s="87"/>
      <c r="K76" s="57"/>
      <c r="L76" s="86"/>
      <c r="M76" s="489"/>
      <c r="N76" s="44"/>
      <c r="O76" s="47"/>
      <c r="P76" s="48"/>
      <c r="Q76" s="49"/>
      <c r="R76" s="490"/>
      <c r="S76" s="688"/>
      <c r="T76" s="50"/>
      <c r="U76" s="50"/>
      <c r="V76" s="486"/>
      <c r="W76" s="483">
        <f t="shared" si="49"/>
        <v>0</v>
      </c>
      <c r="X76" s="180"/>
      <c r="Y76" s="180"/>
      <c r="Z76" s="124"/>
      <c r="AA76" s="124"/>
      <c r="AB76" s="673"/>
      <c r="AC76" s="673"/>
      <c r="AD76" s="500"/>
      <c r="AE76" s="500"/>
      <c r="AF76" s="48">
        <f t="shared" si="51"/>
        <v>0</v>
      </c>
      <c r="AG76" s="490" t="e">
        <f t="shared" si="52"/>
        <v>#DIV/0!</v>
      </c>
      <c r="AH76" s="688"/>
    </row>
    <row r="77" spans="1:34" ht="19.2" customHeight="1">
      <c r="A77" s="703"/>
      <c r="B77" s="486">
        <v>0</v>
      </c>
      <c r="C77" s="496"/>
      <c r="D77" s="42"/>
      <c r="E77" s="43"/>
      <c r="F77" s="343" t="s">
        <v>128</v>
      </c>
      <c r="G77" s="174"/>
      <c r="H77" s="45">
        <f t="shared" si="50"/>
        <v>0</v>
      </c>
      <c r="I77" s="500"/>
      <c r="J77" s="46"/>
      <c r="K77" s="174"/>
      <c r="L77" s="47"/>
      <c r="M77" s="489"/>
      <c r="N77" s="44"/>
      <c r="O77" s="47"/>
      <c r="P77" s="48"/>
      <c r="Q77" s="49"/>
      <c r="R77" s="490"/>
      <c r="S77" s="688"/>
      <c r="T77" s="50"/>
      <c r="U77" s="50"/>
      <c r="V77" s="486"/>
      <c r="W77" s="483">
        <f t="shared" si="49"/>
        <v>0</v>
      </c>
      <c r="X77" s="180"/>
      <c r="Y77" s="180"/>
      <c r="Z77" s="124"/>
      <c r="AA77" s="124"/>
      <c r="AB77" s="673"/>
      <c r="AC77" s="673"/>
      <c r="AD77" s="500"/>
      <c r="AE77" s="500"/>
      <c r="AF77" s="48">
        <f t="shared" si="51"/>
        <v>0</v>
      </c>
      <c r="AG77" s="490" t="e">
        <f t="shared" si="52"/>
        <v>#DIV/0!</v>
      </c>
      <c r="AH77" s="688"/>
    </row>
    <row r="78" spans="1:34" ht="19.2" customHeight="1">
      <c r="A78" s="703"/>
      <c r="B78" s="486">
        <v>0</v>
      </c>
      <c r="C78" s="496"/>
      <c r="D78" s="42"/>
      <c r="E78" s="43"/>
      <c r="F78" s="343" t="s">
        <v>128</v>
      </c>
      <c r="G78" s="57"/>
      <c r="H78" s="45">
        <f t="shared" si="50"/>
        <v>0</v>
      </c>
      <c r="I78" s="500"/>
      <c r="J78" s="87"/>
      <c r="K78" s="57"/>
      <c r="L78" s="86"/>
      <c r="M78" s="489"/>
      <c r="N78" s="44"/>
      <c r="O78" s="47"/>
      <c r="P78" s="48"/>
      <c r="Q78" s="49"/>
      <c r="R78" s="490"/>
      <c r="S78" s="688"/>
      <c r="T78" s="50"/>
      <c r="U78" s="50"/>
      <c r="V78" s="486"/>
      <c r="W78" s="483">
        <f t="shared" si="49"/>
        <v>0</v>
      </c>
      <c r="X78" s="180"/>
      <c r="Y78" s="180"/>
      <c r="Z78" s="124"/>
      <c r="AA78" s="124"/>
      <c r="AB78" s="673"/>
      <c r="AC78" s="673"/>
      <c r="AD78" s="500"/>
      <c r="AE78" s="500"/>
      <c r="AF78" s="48">
        <f t="shared" si="51"/>
        <v>0</v>
      </c>
      <c r="AG78" s="490" t="e">
        <f t="shared" si="52"/>
        <v>#DIV/0!</v>
      </c>
      <c r="AH78" s="688"/>
    </row>
    <row r="79" spans="1:34" ht="19.2" customHeight="1">
      <c r="A79" s="703"/>
      <c r="B79" s="486">
        <v>0</v>
      </c>
      <c r="C79" s="175"/>
      <c r="D79" s="176"/>
      <c r="E79" s="177"/>
      <c r="F79" s="343" t="s">
        <v>128</v>
      </c>
      <c r="G79" s="57"/>
      <c r="H79" s="45">
        <f t="shared" si="50"/>
        <v>0</v>
      </c>
      <c r="I79" s="500"/>
      <c r="J79" s="87"/>
      <c r="K79" s="57"/>
      <c r="L79" s="86"/>
      <c r="M79" s="489"/>
      <c r="N79" s="57"/>
      <c r="O79" s="181"/>
      <c r="P79" s="108"/>
      <c r="Q79" s="182"/>
      <c r="R79" s="109"/>
      <c r="S79" s="688"/>
      <c r="T79" s="50"/>
      <c r="U79" s="50"/>
      <c r="V79" s="486"/>
      <c r="W79" s="483">
        <f t="shared" si="49"/>
        <v>0</v>
      </c>
      <c r="X79" s="180"/>
      <c r="Y79" s="180"/>
      <c r="Z79" s="124"/>
      <c r="AA79" s="124"/>
      <c r="AB79" s="673"/>
      <c r="AC79" s="673"/>
      <c r="AD79" s="500"/>
      <c r="AE79" s="500"/>
      <c r="AF79" s="48">
        <f t="shared" si="51"/>
        <v>0</v>
      </c>
      <c r="AG79" s="490" t="e">
        <f t="shared" si="52"/>
        <v>#DIV/0!</v>
      </c>
      <c r="AH79" s="688"/>
    </row>
    <row r="80" spans="1:34" ht="19.2" customHeight="1">
      <c r="A80" s="703"/>
      <c r="B80" s="486">
        <v>0</v>
      </c>
      <c r="C80" s="496"/>
      <c r="D80" s="42"/>
      <c r="E80" s="43"/>
      <c r="F80" s="343"/>
      <c r="G80" s="57"/>
      <c r="H80" s="45">
        <f t="shared" si="50"/>
        <v>0</v>
      </c>
      <c r="I80" s="500"/>
      <c r="J80" s="87"/>
      <c r="K80" s="57"/>
      <c r="L80" s="86"/>
      <c r="M80" s="489"/>
      <c r="N80" s="57"/>
      <c r="O80" s="183"/>
      <c r="P80" s="54"/>
      <c r="Q80" s="88"/>
      <c r="R80" s="499"/>
      <c r="S80" s="688"/>
      <c r="T80" s="50"/>
      <c r="U80" s="50"/>
      <c r="V80" s="486"/>
      <c r="W80" s="483">
        <f t="shared" si="49"/>
        <v>0</v>
      </c>
      <c r="X80" s="180"/>
      <c r="Y80" s="180"/>
      <c r="Z80" s="124"/>
      <c r="AA80" s="124"/>
      <c r="AB80" s="673"/>
      <c r="AC80" s="673"/>
      <c r="AD80" s="500"/>
      <c r="AE80" s="500"/>
      <c r="AF80" s="48">
        <f t="shared" si="51"/>
        <v>0</v>
      </c>
      <c r="AG80" s="490" t="e">
        <f t="shared" si="52"/>
        <v>#DIV/0!</v>
      </c>
      <c r="AH80" s="688"/>
    </row>
    <row r="81" spans="1:34" ht="19.2" customHeight="1">
      <c r="A81" s="703"/>
      <c r="B81" s="486">
        <v>0</v>
      </c>
      <c r="C81" s="496"/>
      <c r="D81" s="42"/>
      <c r="E81" s="43"/>
      <c r="F81" s="350"/>
      <c r="G81" s="57"/>
      <c r="H81" s="84"/>
      <c r="I81" s="500"/>
      <c r="J81" s="87"/>
      <c r="K81" s="57"/>
      <c r="L81" s="86"/>
      <c r="M81" s="489"/>
      <c r="N81" s="57"/>
      <c r="O81" s="183"/>
      <c r="P81" s="54"/>
      <c r="Q81" s="88"/>
      <c r="R81" s="499"/>
      <c r="S81" s="688"/>
      <c r="T81" s="50"/>
      <c r="U81" s="50"/>
      <c r="V81" s="486"/>
      <c r="W81" s="483">
        <f t="shared" si="49"/>
        <v>0</v>
      </c>
      <c r="X81" s="180"/>
      <c r="Y81" s="180"/>
      <c r="Z81" s="124"/>
      <c r="AA81" s="124"/>
      <c r="AB81" s="673"/>
      <c r="AC81" s="673"/>
      <c r="AD81" s="500"/>
      <c r="AE81" s="500"/>
      <c r="AF81" s="48"/>
      <c r="AG81" s="125"/>
      <c r="AH81" s="688"/>
    </row>
    <row r="82" spans="1:34" ht="19.2" customHeight="1">
      <c r="A82" s="704"/>
      <c r="B82" s="168">
        <v>0</v>
      </c>
      <c r="C82" s="100" t="s">
        <v>545</v>
      </c>
      <c r="D82" s="669" t="s">
        <v>455</v>
      </c>
      <c r="E82" s="669"/>
      <c r="F82" s="353"/>
      <c r="G82" s="101"/>
      <c r="H82" s="102"/>
      <c r="I82" s="103"/>
      <c r="J82" s="101">
        <v>17.5</v>
      </c>
      <c r="K82" s="101">
        <v>1525.3333333333333</v>
      </c>
      <c r="L82" s="104">
        <v>87.333290333677326</v>
      </c>
      <c r="M82" s="101">
        <f t="shared" ref="M82:O82" si="53">AVERAGE(M70:M81)</f>
        <v>17.666666666666668</v>
      </c>
      <c r="N82" s="101">
        <f t="shared" si="53"/>
        <v>1351.6348391377142</v>
      </c>
      <c r="O82" s="184">
        <f t="shared" si="53"/>
        <v>76.711705131667074</v>
      </c>
      <c r="P82" s="116">
        <f>M82-J82</f>
        <v>0.16666666666666785</v>
      </c>
      <c r="Q82" s="117">
        <f>N82-K82</f>
        <v>-173.69849419561911</v>
      </c>
      <c r="R82" s="172">
        <f>O82/L82</f>
        <v>0.87837873551508261</v>
      </c>
      <c r="S82" s="688"/>
      <c r="T82" s="50"/>
      <c r="U82" s="50"/>
      <c r="V82" s="486"/>
      <c r="W82" s="44"/>
      <c r="X82" s="47"/>
      <c r="Y82" s="47"/>
      <c r="Z82" s="106">
        <f>SUM(Z70:Z81)</f>
        <v>0</v>
      </c>
      <c r="AA82" s="106">
        <f>SUM(AA70:AA81)</f>
        <v>0</v>
      </c>
      <c r="AB82" s="673"/>
      <c r="AC82" s="673"/>
      <c r="AD82" s="107">
        <f>SUM(AD70:AD81)</f>
        <v>0</v>
      </c>
      <c r="AE82" s="107">
        <f>SUM(AE70:AE81)</f>
        <v>1</v>
      </c>
      <c r="AF82" s="48">
        <f>N82-K82</f>
        <v>-173.69849419561911</v>
      </c>
      <c r="AG82" s="490">
        <f>N82/K82</f>
        <v>0.88612423894517978</v>
      </c>
      <c r="AH82" s="688"/>
    </row>
    <row r="83" spans="1:34" ht="19.2" customHeight="1">
      <c r="A83" s="696" t="s">
        <v>546</v>
      </c>
      <c r="B83" s="110" t="s">
        <v>123</v>
      </c>
      <c r="C83" s="66"/>
      <c r="D83" s="358" t="s">
        <v>179</v>
      </c>
      <c r="E83" s="43"/>
      <c r="F83" s="350">
        <v>61.02</v>
      </c>
      <c r="G83" s="57">
        <v>1843</v>
      </c>
      <c r="H83" s="84">
        <f t="shared" ref="H83:H94" si="54">F83*G83</f>
        <v>112459.86</v>
      </c>
      <c r="I83" s="500"/>
      <c r="J83" s="87">
        <v>17</v>
      </c>
      <c r="K83" s="57">
        <v>1440</v>
      </c>
      <c r="L83" s="86">
        <v>84.705882352941174</v>
      </c>
      <c r="M83" s="489">
        <v>17</v>
      </c>
      <c r="N83" s="57">
        <f t="shared" ref="N83:N89" si="55">G83/W83*60</f>
        <v>1348.5365853658532</v>
      </c>
      <c r="O83" s="183">
        <f t="shared" ref="O83:O89" si="56">N83/M83</f>
        <v>79.325681492109013</v>
      </c>
      <c r="P83" s="54">
        <f t="shared" ref="P83:P89" si="57">M83-J83</f>
        <v>0</v>
      </c>
      <c r="Q83" s="88">
        <f t="shared" ref="Q83:Q89" si="58">O83-L83</f>
        <v>-5.3802008608321614</v>
      </c>
      <c r="R83" s="185">
        <f t="shared" ref="R83:R89" si="59">O83/L83</f>
        <v>0.93648373983739808</v>
      </c>
      <c r="S83" s="688">
        <f>R95</f>
        <v>0.87273631461756207</v>
      </c>
      <c r="T83" s="50">
        <v>0.33333333333333331</v>
      </c>
      <c r="U83" s="50">
        <v>0.39027777777777778</v>
      </c>
      <c r="V83" s="486">
        <v>5</v>
      </c>
      <c r="W83" s="483">
        <f t="shared" ref="W83:W93" si="60">(U83-T83)*24*60</f>
        <v>82.000000000000028</v>
      </c>
      <c r="X83" s="53"/>
      <c r="Y83" s="53"/>
      <c r="Z83" s="54"/>
      <c r="AA83" s="54"/>
      <c r="AB83" s="673"/>
      <c r="AC83" s="673"/>
      <c r="AD83" s="500"/>
      <c r="AE83" s="500"/>
      <c r="AF83" s="48">
        <f t="shared" ref="AF83:AF173" si="61">N83-K83</f>
        <v>-91.463414634146829</v>
      </c>
      <c r="AG83" s="490">
        <f t="shared" ref="AG83:AG173" si="62">N83/K83</f>
        <v>0.93648373983739808</v>
      </c>
      <c r="AH83" s="688">
        <f>AG95</f>
        <v>0.87117473750222696</v>
      </c>
    </row>
    <row r="84" spans="1:34" ht="19.2" customHeight="1">
      <c r="A84" s="697"/>
      <c r="B84" s="110" t="s">
        <v>124</v>
      </c>
      <c r="C84" s="496"/>
      <c r="D84" s="186" t="s">
        <v>195</v>
      </c>
      <c r="E84" s="43"/>
      <c r="F84" s="350">
        <v>50.67</v>
      </c>
      <c r="G84" s="44">
        <v>2777.28</v>
      </c>
      <c r="H84" s="84">
        <f t="shared" si="54"/>
        <v>140724.7776</v>
      </c>
      <c r="I84" s="486"/>
      <c r="J84" s="87">
        <v>19</v>
      </c>
      <c r="K84" s="57">
        <v>1500</v>
      </c>
      <c r="L84" s="86">
        <v>78.94736842105263</v>
      </c>
      <c r="M84" s="489">
        <v>19</v>
      </c>
      <c r="N84" s="57">
        <f t="shared" si="55"/>
        <v>1343.8451612903223</v>
      </c>
      <c r="O84" s="183">
        <f t="shared" si="56"/>
        <v>70.728692699490651</v>
      </c>
      <c r="P84" s="54">
        <f t="shared" si="57"/>
        <v>0</v>
      </c>
      <c r="Q84" s="88">
        <f t="shared" si="58"/>
        <v>-8.2186757215619792</v>
      </c>
      <c r="R84" s="185">
        <f t="shared" si="59"/>
        <v>0.8958967741935483</v>
      </c>
      <c r="S84" s="688"/>
      <c r="T84" s="50">
        <v>0.40555555555555556</v>
      </c>
      <c r="U84" s="50">
        <v>0.4916666666666667</v>
      </c>
      <c r="V84" s="486">
        <v>22</v>
      </c>
      <c r="W84" s="483">
        <f t="shared" si="60"/>
        <v>124.00000000000004</v>
      </c>
      <c r="X84" s="53">
        <v>0.39444444444444443</v>
      </c>
      <c r="Y84" s="53">
        <v>0.40416666666666662</v>
      </c>
      <c r="Z84" s="54"/>
      <c r="AA84" s="54"/>
      <c r="AB84" s="673"/>
      <c r="AC84" s="673"/>
      <c r="AD84" s="500"/>
      <c r="AE84" s="500"/>
      <c r="AF84" s="48">
        <f t="shared" si="61"/>
        <v>-156.15483870967773</v>
      </c>
      <c r="AG84" s="490">
        <f t="shared" si="62"/>
        <v>0.89589677419354818</v>
      </c>
      <c r="AH84" s="688"/>
    </row>
    <row r="85" spans="1:34" ht="19.2" customHeight="1">
      <c r="A85" s="697"/>
      <c r="B85" s="110" t="s">
        <v>123</v>
      </c>
      <c r="C85" s="122"/>
      <c r="D85" s="186" t="s">
        <v>192</v>
      </c>
      <c r="E85" s="43"/>
      <c r="F85" s="350">
        <v>61.09</v>
      </c>
      <c r="G85" s="44">
        <v>1976</v>
      </c>
      <c r="H85" s="84">
        <f t="shared" si="54"/>
        <v>120713.84000000001</v>
      </c>
      <c r="I85" s="486"/>
      <c r="J85" s="87">
        <v>17</v>
      </c>
      <c r="K85" s="57">
        <v>1440</v>
      </c>
      <c r="L85" s="86">
        <v>84.705882352941174</v>
      </c>
      <c r="M85" s="489">
        <v>17</v>
      </c>
      <c r="N85" s="57">
        <f t="shared" si="55"/>
        <v>1274.8387096774195</v>
      </c>
      <c r="O85" s="183">
        <f t="shared" si="56"/>
        <v>74.990512333965853</v>
      </c>
      <c r="P85" s="54">
        <f t="shared" si="57"/>
        <v>0</v>
      </c>
      <c r="Q85" s="88">
        <f t="shared" si="58"/>
        <v>-9.7153700189753209</v>
      </c>
      <c r="R85" s="185">
        <f t="shared" si="59"/>
        <v>0.88530465949820802</v>
      </c>
      <c r="S85" s="688"/>
      <c r="T85" s="50">
        <v>0.53194444444444444</v>
      </c>
      <c r="U85" s="50">
        <v>0.59652777777777777</v>
      </c>
      <c r="V85" s="486">
        <v>5</v>
      </c>
      <c r="W85" s="483">
        <f t="shared" si="60"/>
        <v>92.999999999999986</v>
      </c>
      <c r="X85" s="53"/>
      <c r="Y85" s="53"/>
      <c r="Z85" s="54"/>
      <c r="AA85" s="54"/>
      <c r="AB85" s="673"/>
      <c r="AC85" s="673"/>
      <c r="AD85" s="500"/>
      <c r="AE85" s="500"/>
      <c r="AF85" s="48">
        <f t="shared" si="61"/>
        <v>-165.1612903225805</v>
      </c>
      <c r="AG85" s="490">
        <f t="shared" si="62"/>
        <v>0.88530465949820802</v>
      </c>
      <c r="AH85" s="688"/>
    </row>
    <row r="86" spans="1:34" ht="19.2" customHeight="1">
      <c r="A86" s="697"/>
      <c r="B86" s="110" t="s">
        <v>122</v>
      </c>
      <c r="C86" s="97"/>
      <c r="D86" s="186" t="s">
        <v>55</v>
      </c>
      <c r="E86" s="43"/>
      <c r="F86" s="350">
        <v>37.799999999999997</v>
      </c>
      <c r="G86" s="44">
        <v>5785</v>
      </c>
      <c r="H86" s="84">
        <f t="shared" si="54"/>
        <v>218672.99999999997</v>
      </c>
      <c r="I86" s="486"/>
      <c r="J86" s="87">
        <v>20</v>
      </c>
      <c r="K86" s="57">
        <v>2769</v>
      </c>
      <c r="L86" s="86">
        <v>138.44999999999999</v>
      </c>
      <c r="M86" s="489">
        <v>20</v>
      </c>
      <c r="N86" s="57">
        <f t="shared" si="55"/>
        <v>2268.627450980393</v>
      </c>
      <c r="O86" s="183">
        <f t="shared" si="56"/>
        <v>113.43137254901964</v>
      </c>
      <c r="P86" s="54">
        <f t="shared" si="57"/>
        <v>0</v>
      </c>
      <c r="Q86" s="88">
        <f t="shared" si="58"/>
        <v>-25.018627450980347</v>
      </c>
      <c r="R86" s="185">
        <f t="shared" si="59"/>
        <v>0.81929485409187175</v>
      </c>
      <c r="S86" s="688"/>
      <c r="T86" s="50">
        <v>0.61180555555555549</v>
      </c>
      <c r="U86" s="50">
        <v>0.71805555555555545</v>
      </c>
      <c r="V86" s="486">
        <v>22</v>
      </c>
      <c r="W86" s="483">
        <f t="shared" si="60"/>
        <v>152.99999999999994</v>
      </c>
      <c r="X86" s="53">
        <v>0.60069444444444442</v>
      </c>
      <c r="Y86" s="53">
        <v>0.61111111111111105</v>
      </c>
      <c r="Z86" s="54"/>
      <c r="AA86" s="54"/>
      <c r="AB86" s="673"/>
      <c r="AC86" s="673"/>
      <c r="AD86" s="500">
        <v>1</v>
      </c>
      <c r="AE86" s="500">
        <v>1</v>
      </c>
      <c r="AF86" s="48">
        <f t="shared" si="61"/>
        <v>-500.37254901960705</v>
      </c>
      <c r="AG86" s="490">
        <f t="shared" si="62"/>
        <v>0.81929485409187175</v>
      </c>
      <c r="AH86" s="688"/>
    </row>
    <row r="87" spans="1:34" ht="19.2" customHeight="1">
      <c r="A87" s="697"/>
      <c r="B87" s="110" t="s">
        <v>122</v>
      </c>
      <c r="C87" s="97"/>
      <c r="D87" s="186" t="s">
        <v>54</v>
      </c>
      <c r="E87" s="43"/>
      <c r="F87" s="350">
        <v>38.479999999999997</v>
      </c>
      <c r="G87" s="44">
        <v>1264.2</v>
      </c>
      <c r="H87" s="84">
        <f t="shared" si="54"/>
        <v>48646.415999999997</v>
      </c>
      <c r="I87" s="486">
        <v>1</v>
      </c>
      <c r="J87" s="87">
        <v>19</v>
      </c>
      <c r="K87" s="57">
        <v>2769</v>
      </c>
      <c r="L87" s="86">
        <v>145.73684210526315</v>
      </c>
      <c r="M87" s="489">
        <v>19</v>
      </c>
      <c r="N87" s="57">
        <f t="shared" si="55"/>
        <v>2446.8387096774154</v>
      </c>
      <c r="O87" s="183">
        <f t="shared" si="56"/>
        <v>128.78098471986397</v>
      </c>
      <c r="P87" s="54">
        <f t="shared" si="57"/>
        <v>0</v>
      </c>
      <c r="Q87" s="88">
        <f t="shared" si="58"/>
        <v>-16.955857385399185</v>
      </c>
      <c r="R87" s="185">
        <f t="shared" si="59"/>
        <v>0.88365428301820714</v>
      </c>
      <c r="S87" s="688"/>
      <c r="T87" s="50">
        <v>0.72291666666666654</v>
      </c>
      <c r="U87" s="50">
        <v>0.74444444444444435</v>
      </c>
      <c r="V87" s="486">
        <v>7</v>
      </c>
      <c r="W87" s="483">
        <f t="shared" si="60"/>
        <v>31.00000000000005</v>
      </c>
      <c r="X87" s="53"/>
      <c r="Y87" s="53"/>
      <c r="Z87" s="54"/>
      <c r="AA87" s="54"/>
      <c r="AB87" s="673"/>
      <c r="AC87" s="673"/>
      <c r="AD87" s="500"/>
      <c r="AE87" s="500">
        <v>1</v>
      </c>
      <c r="AF87" s="48">
        <f t="shared" si="61"/>
        <v>-322.16129032258459</v>
      </c>
      <c r="AG87" s="490">
        <f t="shared" si="62"/>
        <v>0.88365428301820703</v>
      </c>
      <c r="AH87" s="688"/>
    </row>
    <row r="88" spans="1:34" ht="19.2" customHeight="1">
      <c r="A88" s="697"/>
      <c r="B88" s="110" t="s">
        <v>124</v>
      </c>
      <c r="C88" s="496"/>
      <c r="D88" s="186" t="s">
        <v>195</v>
      </c>
      <c r="E88" s="43"/>
      <c r="F88" s="350">
        <v>50.67</v>
      </c>
      <c r="G88" s="57">
        <v>378.71999999999997</v>
      </c>
      <c r="H88" s="84">
        <f t="shared" si="54"/>
        <v>19189.742399999999</v>
      </c>
      <c r="I88" s="486">
        <v>1</v>
      </c>
      <c r="J88" s="87">
        <v>19</v>
      </c>
      <c r="K88" s="57">
        <v>1500</v>
      </c>
      <c r="L88" s="86">
        <v>78.94736842105263</v>
      </c>
      <c r="M88" s="489">
        <v>19</v>
      </c>
      <c r="N88" s="57">
        <f t="shared" si="55"/>
        <v>1262.4000000000044</v>
      </c>
      <c r="O88" s="183">
        <f t="shared" si="56"/>
        <v>66.442105263158126</v>
      </c>
      <c r="P88" s="54">
        <f t="shared" si="57"/>
        <v>0</v>
      </c>
      <c r="Q88" s="88">
        <f t="shared" si="58"/>
        <v>-12.505263157894504</v>
      </c>
      <c r="R88" s="185">
        <f t="shared" si="59"/>
        <v>0.8416000000000029</v>
      </c>
      <c r="S88" s="688"/>
      <c r="T88" s="50">
        <v>0.74999999999999989</v>
      </c>
      <c r="U88" s="50">
        <v>0.76249999999999984</v>
      </c>
      <c r="V88" s="486">
        <v>8</v>
      </c>
      <c r="W88" s="483">
        <f t="shared" si="60"/>
        <v>17.999999999999936</v>
      </c>
      <c r="X88" s="53"/>
      <c r="Y88" s="53"/>
      <c r="Z88" s="54"/>
      <c r="AA88" s="54"/>
      <c r="AB88" s="673"/>
      <c r="AC88" s="673"/>
      <c r="AD88" s="500"/>
      <c r="AE88" s="500"/>
      <c r="AF88" s="48">
        <f t="shared" si="61"/>
        <v>-237.59999999999559</v>
      </c>
      <c r="AG88" s="490">
        <f t="shared" si="62"/>
        <v>0.8416000000000029</v>
      </c>
      <c r="AH88" s="688"/>
    </row>
    <row r="89" spans="1:34" ht="19.2" customHeight="1">
      <c r="A89" s="697"/>
      <c r="B89" s="110" t="s">
        <v>124</v>
      </c>
      <c r="C89" s="496"/>
      <c r="D89" s="42" t="s">
        <v>173</v>
      </c>
      <c r="E89" s="43"/>
      <c r="F89" s="350">
        <v>49.91</v>
      </c>
      <c r="G89" s="114">
        <v>364.1</v>
      </c>
      <c r="H89" s="84">
        <f t="shared" si="54"/>
        <v>18172.231</v>
      </c>
      <c r="I89" s="486">
        <v>1</v>
      </c>
      <c r="J89" s="87">
        <v>17</v>
      </c>
      <c r="K89" s="57">
        <v>1565</v>
      </c>
      <c r="L89" s="86">
        <v>92.058823529411768</v>
      </c>
      <c r="M89" s="489">
        <v>17</v>
      </c>
      <c r="N89" s="57">
        <f t="shared" si="55"/>
        <v>1365.375000000005</v>
      </c>
      <c r="O89" s="183">
        <f t="shared" si="56"/>
        <v>80.31617647058853</v>
      </c>
      <c r="P89" s="54">
        <f t="shared" si="57"/>
        <v>0</v>
      </c>
      <c r="Q89" s="88">
        <f t="shared" si="58"/>
        <v>-11.742647058823238</v>
      </c>
      <c r="R89" s="185">
        <f t="shared" si="59"/>
        <v>0.87244408945687213</v>
      </c>
      <c r="S89" s="688"/>
      <c r="T89" s="50">
        <v>0.76805555555555538</v>
      </c>
      <c r="U89" s="50">
        <v>0.77916666666666645</v>
      </c>
      <c r="V89" s="486">
        <v>8</v>
      </c>
      <c r="W89" s="483">
        <f t="shared" si="60"/>
        <v>15.999999999999943</v>
      </c>
      <c r="X89" s="53"/>
      <c r="Y89" s="53"/>
      <c r="Z89" s="54"/>
      <c r="AA89" s="54"/>
      <c r="AB89" s="673"/>
      <c r="AC89" s="673"/>
      <c r="AD89" s="500"/>
      <c r="AE89" s="500"/>
      <c r="AF89" s="48">
        <f t="shared" si="61"/>
        <v>-199.624999999995</v>
      </c>
      <c r="AG89" s="490">
        <f t="shared" si="62"/>
        <v>0.87244408945687224</v>
      </c>
      <c r="AH89" s="688"/>
    </row>
    <row r="90" spans="1:34" ht="19.2" customHeight="1">
      <c r="A90" s="697"/>
      <c r="B90" s="110">
        <v>0</v>
      </c>
      <c r="C90" s="496"/>
      <c r="D90" s="42"/>
      <c r="E90" s="43"/>
      <c r="F90" s="350" t="s">
        <v>128</v>
      </c>
      <c r="G90" s="127"/>
      <c r="H90" s="84">
        <f t="shared" si="54"/>
        <v>0</v>
      </c>
      <c r="I90" s="187"/>
      <c r="J90" s="87"/>
      <c r="K90" s="57"/>
      <c r="L90" s="86"/>
      <c r="M90" s="489"/>
      <c r="N90" s="57"/>
      <c r="O90" s="183"/>
      <c r="P90" s="54"/>
      <c r="Q90" s="88"/>
      <c r="R90" s="185"/>
      <c r="S90" s="688"/>
      <c r="T90" s="50"/>
      <c r="U90" s="50"/>
      <c r="V90" s="486"/>
      <c r="W90" s="483">
        <f t="shared" si="60"/>
        <v>0</v>
      </c>
      <c r="X90" s="188"/>
      <c r="Y90" s="188"/>
      <c r="Z90" s="54"/>
      <c r="AA90" s="54"/>
      <c r="AB90" s="673"/>
      <c r="AC90" s="673"/>
      <c r="AD90" s="500"/>
      <c r="AE90" s="500"/>
      <c r="AF90" s="48">
        <f t="shared" si="61"/>
        <v>0</v>
      </c>
      <c r="AG90" s="490" t="e">
        <f t="shared" si="62"/>
        <v>#DIV/0!</v>
      </c>
      <c r="AH90" s="688"/>
    </row>
    <row r="91" spans="1:34" ht="19.2" customHeight="1">
      <c r="A91" s="697"/>
      <c r="B91" s="110">
        <v>0</v>
      </c>
      <c r="C91" s="496"/>
      <c r="D91" s="42"/>
      <c r="E91" s="43"/>
      <c r="F91" s="350" t="s">
        <v>128</v>
      </c>
      <c r="G91" s="44"/>
      <c r="H91" s="84">
        <f t="shared" si="54"/>
        <v>0</v>
      </c>
      <c r="I91" s="189"/>
      <c r="J91" s="87"/>
      <c r="K91" s="57"/>
      <c r="L91" s="86"/>
      <c r="M91" s="489"/>
      <c r="N91" s="57"/>
      <c r="O91" s="183"/>
      <c r="P91" s="54"/>
      <c r="Q91" s="88"/>
      <c r="R91" s="185"/>
      <c r="S91" s="689"/>
      <c r="T91" s="50"/>
      <c r="U91" s="50"/>
      <c r="V91" s="486"/>
      <c r="W91" s="483">
        <f t="shared" si="60"/>
        <v>0</v>
      </c>
      <c r="X91" s="115"/>
      <c r="Y91" s="115"/>
      <c r="Z91" s="54"/>
      <c r="AA91" s="54"/>
      <c r="AB91" s="673"/>
      <c r="AC91" s="673"/>
      <c r="AD91" s="500"/>
      <c r="AE91" s="500"/>
      <c r="AF91" s="48">
        <f t="shared" si="61"/>
        <v>0</v>
      </c>
      <c r="AG91" s="490" t="e">
        <f t="shared" si="62"/>
        <v>#DIV/0!</v>
      </c>
      <c r="AH91" s="689"/>
    </row>
    <row r="92" spans="1:34" ht="19.2" customHeight="1">
      <c r="A92" s="697"/>
      <c r="B92" s="110">
        <v>0</v>
      </c>
      <c r="C92" s="496"/>
      <c r="D92" s="42"/>
      <c r="E92" s="43"/>
      <c r="F92" s="350" t="s">
        <v>128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98"/>
      <c r="S92" s="689"/>
      <c r="T92" s="50"/>
      <c r="U92" s="50"/>
      <c r="V92" s="486"/>
      <c r="W92" s="483">
        <f t="shared" si="60"/>
        <v>0</v>
      </c>
      <c r="X92" s="180"/>
      <c r="Y92" s="180"/>
      <c r="Z92" s="124"/>
      <c r="AA92" s="124"/>
      <c r="AB92" s="673"/>
      <c r="AC92" s="673"/>
      <c r="AD92" s="500"/>
      <c r="AE92" s="500"/>
      <c r="AF92" s="48">
        <f t="shared" si="61"/>
        <v>0</v>
      </c>
      <c r="AG92" s="490" t="e">
        <f t="shared" si="62"/>
        <v>#DIV/0!</v>
      </c>
      <c r="AH92" s="689"/>
    </row>
    <row r="93" spans="1:34" ht="19.2" customHeight="1">
      <c r="A93" s="697"/>
      <c r="B93" s="487">
        <v>0</v>
      </c>
      <c r="C93" s="195"/>
      <c r="D93" s="59"/>
      <c r="E93" s="60"/>
      <c r="F93" s="350" t="s">
        <v>128</v>
      </c>
      <c r="G93" s="44"/>
      <c r="H93" s="84">
        <f t="shared" si="54"/>
        <v>0</v>
      </c>
      <c r="I93" s="196"/>
      <c r="J93" s="87"/>
      <c r="K93" s="57"/>
      <c r="L93" s="192"/>
      <c r="M93" s="489"/>
      <c r="N93" s="57"/>
      <c r="O93" s="86"/>
      <c r="P93" s="54"/>
      <c r="Q93" s="88"/>
      <c r="R93" s="493"/>
      <c r="S93" s="698"/>
      <c r="T93" s="63"/>
      <c r="U93" s="63"/>
      <c r="V93" s="487"/>
      <c r="W93" s="483">
        <f t="shared" si="60"/>
        <v>0</v>
      </c>
      <c r="X93" s="197"/>
      <c r="Y93" s="197"/>
      <c r="Z93" s="124"/>
      <c r="AA93" s="124"/>
      <c r="AB93" s="673"/>
      <c r="AC93" s="673"/>
      <c r="AD93" s="500"/>
      <c r="AE93" s="500"/>
      <c r="AF93" s="48">
        <f t="shared" si="61"/>
        <v>0</v>
      </c>
      <c r="AG93" s="490" t="e">
        <f t="shared" si="62"/>
        <v>#DIV/0!</v>
      </c>
      <c r="AH93" s="689"/>
    </row>
    <row r="94" spans="1:34" ht="19.2" customHeight="1">
      <c r="A94" s="697"/>
      <c r="B94" s="487">
        <v>0</v>
      </c>
      <c r="C94" s="195"/>
      <c r="D94" s="42"/>
      <c r="E94" s="43"/>
      <c r="F94" s="350" t="s">
        <v>128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93"/>
      <c r="S94" s="698"/>
      <c r="T94" s="63"/>
      <c r="U94" s="63"/>
      <c r="V94" s="487"/>
      <c r="W94" s="483">
        <f>(U94-T94)*24*60</f>
        <v>0</v>
      </c>
      <c r="X94" s="197"/>
      <c r="Y94" s="197"/>
      <c r="Z94" s="124"/>
      <c r="AA94" s="124"/>
      <c r="AB94" s="673"/>
      <c r="AC94" s="673"/>
      <c r="AD94" s="500"/>
      <c r="AE94" s="500"/>
      <c r="AF94" s="48">
        <f t="shared" si="61"/>
        <v>0</v>
      </c>
      <c r="AG94" s="490" t="e">
        <f t="shared" si="62"/>
        <v>#DIV/0!</v>
      </c>
      <c r="AH94" s="689"/>
    </row>
    <row r="95" spans="1:34" ht="19.2" customHeight="1">
      <c r="A95" s="697"/>
      <c r="B95" s="200">
        <v>0</v>
      </c>
      <c r="C95" s="100" t="s">
        <v>522</v>
      </c>
      <c r="D95" s="669" t="s">
        <v>455</v>
      </c>
      <c r="E95" s="669"/>
      <c r="F95" s="344"/>
      <c r="G95" s="70"/>
      <c r="H95" s="201"/>
      <c r="I95" s="103"/>
      <c r="J95" s="202">
        <v>18.285714285714285</v>
      </c>
      <c r="K95" s="202">
        <v>1854.7142857142858</v>
      </c>
      <c r="L95" s="203">
        <v>100.50745245466608</v>
      </c>
      <c r="M95" s="202">
        <f t="shared" ref="M95:O95" si="63">AVERAGE(M83:M94)</f>
        <v>18.285714285714285</v>
      </c>
      <c r="N95" s="202">
        <f t="shared" si="63"/>
        <v>1615.7802309987733</v>
      </c>
      <c r="O95" s="203">
        <f t="shared" si="63"/>
        <v>87.716503646885116</v>
      </c>
      <c r="P95" s="204">
        <f>M95-J95</f>
        <v>0</v>
      </c>
      <c r="Q95" s="205">
        <f t="shared" ref="Q95:Q104" si="64">O95-L95</f>
        <v>-12.790948807780964</v>
      </c>
      <c r="R95" s="206">
        <f>O95/L95</f>
        <v>0.87273631461756207</v>
      </c>
      <c r="S95" s="689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673"/>
      <c r="AC95" s="673"/>
      <c r="AD95" s="107">
        <f>SUM(AD83:AD94)</f>
        <v>1</v>
      </c>
      <c r="AE95" s="107">
        <f>SUM(AE83:AE94)</f>
        <v>2</v>
      </c>
      <c r="AF95" s="65">
        <f t="shared" si="61"/>
        <v>-238.9340547155125</v>
      </c>
      <c r="AG95" s="491">
        <f t="shared" si="62"/>
        <v>0.87117473750222696</v>
      </c>
      <c r="AH95" s="689"/>
    </row>
    <row r="96" spans="1:34" ht="19.2" customHeight="1">
      <c r="A96" s="699" t="s">
        <v>523</v>
      </c>
      <c r="B96" s="486" t="s">
        <v>125</v>
      </c>
      <c r="C96" s="97"/>
      <c r="D96" s="42" t="s">
        <v>200</v>
      </c>
      <c r="E96" s="43"/>
      <c r="F96" s="343">
        <v>29.46</v>
      </c>
      <c r="G96" s="44">
        <v>1386.9</v>
      </c>
      <c r="H96" s="45">
        <f t="shared" ref="H96:H105" si="65">F96*G96</f>
        <v>40858.074000000001</v>
      </c>
      <c r="I96" s="486"/>
      <c r="J96" s="46">
        <v>16</v>
      </c>
      <c r="K96" s="44">
        <v>1385</v>
      </c>
      <c r="L96" s="47">
        <v>86.5625</v>
      </c>
      <c r="M96" s="484">
        <v>16</v>
      </c>
      <c r="N96" s="44">
        <f t="shared" ref="N96:N104" si="66">G96/W96*60</f>
        <v>1109.5200000000004</v>
      </c>
      <c r="O96" s="47">
        <f t="shared" ref="O96:O104" si="67">N96/M96</f>
        <v>69.345000000000027</v>
      </c>
      <c r="P96" s="48">
        <f t="shared" ref="P96:P104" si="68">M96-J96</f>
        <v>0</v>
      </c>
      <c r="Q96" s="49">
        <f t="shared" si="64"/>
        <v>-17.217499999999973</v>
      </c>
      <c r="R96" s="490">
        <f t="shared" ref="R96:R104" si="69">O96/L96</f>
        <v>0.80109747292418809</v>
      </c>
      <c r="S96" s="688">
        <f>R108</f>
        <v>0.8560208744705291</v>
      </c>
      <c r="T96" s="89">
        <v>0.33333333333333331</v>
      </c>
      <c r="U96" s="89">
        <v>0.38541666666666663</v>
      </c>
      <c r="V96" s="500">
        <v>5</v>
      </c>
      <c r="W96" s="90">
        <f t="shared" ref="W96:W133" si="70">(U96-T96)*24*60</f>
        <v>74.999999999999972</v>
      </c>
      <c r="X96" s="96"/>
      <c r="Y96" s="96"/>
      <c r="Z96" s="54"/>
      <c r="AA96" s="54"/>
      <c r="AB96" s="673"/>
      <c r="AC96" s="673"/>
      <c r="AD96" s="500"/>
      <c r="AE96" s="500"/>
      <c r="AF96" s="54">
        <f t="shared" si="61"/>
        <v>-275.47999999999956</v>
      </c>
      <c r="AG96" s="493">
        <f t="shared" si="62"/>
        <v>0.80109747292418809</v>
      </c>
      <c r="AH96" s="672">
        <f>AG108</f>
        <v>0.85473619926471944</v>
      </c>
    </row>
    <row r="97" spans="1:34" s="215" customFormat="1" ht="19.2" customHeight="1">
      <c r="A97" s="699"/>
      <c r="B97" s="486" t="s">
        <v>125</v>
      </c>
      <c r="C97" s="207"/>
      <c r="D97" s="208" t="s">
        <v>63</v>
      </c>
      <c r="E97" s="56"/>
      <c r="F97" s="354">
        <v>29.113149847094796</v>
      </c>
      <c r="G97" s="209">
        <v>2613.6000000000004</v>
      </c>
      <c r="H97" s="210">
        <f t="shared" si="65"/>
        <v>76090.128440366971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1285.3770491803284</v>
      </c>
      <c r="O97" s="47">
        <f t="shared" si="67"/>
        <v>64.268852459016415</v>
      </c>
      <c r="P97" s="48">
        <f t="shared" si="68"/>
        <v>0</v>
      </c>
      <c r="Q97" s="49">
        <f t="shared" si="64"/>
        <v>-4.981147540983585</v>
      </c>
      <c r="R97" s="490">
        <f t="shared" si="69"/>
        <v>0.92807007161034538</v>
      </c>
      <c r="S97" s="688"/>
      <c r="T97" s="211">
        <v>0.40069444444444441</v>
      </c>
      <c r="U97" s="211">
        <v>0.48541666666666661</v>
      </c>
      <c r="V97" s="212">
        <v>22</v>
      </c>
      <c r="W97" s="90">
        <f t="shared" si="70"/>
        <v>121.99999999999997</v>
      </c>
      <c r="X97" s="53">
        <v>0.39027777777777778</v>
      </c>
      <c r="Y97" s="53">
        <v>0.39999999999999997</v>
      </c>
      <c r="Z97" s="54"/>
      <c r="AA97" s="54"/>
      <c r="AB97" s="673"/>
      <c r="AC97" s="673"/>
      <c r="AD97" s="212"/>
      <c r="AE97" s="212"/>
      <c r="AF97" s="213">
        <f t="shared" si="61"/>
        <v>-99.622950819671587</v>
      </c>
      <c r="AG97" s="214">
        <f t="shared" si="62"/>
        <v>0.92807007161034538</v>
      </c>
      <c r="AH97" s="672"/>
    </row>
    <row r="98" spans="1:34" s="218" customFormat="1" ht="19.2" customHeight="1">
      <c r="A98" s="699"/>
      <c r="B98" s="486" t="s">
        <v>123</v>
      </c>
      <c r="C98" s="55"/>
      <c r="D98" s="42" t="s">
        <v>171</v>
      </c>
      <c r="E98" s="83"/>
      <c r="F98" s="354">
        <v>77.349999999999994</v>
      </c>
      <c r="G98" s="57">
        <v>303</v>
      </c>
      <c r="H98" s="210">
        <f t="shared" si="65"/>
        <v>23437.05</v>
      </c>
      <c r="I98" s="50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1069.4117647058863</v>
      </c>
      <c r="O98" s="47">
        <f t="shared" si="67"/>
        <v>59.411764705882575</v>
      </c>
      <c r="P98" s="48">
        <f t="shared" si="68"/>
        <v>-1</v>
      </c>
      <c r="Q98" s="49">
        <f t="shared" si="64"/>
        <v>-16.377708978327945</v>
      </c>
      <c r="R98" s="490">
        <f t="shared" si="69"/>
        <v>0.78390522875817292</v>
      </c>
      <c r="S98" s="688"/>
      <c r="T98" s="89">
        <v>0.52569444444444435</v>
      </c>
      <c r="U98" s="89">
        <v>0.53749999999999987</v>
      </c>
      <c r="V98" s="500">
        <v>5</v>
      </c>
      <c r="W98" s="90">
        <f t="shared" si="70"/>
        <v>16.99999999999994</v>
      </c>
      <c r="X98" s="216"/>
      <c r="Y98" s="216"/>
      <c r="Z98" s="217"/>
      <c r="AA98" s="217"/>
      <c r="AB98" s="673"/>
      <c r="AC98" s="673"/>
      <c r="AD98" s="500"/>
      <c r="AE98" s="500"/>
      <c r="AF98" s="54">
        <f t="shared" si="61"/>
        <v>-370.5882352941137</v>
      </c>
      <c r="AG98" s="493">
        <f t="shared" si="62"/>
        <v>0.7426470588235321</v>
      </c>
      <c r="AH98" s="672"/>
    </row>
    <row r="99" spans="1:34" ht="19.2" customHeight="1">
      <c r="A99" s="699"/>
      <c r="B99" s="486" t="s">
        <v>123</v>
      </c>
      <c r="C99" s="81"/>
      <c r="D99" s="82" t="s">
        <v>57</v>
      </c>
      <c r="E99" s="83"/>
      <c r="F99" s="354">
        <v>77.34</v>
      </c>
      <c r="G99" s="57">
        <v>802</v>
      </c>
      <c r="H99" s="210">
        <f t="shared" si="65"/>
        <v>62026.68</v>
      </c>
      <c r="I99" s="500"/>
      <c r="J99" s="46">
        <v>18</v>
      </c>
      <c r="K99" s="44">
        <v>1440</v>
      </c>
      <c r="L99" s="47">
        <v>80</v>
      </c>
      <c r="M99" s="484">
        <v>18</v>
      </c>
      <c r="N99" s="44">
        <f t="shared" si="66"/>
        <v>1300.5405405405395</v>
      </c>
      <c r="O99" s="47">
        <f t="shared" si="67"/>
        <v>72.252252252252191</v>
      </c>
      <c r="P99" s="48">
        <f t="shared" si="68"/>
        <v>0</v>
      </c>
      <c r="Q99" s="49">
        <f t="shared" si="64"/>
        <v>-7.7477477477478089</v>
      </c>
      <c r="R99" s="490">
        <f t="shared" si="69"/>
        <v>0.90315315315315237</v>
      </c>
      <c r="S99" s="688"/>
      <c r="T99" s="89">
        <v>0.54166666666666652</v>
      </c>
      <c r="U99" s="89">
        <v>0.56736111111111098</v>
      </c>
      <c r="V99" s="500">
        <v>6</v>
      </c>
      <c r="W99" s="90">
        <f t="shared" si="70"/>
        <v>37.000000000000028</v>
      </c>
      <c r="X99" s="180"/>
      <c r="Y99" s="180"/>
      <c r="Z99" s="124"/>
      <c r="AA99" s="124"/>
      <c r="AB99" s="673"/>
      <c r="AC99" s="673"/>
      <c r="AD99" s="500">
        <v>1</v>
      </c>
      <c r="AE99" s="500"/>
      <c r="AF99" s="213">
        <f t="shared" si="61"/>
        <v>-139.4594594594605</v>
      </c>
      <c r="AG99" s="214">
        <f t="shared" si="62"/>
        <v>0.90315315315315248</v>
      </c>
      <c r="AH99" s="672"/>
    </row>
    <row r="100" spans="1:34" s="218" customFormat="1" ht="19.2" customHeight="1">
      <c r="A100" s="699"/>
      <c r="B100" s="486" t="s">
        <v>127</v>
      </c>
      <c r="C100" s="55"/>
      <c r="D100" s="42" t="s">
        <v>209</v>
      </c>
      <c r="E100" s="83"/>
      <c r="F100" s="354">
        <v>51.44</v>
      </c>
      <c r="G100" s="57">
        <v>1493</v>
      </c>
      <c r="H100" s="210">
        <f t="shared" si="65"/>
        <v>76799.92</v>
      </c>
      <c r="I100" s="500"/>
      <c r="J100" s="46">
        <v>20</v>
      </c>
      <c r="K100" s="44">
        <v>1440</v>
      </c>
      <c r="L100" s="47">
        <v>72</v>
      </c>
      <c r="M100" s="87">
        <v>20</v>
      </c>
      <c r="N100" s="44">
        <f t="shared" si="66"/>
        <v>1244.1666666666658</v>
      </c>
      <c r="O100" s="47">
        <f t="shared" si="67"/>
        <v>62.208333333333293</v>
      </c>
      <c r="P100" s="48">
        <f t="shared" si="68"/>
        <v>0</v>
      </c>
      <c r="Q100" s="49">
        <f t="shared" si="64"/>
        <v>-9.7916666666667069</v>
      </c>
      <c r="R100" s="490">
        <f t="shared" si="69"/>
        <v>0.8640046296296291</v>
      </c>
      <c r="S100" s="688"/>
      <c r="T100" s="211">
        <v>0.57222222222222208</v>
      </c>
      <c r="U100" s="211">
        <v>0.62222222222222212</v>
      </c>
      <c r="V100" s="212">
        <v>7</v>
      </c>
      <c r="W100" s="90">
        <f t="shared" si="70"/>
        <v>72.000000000000057</v>
      </c>
      <c r="X100" s="219"/>
      <c r="Y100" s="219"/>
      <c r="Z100" s="217"/>
      <c r="AA100" s="217"/>
      <c r="AB100" s="673"/>
      <c r="AC100" s="673"/>
      <c r="AD100" s="500"/>
      <c r="AE100" s="500"/>
      <c r="AF100" s="54">
        <f t="shared" si="61"/>
        <v>-195.83333333333417</v>
      </c>
      <c r="AG100" s="493">
        <f t="shared" si="62"/>
        <v>0.8640046296296291</v>
      </c>
      <c r="AH100" s="672"/>
    </row>
    <row r="101" spans="1:34" s="218" customFormat="1" ht="19.2" customHeight="1">
      <c r="A101" s="699"/>
      <c r="B101" s="486" t="s">
        <v>125</v>
      </c>
      <c r="C101" s="55"/>
      <c r="D101" s="82" t="s">
        <v>63</v>
      </c>
      <c r="E101" s="83"/>
      <c r="F101" s="354">
        <v>29.113149847094796</v>
      </c>
      <c r="G101" s="57">
        <v>653.40000000000009</v>
      </c>
      <c r="H101" s="210">
        <f t="shared" si="65"/>
        <v>19022.532110091743</v>
      </c>
      <c r="I101" s="500">
        <v>1</v>
      </c>
      <c r="J101" s="46">
        <v>20</v>
      </c>
      <c r="K101" s="44">
        <v>1385</v>
      </c>
      <c r="L101" s="47">
        <v>69.25</v>
      </c>
      <c r="M101" s="87">
        <v>20</v>
      </c>
      <c r="N101" s="44">
        <f t="shared" si="66"/>
        <v>1264.6451612903206</v>
      </c>
      <c r="O101" s="47">
        <f t="shared" si="67"/>
        <v>63.232258064516031</v>
      </c>
      <c r="P101" s="48">
        <f t="shared" si="68"/>
        <v>0</v>
      </c>
      <c r="Q101" s="49">
        <f t="shared" si="64"/>
        <v>-6.0177419354839685</v>
      </c>
      <c r="R101" s="490">
        <f t="shared" si="69"/>
        <v>0.91310119948759616</v>
      </c>
      <c r="S101" s="688"/>
      <c r="T101" s="211">
        <v>0.63819444444444429</v>
      </c>
      <c r="U101" s="89">
        <v>0.6597222222222221</v>
      </c>
      <c r="V101" s="212">
        <v>23</v>
      </c>
      <c r="W101" s="90">
        <f t="shared" si="70"/>
        <v>31.00000000000005</v>
      </c>
      <c r="X101" s="220">
        <v>0.62638888888888888</v>
      </c>
      <c r="Y101" s="220">
        <v>0.63750000000000007</v>
      </c>
      <c r="Z101" s="217"/>
      <c r="AA101" s="217"/>
      <c r="AB101" s="673"/>
      <c r="AC101" s="673"/>
      <c r="AD101" s="500"/>
      <c r="AE101" s="500"/>
      <c r="AF101" s="213">
        <f t="shared" si="61"/>
        <v>-120.35483870967937</v>
      </c>
      <c r="AG101" s="214">
        <f t="shared" si="62"/>
        <v>0.91310119948759616</v>
      </c>
      <c r="AH101" s="672"/>
    </row>
    <row r="102" spans="1:34" s="218" customFormat="1" ht="19.2" customHeight="1">
      <c r="A102" s="699"/>
      <c r="B102" s="486" t="s">
        <v>126</v>
      </c>
      <c r="C102" s="175"/>
      <c r="D102" s="176" t="s">
        <v>206</v>
      </c>
      <c r="E102" s="177"/>
      <c r="F102" s="354">
        <v>30.13</v>
      </c>
      <c r="G102" s="57">
        <v>1541.3999999999999</v>
      </c>
      <c r="H102" s="210">
        <f t="shared" si="65"/>
        <v>46442.381999999998</v>
      </c>
      <c r="I102" s="486">
        <v>1</v>
      </c>
      <c r="J102" s="46">
        <v>18</v>
      </c>
      <c r="K102" s="44">
        <v>1200</v>
      </c>
      <c r="L102" s="47">
        <v>66.666666666666671</v>
      </c>
      <c r="M102" s="87">
        <v>18</v>
      </c>
      <c r="N102" s="44">
        <f t="shared" si="66"/>
        <v>1156.0499999999995</v>
      </c>
      <c r="O102" s="47">
        <f t="shared" si="67"/>
        <v>64.224999999999966</v>
      </c>
      <c r="P102" s="48">
        <f t="shared" si="68"/>
        <v>0</v>
      </c>
      <c r="Q102" s="49">
        <f t="shared" si="64"/>
        <v>-2.4416666666667055</v>
      </c>
      <c r="R102" s="490">
        <f t="shared" si="69"/>
        <v>0.96337499999999943</v>
      </c>
      <c r="S102" s="688"/>
      <c r="T102" s="211">
        <v>0.66458333333333319</v>
      </c>
      <c r="U102" s="211">
        <v>0.72013888888888877</v>
      </c>
      <c r="V102" s="212">
        <v>7</v>
      </c>
      <c r="W102" s="90">
        <f t="shared" si="70"/>
        <v>80.000000000000028</v>
      </c>
      <c r="X102" s="220"/>
      <c r="Y102" s="220"/>
      <c r="Z102" s="217"/>
      <c r="AA102" s="217"/>
      <c r="AB102" s="673"/>
      <c r="AC102" s="673"/>
      <c r="AD102" s="500"/>
      <c r="AE102" s="500"/>
      <c r="AF102" s="54">
        <f t="shared" si="61"/>
        <v>-43.9500000000005</v>
      </c>
      <c r="AG102" s="493">
        <f t="shared" si="62"/>
        <v>0.96337499999999954</v>
      </c>
      <c r="AH102" s="672"/>
    </row>
    <row r="103" spans="1:34" s="218" customFormat="1" ht="19.2" customHeight="1">
      <c r="A103" s="699"/>
      <c r="B103" s="486" t="s">
        <v>124</v>
      </c>
      <c r="C103" s="221"/>
      <c r="D103" s="82" t="s">
        <v>205</v>
      </c>
      <c r="E103" s="83"/>
      <c r="F103" s="354">
        <v>49.91</v>
      </c>
      <c r="G103" s="57">
        <v>466.90000000000003</v>
      </c>
      <c r="H103" s="210">
        <f t="shared" si="65"/>
        <v>23302.978999999999</v>
      </c>
      <c r="I103" s="222">
        <v>1</v>
      </c>
      <c r="J103" s="46">
        <v>17</v>
      </c>
      <c r="K103" s="44">
        <v>1565</v>
      </c>
      <c r="L103" s="47">
        <v>92.058823529411768</v>
      </c>
      <c r="M103" s="87">
        <v>17</v>
      </c>
      <c r="N103" s="44">
        <f t="shared" si="66"/>
        <v>1334.0000000000048</v>
      </c>
      <c r="O103" s="47">
        <f t="shared" si="67"/>
        <v>78.4705882352944</v>
      </c>
      <c r="P103" s="48">
        <f t="shared" si="68"/>
        <v>0</v>
      </c>
      <c r="Q103" s="49">
        <f t="shared" si="64"/>
        <v>-13.588235294117368</v>
      </c>
      <c r="R103" s="490">
        <f t="shared" si="69"/>
        <v>0.85239616613418834</v>
      </c>
      <c r="S103" s="688"/>
      <c r="T103" s="211">
        <v>0.72569444444444431</v>
      </c>
      <c r="U103" s="211">
        <v>0.74027777777777759</v>
      </c>
      <c r="V103" s="212">
        <v>8</v>
      </c>
      <c r="W103" s="90">
        <f t="shared" si="70"/>
        <v>20.999999999999925</v>
      </c>
      <c r="X103" s="220"/>
      <c r="Y103" s="220"/>
      <c r="Z103" s="217"/>
      <c r="AA103" s="217"/>
      <c r="AB103" s="673"/>
      <c r="AC103" s="673"/>
      <c r="AD103" s="500"/>
      <c r="AE103" s="500">
        <v>1</v>
      </c>
      <c r="AF103" s="54">
        <f t="shared" si="61"/>
        <v>-230.99999999999523</v>
      </c>
      <c r="AG103" s="493">
        <f t="shared" si="62"/>
        <v>0.85239616613418834</v>
      </c>
      <c r="AH103" s="672"/>
    </row>
    <row r="104" spans="1:34" s="218" customFormat="1" ht="19.2" customHeight="1">
      <c r="A104" s="699"/>
      <c r="B104" s="486" t="s">
        <v>125</v>
      </c>
      <c r="C104" s="223"/>
      <c r="D104" s="82" t="s">
        <v>200</v>
      </c>
      <c r="E104" s="83"/>
      <c r="F104" s="354">
        <v>29.46</v>
      </c>
      <c r="G104" s="209">
        <v>154.10000000000002</v>
      </c>
      <c r="H104" s="210">
        <f t="shared" si="65"/>
        <v>4539.786000000001</v>
      </c>
      <c r="I104" s="221">
        <v>1</v>
      </c>
      <c r="J104" s="46">
        <v>16</v>
      </c>
      <c r="K104" s="44">
        <v>1385</v>
      </c>
      <c r="L104" s="47">
        <v>86.5625</v>
      </c>
      <c r="M104" s="87">
        <v>16</v>
      </c>
      <c r="N104" s="44">
        <f t="shared" si="66"/>
        <v>1027.3333333333371</v>
      </c>
      <c r="O104" s="47">
        <f t="shared" si="67"/>
        <v>64.20833333333357</v>
      </c>
      <c r="P104" s="48">
        <f t="shared" si="68"/>
        <v>0</v>
      </c>
      <c r="Q104" s="49">
        <f t="shared" si="64"/>
        <v>-22.35416666666643</v>
      </c>
      <c r="R104" s="490">
        <f t="shared" si="69"/>
        <v>0.74175691937425059</v>
      </c>
      <c r="S104" s="689"/>
      <c r="T104" s="211">
        <v>0.74583333333333313</v>
      </c>
      <c r="U104" s="211">
        <v>0.7520833333333331</v>
      </c>
      <c r="V104" s="212">
        <v>8</v>
      </c>
      <c r="W104" s="90">
        <f t="shared" si="70"/>
        <v>8.999999999999968</v>
      </c>
      <c r="X104" s="220"/>
      <c r="Y104" s="220"/>
      <c r="Z104" s="217"/>
      <c r="AA104" s="217"/>
      <c r="AB104" s="673"/>
      <c r="AC104" s="673"/>
      <c r="AD104" s="500"/>
      <c r="AE104" s="500"/>
      <c r="AF104" s="213">
        <f t="shared" si="61"/>
        <v>-357.66666666666288</v>
      </c>
      <c r="AG104" s="214">
        <f t="shared" si="62"/>
        <v>0.74175691937425059</v>
      </c>
      <c r="AH104" s="672"/>
    </row>
    <row r="105" spans="1:34" s="218" customFormat="1" ht="19.2" customHeight="1">
      <c r="A105" s="699"/>
      <c r="B105" s="486">
        <v>0</v>
      </c>
      <c r="C105" s="223"/>
      <c r="D105" s="82"/>
      <c r="E105" s="83"/>
      <c r="F105" s="354" t="s">
        <v>128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90"/>
      <c r="S105" s="689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673"/>
      <c r="AC105" s="673"/>
      <c r="AD105" s="500"/>
      <c r="AE105" s="500"/>
      <c r="AF105" s="54">
        <f t="shared" si="61"/>
        <v>0</v>
      </c>
      <c r="AG105" s="493" t="e">
        <f t="shared" si="62"/>
        <v>#DIV/0!</v>
      </c>
      <c r="AH105" s="672"/>
    </row>
    <row r="106" spans="1:34" s="218" customFormat="1" ht="19.2" customHeight="1">
      <c r="A106" s="699"/>
      <c r="B106" s="221">
        <v>0</v>
      </c>
      <c r="C106" s="223"/>
      <c r="D106" s="82"/>
      <c r="E106" s="83"/>
      <c r="F106" s="343" t="s">
        <v>128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490"/>
      <c r="S106" s="698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673"/>
      <c r="AC106" s="673"/>
      <c r="AD106" s="500"/>
      <c r="AE106" s="500"/>
      <c r="AF106" s="54">
        <f t="shared" si="61"/>
        <v>0</v>
      </c>
      <c r="AG106" s="493" t="e">
        <f t="shared" si="62"/>
        <v>#DIV/0!</v>
      </c>
      <c r="AH106" s="672"/>
    </row>
    <row r="107" spans="1:34" s="218" customFormat="1" ht="19.2" customHeight="1">
      <c r="A107" s="699"/>
      <c r="B107" s="221">
        <v>0</v>
      </c>
      <c r="C107" s="223"/>
      <c r="D107" s="82"/>
      <c r="E107" s="83"/>
      <c r="F107" s="343" t="s">
        <v>128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93"/>
      <c r="S107" s="698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673"/>
      <c r="AC107" s="673"/>
      <c r="AD107" s="500"/>
      <c r="AE107" s="500"/>
      <c r="AF107" s="217"/>
      <c r="AG107" s="493"/>
      <c r="AH107" s="672"/>
    </row>
    <row r="108" spans="1:34" ht="19.2" customHeight="1">
      <c r="A108" s="699"/>
      <c r="B108" s="110">
        <v>0</v>
      </c>
      <c r="C108" s="100" t="s">
        <v>547</v>
      </c>
      <c r="D108" s="669" t="s">
        <v>511</v>
      </c>
      <c r="E108" s="669"/>
      <c r="F108" s="355"/>
      <c r="G108" s="101"/>
      <c r="H108" s="102"/>
      <c r="I108" s="103"/>
      <c r="J108" s="101">
        <v>18.222222222222221</v>
      </c>
      <c r="K108" s="101">
        <v>1402.7777777777778</v>
      </c>
      <c r="L108" s="104">
        <v>77.571107097809872</v>
      </c>
      <c r="M108" s="101">
        <f t="shared" ref="M108:O108" si="71">AVERAGE(M96:M107)</f>
        <v>18.111111111111111</v>
      </c>
      <c r="N108" s="101">
        <f t="shared" si="71"/>
        <v>1199.004946190787</v>
      </c>
      <c r="O108" s="104">
        <f t="shared" si="71"/>
        <v>66.402486931514275</v>
      </c>
      <c r="P108" s="54">
        <f t="shared" ref="P108:P117" si="72">M108-J108</f>
        <v>-0.11111111111111072</v>
      </c>
      <c r="Q108" s="88">
        <f t="shared" ref="Q108:Q117" si="73">O108-L108</f>
        <v>-11.168620166295597</v>
      </c>
      <c r="R108" s="105">
        <f t="shared" ref="R108:R117" si="74">O108/L108</f>
        <v>0.8560208744705291</v>
      </c>
      <c r="S108" s="689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673"/>
      <c r="AC108" s="673"/>
      <c r="AD108" s="107">
        <f>SUM(AD96:AD107)</f>
        <v>1</v>
      </c>
      <c r="AE108" s="107">
        <f>SUM(AE96:AE107)</f>
        <v>1</v>
      </c>
      <c r="AF108" s="54">
        <f t="shared" si="61"/>
        <v>-203.77283158699083</v>
      </c>
      <c r="AG108" s="493">
        <f t="shared" si="62"/>
        <v>0.85473619926471944</v>
      </c>
      <c r="AH108" s="672"/>
    </row>
    <row r="109" spans="1:34" ht="19.2" customHeight="1">
      <c r="A109" s="690" t="s">
        <v>548</v>
      </c>
      <c r="B109" s="486" t="s">
        <v>126</v>
      </c>
      <c r="C109" s="496"/>
      <c r="D109" s="390" t="s">
        <v>207</v>
      </c>
      <c r="E109" s="43"/>
      <c r="F109" s="343">
        <v>29.965493443754308</v>
      </c>
      <c r="G109" s="44">
        <v>1586</v>
      </c>
      <c r="H109" s="45">
        <f t="shared" ref="H109:H119" si="75">F109*G109</f>
        <v>47525.272601794335</v>
      </c>
      <c r="I109" s="486"/>
      <c r="J109" s="46">
        <v>18</v>
      </c>
      <c r="K109" s="44">
        <v>1200</v>
      </c>
      <c r="L109" s="47">
        <v>66.666666666666671</v>
      </c>
      <c r="M109" s="484">
        <v>18</v>
      </c>
      <c r="N109" s="44">
        <f t="shared" ref="N109:N117" si="76">G109/W109*60</f>
        <v>1174.8148148148143</v>
      </c>
      <c r="O109" s="47">
        <f t="shared" ref="O109:O117" si="77">N109/M109</f>
        <v>65.267489711934132</v>
      </c>
      <c r="P109" s="48">
        <f t="shared" si="72"/>
        <v>0</v>
      </c>
      <c r="Q109" s="49">
        <f t="shared" si="73"/>
        <v>-1.399176954732539</v>
      </c>
      <c r="R109" s="490">
        <f t="shared" si="74"/>
        <v>0.97901234567901196</v>
      </c>
      <c r="S109" s="693">
        <f>R121</f>
        <v>0.90805675973361855</v>
      </c>
      <c r="T109" s="226">
        <v>0.5</v>
      </c>
      <c r="U109" s="226">
        <v>0.55625000000000002</v>
      </c>
      <c r="V109" s="227">
        <v>5</v>
      </c>
      <c r="W109" s="483">
        <f t="shared" si="70"/>
        <v>81.000000000000028</v>
      </c>
      <c r="X109" s="53"/>
      <c r="Y109" s="53"/>
      <c r="Z109" s="54"/>
      <c r="AA109" s="54"/>
      <c r="AB109" s="673"/>
      <c r="AC109" s="673"/>
      <c r="AD109" s="500"/>
      <c r="AE109" s="500"/>
      <c r="AF109" s="48">
        <f t="shared" si="61"/>
        <v>-25.185185185185674</v>
      </c>
      <c r="AG109" s="125">
        <f t="shared" si="62"/>
        <v>0.97901234567901196</v>
      </c>
      <c r="AH109" s="672">
        <f>AG121</f>
        <v>0.90895279816267316</v>
      </c>
    </row>
    <row r="110" spans="1:34" ht="19.2" customHeight="1">
      <c r="A110" s="691"/>
      <c r="B110" s="486" t="s">
        <v>123</v>
      </c>
      <c r="C110" s="175"/>
      <c r="D110" s="42" t="s">
        <v>56</v>
      </c>
      <c r="E110" s="177"/>
      <c r="F110" s="343">
        <v>71.55</v>
      </c>
      <c r="G110" s="174">
        <v>800</v>
      </c>
      <c r="H110" s="45">
        <f t="shared" si="75"/>
        <v>57240</v>
      </c>
      <c r="I110" s="486"/>
      <c r="J110" s="46">
        <v>18</v>
      </c>
      <c r="K110" s="44">
        <v>1385</v>
      </c>
      <c r="L110" s="47">
        <v>76.944444444444443</v>
      </c>
      <c r="M110" s="484">
        <v>18</v>
      </c>
      <c r="N110" s="44">
        <f t="shared" si="76"/>
        <v>1230.76923076923</v>
      </c>
      <c r="O110" s="47">
        <f t="shared" si="77"/>
        <v>68.376068376068332</v>
      </c>
      <c r="P110" s="48">
        <f t="shared" si="72"/>
        <v>0</v>
      </c>
      <c r="Q110" s="49">
        <f t="shared" si="73"/>
        <v>-8.5683760683761108</v>
      </c>
      <c r="R110" s="490">
        <f t="shared" si="74"/>
        <v>0.88864204387670032</v>
      </c>
      <c r="S110" s="679"/>
      <c r="T110" s="226">
        <v>0.56111111111111112</v>
      </c>
      <c r="U110" s="226">
        <v>0.58819444444444446</v>
      </c>
      <c r="V110" s="227">
        <v>7</v>
      </c>
      <c r="W110" s="483">
        <f t="shared" si="70"/>
        <v>39.000000000000021</v>
      </c>
      <c r="X110" s="188"/>
      <c r="Y110" s="188"/>
      <c r="Z110" s="54"/>
      <c r="AA110" s="54"/>
      <c r="AB110" s="673"/>
      <c r="AC110" s="673"/>
      <c r="AD110" s="500"/>
      <c r="AE110" s="500"/>
      <c r="AF110" s="48">
        <f t="shared" si="61"/>
        <v>-154.23076923076997</v>
      </c>
      <c r="AG110" s="125">
        <f t="shared" si="62"/>
        <v>0.88864204387670043</v>
      </c>
      <c r="AH110" s="672"/>
    </row>
    <row r="111" spans="1:34" ht="19.2" customHeight="1">
      <c r="A111" s="691"/>
      <c r="B111" s="486" t="s">
        <v>123</v>
      </c>
      <c r="C111" s="175"/>
      <c r="D111" s="176" t="s">
        <v>58</v>
      </c>
      <c r="E111" s="177"/>
      <c r="F111" s="343">
        <v>59.54</v>
      </c>
      <c r="G111" s="57">
        <v>1246</v>
      </c>
      <c r="H111" s="45">
        <f t="shared" si="75"/>
        <v>74186.84</v>
      </c>
      <c r="I111" s="500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1267.1186440677975</v>
      </c>
      <c r="O111" s="47">
        <f t="shared" si="77"/>
        <v>70.395480225988749</v>
      </c>
      <c r="P111" s="48">
        <f t="shared" si="72"/>
        <v>0</v>
      </c>
      <c r="Q111" s="49">
        <f t="shared" si="73"/>
        <v>-6.5489642184556942</v>
      </c>
      <c r="R111" s="490">
        <f t="shared" si="74"/>
        <v>0.91488710763017866</v>
      </c>
      <c r="S111" s="679"/>
      <c r="T111" s="226">
        <v>0.60347222222222219</v>
      </c>
      <c r="U111" s="226">
        <v>0.64444444444444438</v>
      </c>
      <c r="V111" s="227">
        <v>22</v>
      </c>
      <c r="W111" s="483">
        <f t="shared" si="70"/>
        <v>58.99999999999995</v>
      </c>
      <c r="X111" s="53">
        <v>0.59236111111111112</v>
      </c>
      <c r="Y111" s="53">
        <v>0.6020833333333333</v>
      </c>
      <c r="Z111" s="54"/>
      <c r="AA111" s="54"/>
      <c r="AB111" s="673"/>
      <c r="AC111" s="673"/>
      <c r="AD111" s="500">
        <v>1</v>
      </c>
      <c r="AE111" s="500"/>
      <c r="AF111" s="48">
        <f t="shared" si="61"/>
        <v>-117.8813559322025</v>
      </c>
      <c r="AG111" s="125">
        <f t="shared" si="62"/>
        <v>0.91488710763017866</v>
      </c>
      <c r="AH111" s="672"/>
    </row>
    <row r="112" spans="1:34" ht="19.2" customHeight="1">
      <c r="A112" s="691"/>
      <c r="B112" s="486" t="s">
        <v>127</v>
      </c>
      <c r="C112" s="175"/>
      <c r="D112" s="176" t="s">
        <v>77</v>
      </c>
      <c r="E112" s="83"/>
      <c r="F112" s="343">
        <v>55.56</v>
      </c>
      <c r="G112" s="57">
        <v>1011</v>
      </c>
      <c r="H112" s="45">
        <f t="shared" si="75"/>
        <v>56171.16</v>
      </c>
      <c r="I112" s="500"/>
      <c r="J112" s="46">
        <v>16</v>
      </c>
      <c r="K112" s="44">
        <v>1440</v>
      </c>
      <c r="L112" s="47">
        <v>90</v>
      </c>
      <c r="M112" s="484">
        <v>16</v>
      </c>
      <c r="N112" s="44">
        <f t="shared" si="76"/>
        <v>1318.695652173913</v>
      </c>
      <c r="O112" s="47">
        <f t="shared" si="77"/>
        <v>82.418478260869563</v>
      </c>
      <c r="P112" s="48">
        <f t="shared" si="72"/>
        <v>0</v>
      </c>
      <c r="Q112" s="49">
        <f t="shared" si="73"/>
        <v>-7.5815217391304373</v>
      </c>
      <c r="R112" s="490">
        <f t="shared" si="74"/>
        <v>0.91576086956521741</v>
      </c>
      <c r="S112" s="679"/>
      <c r="T112" s="226">
        <v>0.70833333333333337</v>
      </c>
      <c r="U112" s="226">
        <v>0.74027777777777781</v>
      </c>
      <c r="V112" s="227">
        <v>5</v>
      </c>
      <c r="W112" s="483">
        <f t="shared" si="70"/>
        <v>46</v>
      </c>
      <c r="X112" s="216"/>
      <c r="Y112" s="216"/>
      <c r="Z112" s="54"/>
      <c r="AA112" s="54"/>
      <c r="AB112" s="673"/>
      <c r="AC112" s="673"/>
      <c r="AD112" s="500"/>
      <c r="AE112" s="500"/>
      <c r="AF112" s="48">
        <f t="shared" si="61"/>
        <v>-121.304347826087</v>
      </c>
      <c r="AG112" s="125">
        <f t="shared" si="62"/>
        <v>0.91576086956521741</v>
      </c>
      <c r="AH112" s="672"/>
    </row>
    <row r="113" spans="1:34" s="218" customFormat="1" ht="19.2" customHeight="1">
      <c r="A113" s="691"/>
      <c r="B113" s="486" t="s">
        <v>127</v>
      </c>
      <c r="C113" s="175"/>
      <c r="D113" s="176" t="s">
        <v>203</v>
      </c>
      <c r="E113" s="83"/>
      <c r="F113" s="343">
        <v>54.09</v>
      </c>
      <c r="G113" s="57">
        <v>835</v>
      </c>
      <c r="H113" s="45">
        <f t="shared" si="75"/>
        <v>45165.15</v>
      </c>
      <c r="I113" s="500"/>
      <c r="J113" s="46">
        <v>16</v>
      </c>
      <c r="K113" s="44">
        <v>1440</v>
      </c>
      <c r="L113" s="47">
        <v>90</v>
      </c>
      <c r="M113" s="489">
        <v>16</v>
      </c>
      <c r="N113" s="44">
        <f t="shared" si="76"/>
        <v>1318.421052631578</v>
      </c>
      <c r="O113" s="47">
        <f t="shared" si="77"/>
        <v>82.401315789473628</v>
      </c>
      <c r="P113" s="48">
        <f t="shared" si="72"/>
        <v>0</v>
      </c>
      <c r="Q113" s="49">
        <f t="shared" si="73"/>
        <v>-7.5986842105263719</v>
      </c>
      <c r="R113" s="490">
        <f t="shared" si="74"/>
        <v>0.91557017543859587</v>
      </c>
      <c r="S113" s="679"/>
      <c r="T113" s="226">
        <v>0.74513888888888891</v>
      </c>
      <c r="U113" s="226">
        <v>0.77152777777777781</v>
      </c>
      <c r="V113" s="227">
        <v>7</v>
      </c>
      <c r="W113" s="483">
        <f t="shared" si="70"/>
        <v>38.000000000000028</v>
      </c>
      <c r="X113" s="216"/>
      <c r="Y113" s="216"/>
      <c r="Z113" s="217"/>
      <c r="AA113" s="217"/>
      <c r="AB113" s="673"/>
      <c r="AC113" s="673"/>
      <c r="AD113" s="221"/>
      <c r="AE113" s="221"/>
      <c r="AF113" s="48">
        <f t="shared" si="61"/>
        <v>-121.57894736842195</v>
      </c>
      <c r="AG113" s="125">
        <f t="shared" si="62"/>
        <v>0.91557017543859587</v>
      </c>
      <c r="AH113" s="672"/>
    </row>
    <row r="114" spans="1:34" s="218" customFormat="1" ht="19.2" customHeight="1">
      <c r="A114" s="691"/>
      <c r="B114" s="486" t="s">
        <v>127</v>
      </c>
      <c r="C114" s="175"/>
      <c r="D114" s="176" t="s">
        <v>208</v>
      </c>
      <c r="E114" s="43"/>
      <c r="F114" s="343">
        <v>52.21</v>
      </c>
      <c r="G114" s="44">
        <v>983</v>
      </c>
      <c r="H114" s="45">
        <f t="shared" si="75"/>
        <v>51322.43</v>
      </c>
      <c r="I114" s="500"/>
      <c r="J114" s="46">
        <v>17</v>
      </c>
      <c r="K114" s="44">
        <v>1440</v>
      </c>
      <c r="L114" s="47">
        <v>84.705882352941174</v>
      </c>
      <c r="M114" s="489">
        <v>17</v>
      </c>
      <c r="N114" s="44">
        <f t="shared" si="76"/>
        <v>1340.4545454545455</v>
      </c>
      <c r="O114" s="47">
        <f t="shared" si="77"/>
        <v>78.850267379679153</v>
      </c>
      <c r="P114" s="48">
        <f t="shared" si="72"/>
        <v>0</v>
      </c>
      <c r="Q114" s="49">
        <f t="shared" si="73"/>
        <v>-5.8556149732620213</v>
      </c>
      <c r="R114" s="490">
        <f t="shared" si="74"/>
        <v>0.93087121212121227</v>
      </c>
      <c r="S114" s="679"/>
      <c r="T114" s="226">
        <v>0.77569444444444446</v>
      </c>
      <c r="U114" s="226">
        <v>0.80625000000000002</v>
      </c>
      <c r="V114" s="227">
        <v>6</v>
      </c>
      <c r="W114" s="483">
        <f t="shared" si="70"/>
        <v>44</v>
      </c>
      <c r="X114" s="216"/>
      <c r="Y114" s="216"/>
      <c r="Z114" s="217"/>
      <c r="AA114" s="217"/>
      <c r="AB114" s="673"/>
      <c r="AC114" s="673"/>
      <c r="AD114" s="221"/>
      <c r="AE114" s="221"/>
      <c r="AF114" s="48">
        <f t="shared" si="61"/>
        <v>-99.545454545454504</v>
      </c>
      <c r="AG114" s="125">
        <f t="shared" si="62"/>
        <v>0.93087121212121215</v>
      </c>
      <c r="AH114" s="672"/>
    </row>
    <row r="115" spans="1:34" s="218" customFormat="1" ht="19.2" customHeight="1">
      <c r="A115" s="691"/>
      <c r="B115" s="486" t="s">
        <v>127</v>
      </c>
      <c r="C115" s="175"/>
      <c r="D115" s="82" t="s">
        <v>188</v>
      </c>
      <c r="E115" s="83"/>
      <c r="F115" s="343">
        <v>58.17</v>
      </c>
      <c r="G115" s="229">
        <v>1138</v>
      </c>
      <c r="H115" s="45">
        <f t="shared" si="75"/>
        <v>66197.460000000006</v>
      </c>
      <c r="I115" s="500"/>
      <c r="J115" s="46">
        <v>16</v>
      </c>
      <c r="K115" s="44">
        <v>1636</v>
      </c>
      <c r="L115" s="47">
        <v>102.25</v>
      </c>
      <c r="M115" s="489">
        <v>16</v>
      </c>
      <c r="N115" s="44">
        <f t="shared" si="76"/>
        <v>1393.4693877551024</v>
      </c>
      <c r="O115" s="47">
        <f t="shared" si="77"/>
        <v>87.091836734693899</v>
      </c>
      <c r="P115" s="48">
        <f t="shared" si="72"/>
        <v>0</v>
      </c>
      <c r="Q115" s="49">
        <f t="shared" si="73"/>
        <v>-15.158163265306101</v>
      </c>
      <c r="R115" s="490">
        <f t="shared" si="74"/>
        <v>0.85175390449578381</v>
      </c>
      <c r="S115" s="679"/>
      <c r="T115" s="226">
        <v>0.81111111111111112</v>
      </c>
      <c r="U115" s="226">
        <v>0.84513888888888888</v>
      </c>
      <c r="V115" s="227">
        <v>7</v>
      </c>
      <c r="W115" s="483">
        <f t="shared" si="70"/>
        <v>48.999999999999986</v>
      </c>
      <c r="X115" s="216"/>
      <c r="Y115" s="216"/>
      <c r="Z115" s="217"/>
      <c r="AA115" s="217"/>
      <c r="AB115" s="673"/>
      <c r="AC115" s="673"/>
      <c r="AD115" s="221"/>
      <c r="AE115" s="221"/>
      <c r="AF115" s="48">
        <f t="shared" si="61"/>
        <v>-242.53061224489761</v>
      </c>
      <c r="AG115" s="125">
        <f t="shared" si="62"/>
        <v>0.85175390449578381</v>
      </c>
      <c r="AH115" s="672"/>
    </row>
    <row r="116" spans="1:34" s="218" customFormat="1" ht="19.2" customHeight="1">
      <c r="A116" s="691"/>
      <c r="B116" s="486" t="s">
        <v>127</v>
      </c>
      <c r="C116" s="55"/>
      <c r="D116" s="82" t="s">
        <v>210</v>
      </c>
      <c r="E116" s="83"/>
      <c r="F116" s="343">
        <v>57.3</v>
      </c>
      <c r="G116" s="229">
        <v>1827</v>
      </c>
      <c r="H116" s="45">
        <f t="shared" si="75"/>
        <v>104687.09999999999</v>
      </c>
      <c r="I116" s="500"/>
      <c r="J116" s="46">
        <v>19</v>
      </c>
      <c r="K116" s="44">
        <v>1440</v>
      </c>
      <c r="L116" s="47">
        <v>75.78947368421052</v>
      </c>
      <c r="M116" s="489">
        <v>19</v>
      </c>
      <c r="N116" s="44">
        <f t="shared" si="76"/>
        <v>1320.7228915662645</v>
      </c>
      <c r="O116" s="47">
        <f t="shared" si="77"/>
        <v>69.511731135066555</v>
      </c>
      <c r="P116" s="48">
        <f t="shared" si="72"/>
        <v>0</v>
      </c>
      <c r="Q116" s="49">
        <f t="shared" si="73"/>
        <v>-6.2777425491439658</v>
      </c>
      <c r="R116" s="490">
        <f t="shared" si="74"/>
        <v>0.91716867469879493</v>
      </c>
      <c r="S116" s="679"/>
      <c r="T116" s="226">
        <v>0.86111111111111116</v>
      </c>
      <c r="U116" s="226">
        <v>0.91875000000000007</v>
      </c>
      <c r="V116" s="227">
        <v>23</v>
      </c>
      <c r="W116" s="483">
        <f t="shared" si="70"/>
        <v>83.000000000000028</v>
      </c>
      <c r="X116" s="216">
        <v>0.85</v>
      </c>
      <c r="Y116" s="216">
        <v>0.85972222222222217</v>
      </c>
      <c r="Z116" s="217"/>
      <c r="AA116" s="217"/>
      <c r="AB116" s="673"/>
      <c r="AC116" s="673"/>
      <c r="AD116" s="221"/>
      <c r="AE116" s="221"/>
      <c r="AF116" s="48">
        <f t="shared" si="61"/>
        <v>-119.27710843373552</v>
      </c>
      <c r="AG116" s="125">
        <f t="shared" si="62"/>
        <v>0.91716867469879482</v>
      </c>
      <c r="AH116" s="672"/>
    </row>
    <row r="117" spans="1:34" s="218" customFormat="1" ht="19.2" customHeight="1">
      <c r="A117" s="691"/>
      <c r="B117" s="486" t="s">
        <v>127</v>
      </c>
      <c r="C117" s="55"/>
      <c r="D117" s="82" t="s">
        <v>193</v>
      </c>
      <c r="E117" s="83"/>
      <c r="F117" s="343">
        <v>51.06</v>
      </c>
      <c r="G117" s="229">
        <v>1840</v>
      </c>
      <c r="H117" s="45">
        <f t="shared" si="75"/>
        <v>93950.400000000009</v>
      </c>
      <c r="I117" s="500"/>
      <c r="J117" s="46">
        <v>16</v>
      </c>
      <c r="K117" s="44">
        <v>1500</v>
      </c>
      <c r="L117" s="47">
        <v>93.75</v>
      </c>
      <c r="M117" s="489">
        <v>16</v>
      </c>
      <c r="N117" s="44">
        <f t="shared" si="76"/>
        <v>1330.1204819277104</v>
      </c>
      <c r="O117" s="47">
        <f t="shared" si="77"/>
        <v>83.132530120481903</v>
      </c>
      <c r="P117" s="48">
        <f t="shared" si="72"/>
        <v>0</v>
      </c>
      <c r="Q117" s="49">
        <f t="shared" si="73"/>
        <v>-10.617469879518097</v>
      </c>
      <c r="R117" s="490">
        <f t="shared" si="74"/>
        <v>0.88674698795180695</v>
      </c>
      <c r="S117" s="679"/>
      <c r="T117" s="226">
        <v>0.92361111111111116</v>
      </c>
      <c r="U117" s="226">
        <v>0.98125000000000007</v>
      </c>
      <c r="V117" s="227">
        <v>7</v>
      </c>
      <c r="W117" s="483">
        <f t="shared" si="70"/>
        <v>83.000000000000028</v>
      </c>
      <c r="X117" s="216"/>
      <c r="Y117" s="216"/>
      <c r="Z117" s="217"/>
      <c r="AA117" s="217"/>
      <c r="AB117" s="673"/>
      <c r="AC117" s="673"/>
      <c r="AD117" s="221"/>
      <c r="AE117" s="221"/>
      <c r="AF117" s="48">
        <f t="shared" si="61"/>
        <v>-169.87951807228956</v>
      </c>
      <c r="AG117" s="125">
        <f t="shared" si="62"/>
        <v>0.88674698795180695</v>
      </c>
      <c r="AH117" s="672"/>
    </row>
    <row r="118" spans="1:34" s="218" customFormat="1" ht="19.2" customHeight="1">
      <c r="A118" s="691"/>
      <c r="B118" s="486">
        <v>0</v>
      </c>
      <c r="C118" s="163"/>
      <c r="D118" s="176"/>
      <c r="E118" s="43"/>
      <c r="F118" s="343" t="s">
        <v>128</v>
      </c>
      <c r="G118" s="44"/>
      <c r="H118" s="45">
        <f t="shared" si="75"/>
        <v>0</v>
      </c>
      <c r="I118" s="500"/>
      <c r="J118" s="46"/>
      <c r="K118" s="44"/>
      <c r="L118" s="47"/>
      <c r="M118" s="489"/>
      <c r="N118" s="44"/>
      <c r="O118" s="47"/>
      <c r="P118" s="48"/>
      <c r="Q118" s="49"/>
      <c r="R118" s="490"/>
      <c r="S118" s="679"/>
      <c r="T118" s="226"/>
      <c r="U118" s="226"/>
      <c r="V118" s="227"/>
      <c r="W118" s="483">
        <f t="shared" si="70"/>
        <v>0</v>
      </c>
      <c r="X118" s="216"/>
      <c r="Y118" s="216"/>
      <c r="Z118" s="217"/>
      <c r="AA118" s="217"/>
      <c r="AB118" s="673"/>
      <c r="AC118" s="673"/>
      <c r="AD118" s="221"/>
      <c r="AE118" s="221"/>
      <c r="AF118" s="48">
        <f t="shared" si="61"/>
        <v>0</v>
      </c>
      <c r="AG118" s="125" t="e">
        <f t="shared" si="62"/>
        <v>#DIV/0!</v>
      </c>
      <c r="AH118" s="672"/>
    </row>
    <row r="119" spans="1:34" s="218" customFormat="1" ht="19.2" customHeight="1">
      <c r="A119" s="691"/>
      <c r="B119" s="486">
        <v>0</v>
      </c>
      <c r="C119" s="223"/>
      <c r="D119" s="82"/>
      <c r="E119" s="83"/>
      <c r="F119" s="343" t="s">
        <v>128</v>
      </c>
      <c r="G119" s="229"/>
      <c r="H119" s="45">
        <f t="shared" si="75"/>
        <v>0</v>
      </c>
      <c r="I119" s="500"/>
      <c r="J119" s="178"/>
      <c r="K119" s="231"/>
      <c r="L119" s="47"/>
      <c r="M119" s="489"/>
      <c r="N119" s="179"/>
      <c r="O119" s="224"/>
      <c r="P119" s="165"/>
      <c r="Q119" s="49"/>
      <c r="R119" s="490"/>
      <c r="S119" s="679"/>
      <c r="T119" s="226"/>
      <c r="U119" s="226"/>
      <c r="V119" s="227"/>
      <c r="W119" s="483">
        <f t="shared" si="70"/>
        <v>0</v>
      </c>
      <c r="X119" s="216"/>
      <c r="Y119" s="216"/>
      <c r="Z119" s="217"/>
      <c r="AA119" s="217"/>
      <c r="AB119" s="673"/>
      <c r="AC119" s="673"/>
      <c r="AD119" s="221"/>
      <c r="AE119" s="221"/>
      <c r="AF119" s="48">
        <f t="shared" si="61"/>
        <v>0</v>
      </c>
      <c r="AG119" s="125" t="e">
        <f t="shared" si="62"/>
        <v>#DIV/0!</v>
      </c>
      <c r="AH119" s="672"/>
    </row>
    <row r="120" spans="1:34" s="218" customFormat="1" ht="19.2" customHeight="1">
      <c r="A120" s="691"/>
      <c r="B120" s="486">
        <v>0</v>
      </c>
      <c r="C120" s="223"/>
      <c r="D120" s="82"/>
      <c r="E120" s="83"/>
      <c r="F120" s="350" t="s">
        <v>128</v>
      </c>
      <c r="G120" s="229"/>
      <c r="H120" s="230">
        <f>F120*G120</f>
        <v>0</v>
      </c>
      <c r="I120" s="500"/>
      <c r="J120" s="178"/>
      <c r="K120" s="231"/>
      <c r="L120" s="47"/>
      <c r="M120" s="489"/>
      <c r="N120" s="179"/>
      <c r="O120" s="224"/>
      <c r="P120" s="165"/>
      <c r="Q120" s="49"/>
      <c r="R120" s="490"/>
      <c r="S120" s="679"/>
      <c r="T120" s="226"/>
      <c r="U120" s="226"/>
      <c r="V120" s="227"/>
      <c r="W120" s="483">
        <f t="shared" si="70"/>
        <v>0</v>
      </c>
      <c r="X120" s="216"/>
      <c r="Y120" s="216"/>
      <c r="Z120" s="217"/>
      <c r="AA120" s="217"/>
      <c r="AB120" s="673"/>
      <c r="AC120" s="673"/>
      <c r="AD120" s="221"/>
      <c r="AE120" s="221"/>
      <c r="AF120" s="48">
        <f t="shared" si="61"/>
        <v>0</v>
      </c>
      <c r="AG120" s="125" t="e">
        <f t="shared" si="62"/>
        <v>#DIV/0!</v>
      </c>
      <c r="AH120" s="672"/>
    </row>
    <row r="121" spans="1:34" ht="19.2" customHeight="1">
      <c r="A121" s="692"/>
      <c r="B121" s="121">
        <v>0</v>
      </c>
      <c r="C121" s="100" t="s">
        <v>549</v>
      </c>
      <c r="D121" s="232" t="s">
        <v>550</v>
      </c>
      <c r="E121" s="233"/>
      <c r="F121" s="352"/>
      <c r="G121" s="234"/>
      <c r="H121" s="235"/>
      <c r="I121" s="236"/>
      <c r="J121" s="202">
        <v>17.111111111111111</v>
      </c>
      <c r="K121" s="202">
        <v>1429.5555555555557</v>
      </c>
      <c r="L121" s="203">
        <v>84.116767954745242</v>
      </c>
      <c r="M121" s="202">
        <f t="shared" ref="M121:O121" si="78">AVERAGE(M109:M120)</f>
        <v>17.111111111111111</v>
      </c>
      <c r="N121" s="202">
        <f t="shared" si="78"/>
        <v>1299.398522351217</v>
      </c>
      <c r="O121" s="203">
        <f t="shared" si="78"/>
        <v>76.382799748250648</v>
      </c>
      <c r="P121" s="48">
        <f t="shared" ref="P121:P129" si="79">M121-J121</f>
        <v>0</v>
      </c>
      <c r="Q121" s="49">
        <f t="shared" ref="Q121:Q129" si="80">O121-L121</f>
        <v>-7.7339682064945947</v>
      </c>
      <c r="R121" s="172">
        <f t="shared" ref="R121:R129" si="81">O121/L121</f>
        <v>0.90805675973361855</v>
      </c>
      <c r="S121" s="687"/>
      <c r="T121" s="50"/>
      <c r="U121" s="50"/>
      <c r="V121" s="44"/>
      <c r="W121" s="48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673"/>
      <c r="AC121" s="673"/>
      <c r="AD121" s="107">
        <f>SUM(AD109:AD120)</f>
        <v>1</v>
      </c>
      <c r="AE121" s="107">
        <f>SUM(AE109:AE120)</f>
        <v>0</v>
      </c>
      <c r="AF121" s="48">
        <f>N121-K121</f>
        <v>-130.15703320433863</v>
      </c>
      <c r="AG121" s="125">
        <f>N121/K121</f>
        <v>0.90895279816267316</v>
      </c>
      <c r="AH121" s="672"/>
    </row>
    <row r="122" spans="1:34" ht="19.2" customHeight="1">
      <c r="A122" s="694" t="s">
        <v>551</v>
      </c>
      <c r="B122" s="130" t="s">
        <v>123</v>
      </c>
      <c r="C122" s="163"/>
      <c r="D122" s="176" t="s">
        <v>79</v>
      </c>
      <c r="E122" s="43"/>
      <c r="F122" s="343">
        <v>58.67</v>
      </c>
      <c r="G122" s="44">
        <v>1396</v>
      </c>
      <c r="H122" s="45">
        <f t="shared" ref="H122:H132" si="82">F122*G122</f>
        <v>81903.320000000007</v>
      </c>
      <c r="I122" s="486"/>
      <c r="J122" s="46">
        <v>19</v>
      </c>
      <c r="K122" s="44">
        <v>1440</v>
      </c>
      <c r="L122" s="47">
        <v>75.78947368421052</v>
      </c>
      <c r="M122" s="484">
        <v>19</v>
      </c>
      <c r="N122" s="174">
        <f t="shared" ref="N122:N129" si="83">G122/W122*60</f>
        <v>1329.5238095238108</v>
      </c>
      <c r="O122" s="237">
        <f t="shared" ref="O122:O129" si="84">N122/M122</f>
        <v>69.974937343358462</v>
      </c>
      <c r="P122" s="108">
        <f t="shared" si="79"/>
        <v>0</v>
      </c>
      <c r="Q122" s="182">
        <f t="shared" si="80"/>
        <v>-5.8145363408520581</v>
      </c>
      <c r="R122" s="109">
        <f t="shared" si="81"/>
        <v>0.92328042328042426</v>
      </c>
      <c r="S122" s="688">
        <f>R134</f>
        <v>0.90226757490054477</v>
      </c>
      <c r="T122" s="50">
        <v>0.5</v>
      </c>
      <c r="U122" s="50">
        <v>0.54374999999999996</v>
      </c>
      <c r="V122" s="227">
        <v>5</v>
      </c>
      <c r="W122" s="483">
        <f t="shared" si="70"/>
        <v>62.999999999999936</v>
      </c>
      <c r="X122" s="53"/>
      <c r="Y122" s="53"/>
      <c r="Z122" s="54"/>
      <c r="AA122" s="54"/>
      <c r="AB122" s="673"/>
      <c r="AC122" s="673"/>
      <c r="AD122" s="500"/>
      <c r="AE122" s="500"/>
      <c r="AF122" s="48">
        <f t="shared" si="61"/>
        <v>-110.47619047618923</v>
      </c>
      <c r="AG122" s="490">
        <f t="shared" si="62"/>
        <v>0.92328042328042415</v>
      </c>
      <c r="AH122" s="687">
        <f>AG134</f>
        <v>0.9103071914023132</v>
      </c>
    </row>
    <row r="123" spans="1:34" ht="19.2" customHeight="1">
      <c r="A123" s="694"/>
      <c r="B123" s="130" t="s">
        <v>123</v>
      </c>
      <c r="C123" s="97"/>
      <c r="D123" s="42" t="s">
        <v>78</v>
      </c>
      <c r="E123" s="177"/>
      <c r="F123" s="343">
        <v>59.52</v>
      </c>
      <c r="G123" s="44">
        <v>1829</v>
      </c>
      <c r="H123" s="45">
        <f t="shared" si="82"/>
        <v>108862.08</v>
      </c>
      <c r="I123" s="500"/>
      <c r="J123" s="46">
        <v>21</v>
      </c>
      <c r="K123" s="44">
        <v>1385</v>
      </c>
      <c r="L123" s="47">
        <v>65.952380952380949</v>
      </c>
      <c r="M123" s="489">
        <v>21</v>
      </c>
      <c r="N123" s="57">
        <f t="shared" si="83"/>
        <v>1276.0465116279067</v>
      </c>
      <c r="O123" s="86">
        <f t="shared" si="84"/>
        <v>60.764119601328893</v>
      </c>
      <c r="P123" s="54">
        <f t="shared" si="79"/>
        <v>0</v>
      </c>
      <c r="Q123" s="88">
        <f t="shared" si="80"/>
        <v>-5.1882613510520557</v>
      </c>
      <c r="R123" s="493">
        <f t="shared" si="81"/>
        <v>0.92133322139199048</v>
      </c>
      <c r="S123" s="688"/>
      <c r="T123" s="50">
        <v>0.54930555555555549</v>
      </c>
      <c r="U123" s="50">
        <v>0.60902777777777772</v>
      </c>
      <c r="V123" s="227">
        <v>8</v>
      </c>
      <c r="W123" s="483">
        <f t="shared" si="70"/>
        <v>86.000000000000014</v>
      </c>
      <c r="X123" s="53"/>
      <c r="Y123" s="53"/>
      <c r="Z123" s="54"/>
      <c r="AA123" s="54"/>
      <c r="AB123" s="673"/>
      <c r="AC123" s="673"/>
      <c r="AD123" s="500">
        <v>1</v>
      </c>
      <c r="AE123" s="500"/>
      <c r="AF123" s="48">
        <f t="shared" si="61"/>
        <v>-108.95348837209326</v>
      </c>
      <c r="AG123" s="490">
        <f t="shared" si="62"/>
        <v>0.92133322139199048</v>
      </c>
      <c r="AH123" s="688"/>
    </row>
    <row r="124" spans="1:34" ht="19.2" customHeight="1">
      <c r="A124" s="694"/>
      <c r="B124" s="130" t="s">
        <v>123</v>
      </c>
      <c r="C124" s="175"/>
      <c r="D124" s="176" t="s">
        <v>213</v>
      </c>
      <c r="E124" s="177"/>
      <c r="F124" s="343">
        <v>63.92</v>
      </c>
      <c r="G124" s="174">
        <v>1691</v>
      </c>
      <c r="H124" s="45">
        <f t="shared" si="82"/>
        <v>108088.72</v>
      </c>
      <c r="I124" s="238"/>
      <c r="J124" s="46">
        <v>19</v>
      </c>
      <c r="K124" s="44">
        <v>1440</v>
      </c>
      <c r="L124" s="47">
        <v>75.78947368421052</v>
      </c>
      <c r="M124" s="484">
        <v>19</v>
      </c>
      <c r="N124" s="174">
        <f t="shared" si="83"/>
        <v>1334.9999999999989</v>
      </c>
      <c r="O124" s="237">
        <f t="shared" si="84"/>
        <v>70.263157894736779</v>
      </c>
      <c r="P124" s="108">
        <f t="shared" si="79"/>
        <v>0</v>
      </c>
      <c r="Q124" s="182">
        <f t="shared" si="80"/>
        <v>-5.5263157894737418</v>
      </c>
      <c r="R124" s="109">
        <f t="shared" si="81"/>
        <v>0.92708333333333259</v>
      </c>
      <c r="S124" s="695"/>
      <c r="T124" s="50">
        <v>0.62430555555555545</v>
      </c>
      <c r="U124" s="50">
        <v>0.67708333333333326</v>
      </c>
      <c r="V124" s="227">
        <v>22</v>
      </c>
      <c r="W124" s="483">
        <f t="shared" si="70"/>
        <v>76.000000000000057</v>
      </c>
      <c r="X124" s="188">
        <v>0.61388888888888882</v>
      </c>
      <c r="Y124" s="188">
        <v>0.62361111111111112</v>
      </c>
      <c r="Z124" s="54"/>
      <c r="AA124" s="54"/>
      <c r="AB124" s="673"/>
      <c r="AC124" s="673"/>
      <c r="AD124" s="500"/>
      <c r="AE124" s="500"/>
      <c r="AF124" s="108">
        <f t="shared" si="61"/>
        <v>-105.00000000000114</v>
      </c>
      <c r="AG124" s="109">
        <f t="shared" si="62"/>
        <v>0.92708333333333259</v>
      </c>
      <c r="AH124" s="688"/>
    </row>
    <row r="125" spans="1:34" ht="19.2" customHeight="1">
      <c r="A125" s="694"/>
      <c r="B125" s="130" t="s">
        <v>127</v>
      </c>
      <c r="C125" s="97"/>
      <c r="D125" s="42" t="s">
        <v>80</v>
      </c>
      <c r="E125" s="43"/>
      <c r="F125" s="343">
        <v>56.79</v>
      </c>
      <c r="G125" s="44">
        <v>1496</v>
      </c>
      <c r="H125" s="45">
        <f t="shared" si="82"/>
        <v>84957.84</v>
      </c>
      <c r="I125" s="486"/>
      <c r="J125" s="46">
        <v>18</v>
      </c>
      <c r="K125" s="44">
        <v>1636</v>
      </c>
      <c r="L125" s="47">
        <v>90.888888888888886</v>
      </c>
      <c r="M125" s="484">
        <v>18</v>
      </c>
      <c r="N125" s="174">
        <f t="shared" si="83"/>
        <v>1447.7419354838723</v>
      </c>
      <c r="O125" s="237">
        <f t="shared" si="84"/>
        <v>80.430107526881798</v>
      </c>
      <c r="P125" s="108">
        <f t="shared" si="79"/>
        <v>0</v>
      </c>
      <c r="Q125" s="182">
        <f t="shared" si="80"/>
        <v>-10.458781362007088</v>
      </c>
      <c r="R125" s="109">
        <f t="shared" si="81"/>
        <v>0.88492783342534986</v>
      </c>
      <c r="S125" s="695"/>
      <c r="T125" s="50">
        <v>0.71736111111111101</v>
      </c>
      <c r="U125" s="50">
        <v>0.76041666666666652</v>
      </c>
      <c r="V125" s="227">
        <v>5</v>
      </c>
      <c r="W125" s="483">
        <f t="shared" si="70"/>
        <v>61.999999999999943</v>
      </c>
      <c r="X125" s="64"/>
      <c r="Y125" s="64"/>
      <c r="Z125" s="54"/>
      <c r="AA125" s="54"/>
      <c r="AB125" s="673"/>
      <c r="AC125" s="673"/>
      <c r="AD125" s="500"/>
      <c r="AE125" s="500"/>
      <c r="AF125" s="48">
        <f t="shared" si="61"/>
        <v>-188.25806451612766</v>
      </c>
      <c r="AG125" s="490">
        <f t="shared" si="62"/>
        <v>0.88492783342534986</v>
      </c>
      <c r="AH125" s="689"/>
    </row>
    <row r="126" spans="1:34" ht="19.2" customHeight="1">
      <c r="A126" s="694"/>
      <c r="B126" s="130" t="s">
        <v>127</v>
      </c>
      <c r="C126" s="500"/>
      <c r="D126" s="391" t="s">
        <v>81</v>
      </c>
      <c r="E126" s="177"/>
      <c r="F126" s="343">
        <v>56.87</v>
      </c>
      <c r="G126" s="57">
        <v>1220</v>
      </c>
      <c r="H126" s="45">
        <f t="shared" si="82"/>
        <v>69381.399999999994</v>
      </c>
      <c r="I126" s="500"/>
      <c r="J126" s="46">
        <v>18</v>
      </c>
      <c r="K126" s="44">
        <v>1636</v>
      </c>
      <c r="L126" s="47">
        <v>90.888888888888886</v>
      </c>
      <c r="M126" s="489">
        <v>18</v>
      </c>
      <c r="N126" s="57">
        <f t="shared" si="83"/>
        <v>1435.2941176470595</v>
      </c>
      <c r="O126" s="86">
        <f t="shared" si="84"/>
        <v>79.738562091503297</v>
      </c>
      <c r="P126" s="54">
        <f t="shared" si="79"/>
        <v>0</v>
      </c>
      <c r="Q126" s="88">
        <f t="shared" si="80"/>
        <v>-11.150326797385588</v>
      </c>
      <c r="R126" s="493">
        <f t="shared" si="81"/>
        <v>0.87731914281605095</v>
      </c>
      <c r="S126" s="695"/>
      <c r="T126" s="50">
        <v>0.76527777777777761</v>
      </c>
      <c r="U126" s="50">
        <v>0.80069444444444426</v>
      </c>
      <c r="V126" s="227">
        <v>7</v>
      </c>
      <c r="W126" s="483">
        <f t="shared" si="70"/>
        <v>50.999999999999979</v>
      </c>
      <c r="X126" s="64"/>
      <c r="Y126" s="64"/>
      <c r="Z126" s="54"/>
      <c r="AA126" s="54"/>
      <c r="AB126" s="673"/>
      <c r="AC126" s="673"/>
      <c r="AD126" s="500"/>
      <c r="AE126" s="500"/>
      <c r="AF126" s="108">
        <f t="shared" si="61"/>
        <v>-200.70588235294053</v>
      </c>
      <c r="AG126" s="109">
        <f t="shared" si="62"/>
        <v>0.87731914281605106</v>
      </c>
      <c r="AH126" s="689"/>
    </row>
    <row r="127" spans="1:34" ht="19.2" customHeight="1">
      <c r="A127" s="694"/>
      <c r="B127" s="130" t="s">
        <v>127</v>
      </c>
      <c r="C127" s="223"/>
      <c r="D127" s="392" t="s">
        <v>82</v>
      </c>
      <c r="E127" s="83"/>
      <c r="F127" s="343">
        <v>47.6</v>
      </c>
      <c r="G127" s="209">
        <v>1539</v>
      </c>
      <c r="H127" s="45">
        <f t="shared" si="82"/>
        <v>73256.400000000009</v>
      </c>
      <c r="I127" s="221"/>
      <c r="J127" s="46">
        <v>19</v>
      </c>
      <c r="K127" s="44">
        <v>1440</v>
      </c>
      <c r="L127" s="47">
        <v>75.78947368421052</v>
      </c>
      <c r="M127" s="484">
        <v>19</v>
      </c>
      <c r="N127" s="57">
        <f t="shared" si="83"/>
        <v>1319.1428571428557</v>
      </c>
      <c r="O127" s="86">
        <f t="shared" si="84"/>
        <v>69.42857142857136</v>
      </c>
      <c r="P127" s="54">
        <f t="shared" si="79"/>
        <v>0</v>
      </c>
      <c r="Q127" s="88">
        <f t="shared" si="80"/>
        <v>-6.3609022556391608</v>
      </c>
      <c r="R127" s="493">
        <f t="shared" si="81"/>
        <v>0.91607142857142776</v>
      </c>
      <c r="S127" s="695"/>
      <c r="T127" s="50">
        <v>0.80555555555555536</v>
      </c>
      <c r="U127" s="50">
        <v>0.85416666666666652</v>
      </c>
      <c r="V127" s="486">
        <v>7</v>
      </c>
      <c r="W127" s="483">
        <f t="shared" si="70"/>
        <v>70.000000000000071</v>
      </c>
      <c r="X127" s="64"/>
      <c r="Y127" s="64"/>
      <c r="Z127" s="54"/>
      <c r="AA127" s="54"/>
      <c r="AB127" s="673"/>
      <c r="AC127" s="673"/>
      <c r="AD127" s="500"/>
      <c r="AE127" s="500"/>
      <c r="AF127" s="108">
        <f t="shared" si="61"/>
        <v>-120.85714285714425</v>
      </c>
      <c r="AG127" s="109">
        <f t="shared" si="62"/>
        <v>0.91607142857142765</v>
      </c>
      <c r="AH127" s="689"/>
    </row>
    <row r="128" spans="1:34" ht="19.2" customHeight="1">
      <c r="A128" s="694"/>
      <c r="B128" s="130" t="s">
        <v>127</v>
      </c>
      <c r="C128" s="157"/>
      <c r="D128" s="59" t="s">
        <v>136</v>
      </c>
      <c r="E128" s="83"/>
      <c r="F128" s="343">
        <v>50.67</v>
      </c>
      <c r="G128" s="57">
        <v>1265</v>
      </c>
      <c r="H128" s="45">
        <f t="shared" si="82"/>
        <v>64097.55</v>
      </c>
      <c r="I128" s="500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1380.0000000000009</v>
      </c>
      <c r="O128" s="86">
        <f t="shared" si="84"/>
        <v>76.666666666666714</v>
      </c>
      <c r="P128" s="54">
        <f t="shared" si="79"/>
        <v>0</v>
      </c>
      <c r="Q128" s="88">
        <f t="shared" si="80"/>
        <v>-6.6666666666666146</v>
      </c>
      <c r="R128" s="493">
        <f t="shared" si="81"/>
        <v>0.9200000000000006</v>
      </c>
      <c r="S128" s="695"/>
      <c r="T128" s="50">
        <v>0.8701388888888888</v>
      </c>
      <c r="U128" s="50">
        <v>0.90833333333333321</v>
      </c>
      <c r="V128" s="486">
        <v>23</v>
      </c>
      <c r="W128" s="483">
        <f t="shared" si="70"/>
        <v>54.999999999999964</v>
      </c>
      <c r="X128" s="64">
        <v>0.85833333333333339</v>
      </c>
      <c r="Y128" s="64">
        <v>0.86944444444444446</v>
      </c>
      <c r="Z128" s="54"/>
      <c r="AA128" s="54"/>
      <c r="AB128" s="673"/>
      <c r="AC128" s="673"/>
      <c r="AD128" s="500"/>
      <c r="AE128" s="500"/>
      <c r="AF128" s="48">
        <f t="shared" si="61"/>
        <v>-119.99999999999909</v>
      </c>
      <c r="AG128" s="490">
        <f t="shared" si="62"/>
        <v>0.9200000000000006</v>
      </c>
      <c r="AH128" s="689"/>
    </row>
    <row r="129" spans="1:34" ht="19.2" customHeight="1">
      <c r="A129" s="694"/>
      <c r="B129" s="130" t="s">
        <v>127</v>
      </c>
      <c r="C129" s="157"/>
      <c r="D129" s="59" t="s">
        <v>197</v>
      </c>
      <c r="E129" s="60"/>
      <c r="F129" s="343">
        <v>56.43</v>
      </c>
      <c r="G129" s="57">
        <v>1242</v>
      </c>
      <c r="H129" s="45">
        <f t="shared" si="82"/>
        <v>70086.06</v>
      </c>
      <c r="I129" s="500"/>
      <c r="J129" s="46">
        <v>16</v>
      </c>
      <c r="K129" s="44">
        <v>1500</v>
      </c>
      <c r="L129" s="47">
        <v>93.75</v>
      </c>
      <c r="M129" s="87">
        <v>17</v>
      </c>
      <c r="N129" s="57">
        <f t="shared" si="83"/>
        <v>1380.0000000000007</v>
      </c>
      <c r="O129" s="86">
        <f t="shared" si="84"/>
        <v>81.176470588235333</v>
      </c>
      <c r="P129" s="54">
        <f t="shared" si="79"/>
        <v>1</v>
      </c>
      <c r="Q129" s="88">
        <f t="shared" si="80"/>
        <v>-12.573529411764667</v>
      </c>
      <c r="R129" s="493">
        <f t="shared" si="81"/>
        <v>0.86588235294117688</v>
      </c>
      <c r="S129" s="695"/>
      <c r="T129" s="50">
        <v>0.91319444444444431</v>
      </c>
      <c r="U129" s="50">
        <v>0.95069444444444429</v>
      </c>
      <c r="V129" s="486">
        <v>7</v>
      </c>
      <c r="W129" s="483">
        <f t="shared" si="70"/>
        <v>53.999999999999972</v>
      </c>
      <c r="X129" s="64"/>
      <c r="Y129" s="64"/>
      <c r="Z129" s="54"/>
      <c r="AA129" s="54"/>
      <c r="AB129" s="673"/>
      <c r="AC129" s="673"/>
      <c r="AD129" s="500"/>
      <c r="AE129" s="500"/>
      <c r="AF129" s="108">
        <f t="shared" si="61"/>
        <v>-119.99999999999932</v>
      </c>
      <c r="AG129" s="109">
        <f t="shared" si="62"/>
        <v>0.92000000000000048</v>
      </c>
      <c r="AH129" s="689"/>
    </row>
    <row r="130" spans="1:34" ht="19.2" customHeight="1">
      <c r="A130" s="694"/>
      <c r="B130" s="200">
        <v>0</v>
      </c>
      <c r="C130" s="157"/>
      <c r="D130" s="59"/>
      <c r="E130" s="60"/>
      <c r="F130" s="343" t="s">
        <v>128</v>
      </c>
      <c r="G130" s="57"/>
      <c r="H130" s="45">
        <f t="shared" si="82"/>
        <v>0</v>
      </c>
      <c r="I130" s="500"/>
      <c r="J130" s="46"/>
      <c r="K130" s="44"/>
      <c r="L130" s="47"/>
      <c r="M130" s="489"/>
      <c r="N130" s="57"/>
      <c r="O130" s="86"/>
      <c r="P130" s="54"/>
      <c r="Q130" s="88"/>
      <c r="R130" s="493"/>
      <c r="S130" s="695"/>
      <c r="T130" s="50"/>
      <c r="U130" s="50"/>
      <c r="V130" s="486"/>
      <c r="W130" s="483">
        <f t="shared" si="70"/>
        <v>0</v>
      </c>
      <c r="X130" s="64"/>
      <c r="Y130" s="64"/>
      <c r="Z130" s="54"/>
      <c r="AA130" s="54"/>
      <c r="AB130" s="673"/>
      <c r="AC130" s="673"/>
      <c r="AD130" s="500"/>
      <c r="AE130" s="500"/>
      <c r="AF130" s="108">
        <f t="shared" si="61"/>
        <v>0</v>
      </c>
      <c r="AG130" s="109" t="e">
        <f t="shared" si="62"/>
        <v>#DIV/0!</v>
      </c>
      <c r="AH130" s="689"/>
    </row>
    <row r="131" spans="1:34" ht="19.2" customHeight="1">
      <c r="A131" s="694"/>
      <c r="B131" s="200">
        <v>0</v>
      </c>
      <c r="C131" s="157"/>
      <c r="D131" s="59"/>
      <c r="E131" s="83"/>
      <c r="F131" s="343" t="s">
        <v>128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93"/>
      <c r="S131" s="695"/>
      <c r="T131" s="50"/>
      <c r="U131" s="50"/>
      <c r="V131" s="486"/>
      <c r="W131" s="483">
        <f t="shared" si="70"/>
        <v>0</v>
      </c>
      <c r="X131" s="64"/>
      <c r="Y131" s="64"/>
      <c r="Z131" s="54"/>
      <c r="AA131" s="54"/>
      <c r="AB131" s="673"/>
      <c r="AC131" s="673"/>
      <c r="AD131" s="500"/>
      <c r="AE131" s="500"/>
      <c r="AF131" s="48">
        <f t="shared" si="61"/>
        <v>0</v>
      </c>
      <c r="AG131" s="490" t="e">
        <f t="shared" si="62"/>
        <v>#DIV/0!</v>
      </c>
      <c r="AH131" s="689"/>
    </row>
    <row r="132" spans="1:34" ht="19.2" customHeight="1">
      <c r="A132" s="694"/>
      <c r="B132" s="200">
        <v>0</v>
      </c>
      <c r="C132" s="157"/>
      <c r="D132" s="59"/>
      <c r="E132" s="60"/>
      <c r="F132" s="343" t="s">
        <v>128</v>
      </c>
      <c r="G132" s="57"/>
      <c r="H132" s="45">
        <f t="shared" si="82"/>
        <v>0</v>
      </c>
      <c r="I132" s="500"/>
      <c r="J132" s="87"/>
      <c r="K132" s="57"/>
      <c r="L132" s="86"/>
      <c r="M132" s="489"/>
      <c r="N132" s="57"/>
      <c r="O132" s="86"/>
      <c r="P132" s="54"/>
      <c r="Q132" s="88"/>
      <c r="R132" s="493"/>
      <c r="S132" s="695"/>
      <c r="T132" s="50"/>
      <c r="U132" s="50"/>
      <c r="V132" s="486"/>
      <c r="W132" s="483">
        <f t="shared" si="70"/>
        <v>0</v>
      </c>
      <c r="X132" s="64"/>
      <c r="Y132" s="64"/>
      <c r="Z132" s="54"/>
      <c r="AA132" s="54"/>
      <c r="AB132" s="673"/>
      <c r="AC132" s="673"/>
      <c r="AD132" s="500"/>
      <c r="AE132" s="500"/>
      <c r="AF132" s="65"/>
      <c r="AG132" s="491"/>
      <c r="AH132" s="689"/>
    </row>
    <row r="133" spans="1:34" ht="19.2" customHeight="1">
      <c r="A133" s="694"/>
      <c r="B133" s="200">
        <v>0</v>
      </c>
      <c r="C133" s="157"/>
      <c r="D133" s="59"/>
      <c r="E133" s="60"/>
      <c r="F133" s="356" t="s">
        <v>128</v>
      </c>
      <c r="G133" s="57"/>
      <c r="H133" s="240">
        <f>F133*G133</f>
        <v>0</v>
      </c>
      <c r="I133" s="500"/>
      <c r="J133" s="87"/>
      <c r="K133" s="57"/>
      <c r="L133" s="86"/>
      <c r="M133" s="489"/>
      <c r="N133" s="57"/>
      <c r="O133" s="86"/>
      <c r="P133" s="54"/>
      <c r="Q133" s="88"/>
      <c r="R133" s="493"/>
      <c r="S133" s="695"/>
      <c r="T133" s="50"/>
      <c r="U133" s="50"/>
      <c r="V133" s="486"/>
      <c r="W133" s="239">
        <f t="shared" si="70"/>
        <v>0</v>
      </c>
      <c r="X133" s="64"/>
      <c r="Y133" s="64"/>
      <c r="Z133" s="54"/>
      <c r="AA133" s="54"/>
      <c r="AB133" s="673"/>
      <c r="AC133" s="673"/>
      <c r="AD133" s="500"/>
      <c r="AE133" s="500"/>
      <c r="AF133" s="65"/>
      <c r="AG133" s="491"/>
      <c r="AH133" s="689"/>
    </row>
    <row r="134" spans="1:34" ht="19.2" customHeight="1">
      <c r="A134" s="694"/>
      <c r="B134" s="168">
        <v>0</v>
      </c>
      <c r="C134" s="100" t="s">
        <v>552</v>
      </c>
      <c r="D134" s="669" t="s">
        <v>553</v>
      </c>
      <c r="E134" s="669"/>
      <c r="F134" s="353"/>
      <c r="G134" s="101"/>
      <c r="H134" s="102"/>
      <c r="I134" s="241"/>
      <c r="J134" s="242">
        <v>18.5</v>
      </c>
      <c r="K134" s="242">
        <v>1497.125</v>
      </c>
      <c r="L134" s="243">
        <v>81.522739139515465</v>
      </c>
      <c r="M134" s="242">
        <f t="shared" ref="M134:O134" si="85">AVERAGE(M122:M133)</f>
        <v>18.625</v>
      </c>
      <c r="N134" s="242">
        <f t="shared" si="85"/>
        <v>1362.8436539281881</v>
      </c>
      <c r="O134" s="243">
        <f t="shared" si="85"/>
        <v>73.555324142660339</v>
      </c>
      <c r="P134" s="51">
        <f t="shared" ref="P134:P143" si="86">M134-J134</f>
        <v>0.125</v>
      </c>
      <c r="Q134" s="139">
        <f t="shared" ref="Q134:Q143" si="87">O134-L134</f>
        <v>-7.9674149968551262</v>
      </c>
      <c r="R134" s="244">
        <f t="shared" ref="R134:R143" si="88">O134/L134</f>
        <v>0.90226757490054477</v>
      </c>
      <c r="S134" s="688"/>
      <c r="T134" s="50"/>
      <c r="U134" s="50"/>
      <c r="V134" s="486"/>
      <c r="W134" s="486"/>
      <c r="X134" s="53"/>
      <c r="Y134" s="53"/>
      <c r="Z134" s="106">
        <f>SUM(Z122:Z133)</f>
        <v>0</v>
      </c>
      <c r="AA134" s="106">
        <f>SUM(AA122:AA133)</f>
        <v>0</v>
      </c>
      <c r="AB134" s="673"/>
      <c r="AC134" s="673"/>
      <c r="AD134" s="107">
        <f>SUM(AD122:AD133)</f>
        <v>1</v>
      </c>
      <c r="AE134" s="107">
        <f>SUM(AE122:AE133)</f>
        <v>0</v>
      </c>
      <c r="AF134" s="48">
        <f t="shared" si="61"/>
        <v>-134.28134607181187</v>
      </c>
      <c r="AG134" s="490">
        <f t="shared" si="62"/>
        <v>0.9103071914023132</v>
      </c>
      <c r="AH134" s="689"/>
    </row>
    <row r="135" spans="1:34" ht="19.2" customHeight="1">
      <c r="A135" s="675" t="s">
        <v>554</v>
      </c>
      <c r="B135" s="486" t="s">
        <v>127</v>
      </c>
      <c r="C135" s="500"/>
      <c r="D135" s="82" t="s">
        <v>138</v>
      </c>
      <c r="E135" s="83"/>
      <c r="F135" s="343">
        <v>54.09</v>
      </c>
      <c r="G135" s="57">
        <v>1612</v>
      </c>
      <c r="H135" s="245">
        <f t="shared" ref="H135:H146" si="89">F135*G135</f>
        <v>87193.08</v>
      </c>
      <c r="I135" s="500"/>
      <c r="J135" s="46">
        <v>16</v>
      </c>
      <c r="K135" s="57">
        <v>1500</v>
      </c>
      <c r="L135" s="86">
        <v>93.75</v>
      </c>
      <c r="M135" s="228">
        <v>17</v>
      </c>
      <c r="N135" s="57">
        <f t="shared" ref="N135:N143" si="90">G135/W135*60</f>
        <v>1422.3529411764687</v>
      </c>
      <c r="O135" s="115">
        <f t="shared" ref="O135:O143" si="91">N135/M135</f>
        <v>83.667820069204041</v>
      </c>
      <c r="P135" s="54">
        <f t="shared" si="86"/>
        <v>1</v>
      </c>
      <c r="Q135" s="88">
        <f t="shared" si="87"/>
        <v>-10.082179930795959</v>
      </c>
      <c r="R135" s="493">
        <f t="shared" si="88"/>
        <v>0.89245674740484315</v>
      </c>
      <c r="S135" s="679">
        <f>R147</f>
        <v>0.91588715060301729</v>
      </c>
      <c r="T135" s="246">
        <v>0.5</v>
      </c>
      <c r="U135" s="50">
        <v>0.54722222222222228</v>
      </c>
      <c r="V135" s="142">
        <v>5</v>
      </c>
      <c r="W135" s="247">
        <f t="shared" ref="W135:W147" si="92">(U135-T135)*24*60</f>
        <v>68.000000000000085</v>
      </c>
      <c r="X135" s="53"/>
      <c r="Y135" s="53"/>
      <c r="Z135" s="54"/>
      <c r="AA135" s="54"/>
      <c r="AB135" s="673"/>
      <c r="AC135" s="673"/>
      <c r="AD135" s="500"/>
      <c r="AE135" s="500"/>
      <c r="AF135" s="116">
        <f t="shared" si="61"/>
        <v>-77.647058823531324</v>
      </c>
      <c r="AG135" s="120">
        <f t="shared" si="62"/>
        <v>0.94823529411764573</v>
      </c>
      <c r="AH135" s="672">
        <f>AG147</f>
        <v>0.93041643824175602</v>
      </c>
    </row>
    <row r="136" spans="1:34" ht="19.2" customHeight="1">
      <c r="A136" s="676"/>
      <c r="B136" s="486" t="s">
        <v>127</v>
      </c>
      <c r="C136" s="500"/>
      <c r="D136" s="82" t="s">
        <v>191</v>
      </c>
      <c r="E136" s="83"/>
      <c r="F136" s="343">
        <v>53.27</v>
      </c>
      <c r="G136" s="57">
        <v>1139.2</v>
      </c>
      <c r="H136" s="84">
        <f t="shared" si="89"/>
        <v>60685.184000000008</v>
      </c>
      <c r="I136" s="500"/>
      <c r="J136" s="46">
        <v>16</v>
      </c>
      <c r="K136" s="57">
        <v>1500</v>
      </c>
      <c r="L136" s="86">
        <v>93.75</v>
      </c>
      <c r="M136" s="489">
        <v>16</v>
      </c>
      <c r="N136" s="57">
        <f t="shared" si="90"/>
        <v>1424.0000000000005</v>
      </c>
      <c r="O136" s="86">
        <f t="shared" si="91"/>
        <v>89.000000000000028</v>
      </c>
      <c r="P136" s="54">
        <f t="shared" si="86"/>
        <v>0</v>
      </c>
      <c r="Q136" s="88">
        <f t="shared" si="87"/>
        <v>-4.7499999999999716</v>
      </c>
      <c r="R136" s="493">
        <f t="shared" si="88"/>
        <v>0.94933333333333358</v>
      </c>
      <c r="S136" s="679"/>
      <c r="T136" s="246">
        <v>0.55277777777777781</v>
      </c>
      <c r="U136" s="50">
        <v>0.58611111111111114</v>
      </c>
      <c r="V136" s="142">
        <v>8</v>
      </c>
      <c r="W136" s="247">
        <f t="shared" si="92"/>
        <v>47.999999999999986</v>
      </c>
      <c r="X136" s="53"/>
      <c r="Y136" s="53"/>
      <c r="Z136" s="54"/>
      <c r="AA136" s="54"/>
      <c r="AB136" s="673"/>
      <c r="AC136" s="673"/>
      <c r="AD136" s="500"/>
      <c r="AE136" s="500"/>
      <c r="AF136" s="48">
        <f t="shared" si="61"/>
        <v>-75.999999999999545</v>
      </c>
      <c r="AG136" s="125">
        <f t="shared" si="62"/>
        <v>0.94933333333333358</v>
      </c>
      <c r="AH136" s="672"/>
    </row>
    <row r="137" spans="1:34" ht="19.2" customHeight="1">
      <c r="A137" s="676"/>
      <c r="B137" s="486" t="s">
        <v>127</v>
      </c>
      <c r="C137" s="500"/>
      <c r="D137" s="82" t="s">
        <v>75</v>
      </c>
      <c r="E137" s="83"/>
      <c r="F137" s="343">
        <v>57.734999999999999</v>
      </c>
      <c r="G137" s="209">
        <v>1721</v>
      </c>
      <c r="H137" s="84">
        <f t="shared" si="89"/>
        <v>99361.934999999998</v>
      </c>
      <c r="I137" s="221"/>
      <c r="J137" s="46">
        <v>16</v>
      </c>
      <c r="K137" s="44">
        <v>1565</v>
      </c>
      <c r="L137" s="47">
        <v>97.8125</v>
      </c>
      <c r="M137" s="87">
        <v>16</v>
      </c>
      <c r="N137" s="57">
        <f t="shared" si="90"/>
        <v>1395.4054054054045</v>
      </c>
      <c r="O137" s="86">
        <f t="shared" si="91"/>
        <v>87.212837837837782</v>
      </c>
      <c r="P137" s="54">
        <f t="shared" si="86"/>
        <v>0</v>
      </c>
      <c r="Q137" s="88">
        <f t="shared" si="87"/>
        <v>-10.599662162162218</v>
      </c>
      <c r="R137" s="493">
        <f t="shared" si="88"/>
        <v>0.8916328469044118</v>
      </c>
      <c r="S137" s="679"/>
      <c r="T137" s="50">
        <v>0.6020833333333333</v>
      </c>
      <c r="U137" s="50">
        <v>0.65347222222222223</v>
      </c>
      <c r="V137" s="249">
        <v>23</v>
      </c>
      <c r="W137" s="247">
        <f t="shared" si="92"/>
        <v>74.000000000000057</v>
      </c>
      <c r="X137" s="53">
        <v>0.59027777777777779</v>
      </c>
      <c r="Y137" s="53">
        <v>0.60138888888888886</v>
      </c>
      <c r="Z137" s="54"/>
      <c r="AA137" s="54"/>
      <c r="AB137" s="673"/>
      <c r="AC137" s="673"/>
      <c r="AD137" s="500"/>
      <c r="AE137" s="500"/>
      <c r="AF137" s="48">
        <f t="shared" si="61"/>
        <v>-169.59459459459549</v>
      </c>
      <c r="AG137" s="125">
        <f t="shared" si="62"/>
        <v>0.8916328469044118</v>
      </c>
      <c r="AH137" s="672"/>
    </row>
    <row r="138" spans="1:34" ht="19.2" customHeight="1">
      <c r="A138" s="676"/>
      <c r="B138" s="486" t="s">
        <v>127</v>
      </c>
      <c r="C138" s="223"/>
      <c r="D138" s="82" t="s">
        <v>169</v>
      </c>
      <c r="E138" s="83"/>
      <c r="F138" s="343">
        <v>50.67</v>
      </c>
      <c r="G138" s="57">
        <v>1410</v>
      </c>
      <c r="H138" s="84">
        <f t="shared" si="89"/>
        <v>71444.7</v>
      </c>
      <c r="I138" s="500"/>
      <c r="J138" s="87">
        <v>18</v>
      </c>
      <c r="K138" s="57">
        <v>1500</v>
      </c>
      <c r="L138" s="86">
        <v>83.333333333333329</v>
      </c>
      <c r="M138" s="228">
        <v>18</v>
      </c>
      <c r="N138" s="57">
        <f t="shared" si="90"/>
        <v>1410.0000000000014</v>
      </c>
      <c r="O138" s="86">
        <f t="shared" si="91"/>
        <v>78.333333333333414</v>
      </c>
      <c r="P138" s="54">
        <f t="shared" si="86"/>
        <v>0</v>
      </c>
      <c r="Q138" s="88">
        <f t="shared" si="87"/>
        <v>-4.9999999999999147</v>
      </c>
      <c r="R138" s="499">
        <f t="shared" si="88"/>
        <v>0.94000000000000106</v>
      </c>
      <c r="S138" s="679"/>
      <c r="T138" s="50">
        <v>0.65833333333333333</v>
      </c>
      <c r="U138" s="50">
        <v>0.7</v>
      </c>
      <c r="V138" s="249">
        <v>7</v>
      </c>
      <c r="W138" s="247">
        <f t="shared" si="92"/>
        <v>59.999999999999943</v>
      </c>
      <c r="X138" s="53"/>
      <c r="Y138" s="53"/>
      <c r="Z138" s="54"/>
      <c r="AA138" s="54"/>
      <c r="AB138" s="673"/>
      <c r="AC138" s="673"/>
      <c r="AD138" s="500"/>
      <c r="AE138" s="500"/>
      <c r="AF138" s="48">
        <f t="shared" si="61"/>
        <v>-89.999999999998636</v>
      </c>
      <c r="AG138" s="125">
        <f t="shared" si="62"/>
        <v>0.94000000000000095</v>
      </c>
      <c r="AH138" s="672"/>
    </row>
    <row r="139" spans="1:34" ht="19.2" customHeight="1">
      <c r="A139" s="676"/>
      <c r="B139" s="486" t="s">
        <v>127</v>
      </c>
      <c r="C139" s="496"/>
      <c r="D139" s="42" t="s">
        <v>84</v>
      </c>
      <c r="E139" s="43"/>
      <c r="F139" s="343">
        <v>50.98</v>
      </c>
      <c r="G139" s="57">
        <v>1599</v>
      </c>
      <c r="H139" s="84">
        <f t="shared" si="89"/>
        <v>81517.01999999999</v>
      </c>
      <c r="I139" s="500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1314.2465753424647</v>
      </c>
      <c r="O139" s="86">
        <f t="shared" si="91"/>
        <v>65.712328767123239</v>
      </c>
      <c r="P139" s="54">
        <f t="shared" si="86"/>
        <v>0</v>
      </c>
      <c r="Q139" s="88">
        <f t="shared" si="87"/>
        <v>-6.287671232876761</v>
      </c>
      <c r="R139" s="493">
        <f t="shared" si="88"/>
        <v>0.9126712328767117</v>
      </c>
      <c r="S139" s="679"/>
      <c r="T139" s="50">
        <v>0.7402777777777777</v>
      </c>
      <c r="U139" s="50">
        <v>0.79097222222222219</v>
      </c>
      <c r="V139" s="250">
        <v>5</v>
      </c>
      <c r="W139" s="247">
        <f t="shared" si="92"/>
        <v>73.000000000000057</v>
      </c>
      <c r="X139" s="53"/>
      <c r="Y139" s="53"/>
      <c r="Z139" s="54"/>
      <c r="AA139" s="54"/>
      <c r="AB139" s="673"/>
      <c r="AC139" s="673"/>
      <c r="AD139" s="500"/>
      <c r="AE139" s="500"/>
      <c r="AF139" s="48">
        <f t="shared" si="61"/>
        <v>-125.75342465753533</v>
      </c>
      <c r="AG139" s="125">
        <f t="shared" si="62"/>
        <v>0.91267123287671159</v>
      </c>
      <c r="AH139" s="672"/>
    </row>
    <row r="140" spans="1:34" ht="19.2" customHeight="1">
      <c r="A140" s="677"/>
      <c r="B140" s="486" t="s">
        <v>127</v>
      </c>
      <c r="C140" s="496"/>
      <c r="D140" s="251" t="s">
        <v>83</v>
      </c>
      <c r="E140" s="83"/>
      <c r="F140" s="343">
        <v>50.67</v>
      </c>
      <c r="G140" s="57">
        <v>929</v>
      </c>
      <c r="H140" s="84">
        <f t="shared" si="89"/>
        <v>47072.43</v>
      </c>
      <c r="I140" s="500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1393.4999999999995</v>
      </c>
      <c r="O140" s="86">
        <f t="shared" si="91"/>
        <v>81.970588235294088</v>
      </c>
      <c r="P140" s="54">
        <f t="shared" si="86"/>
        <v>0</v>
      </c>
      <c r="Q140" s="88">
        <f t="shared" si="87"/>
        <v>-6.2647058823529704</v>
      </c>
      <c r="R140" s="493">
        <f t="shared" si="88"/>
        <v>0.92899999999999971</v>
      </c>
      <c r="S140" s="680"/>
      <c r="T140" s="63">
        <v>0.79583333333333328</v>
      </c>
      <c r="U140" s="252">
        <v>0.82361111111111107</v>
      </c>
      <c r="V140" s="253">
        <v>7</v>
      </c>
      <c r="W140" s="247">
        <f t="shared" si="92"/>
        <v>40.000000000000014</v>
      </c>
      <c r="X140" s="53"/>
      <c r="Y140" s="53"/>
      <c r="Z140" s="54"/>
      <c r="AA140" s="54"/>
      <c r="AB140" s="673"/>
      <c r="AC140" s="673"/>
      <c r="AD140" s="500"/>
      <c r="AE140" s="500"/>
      <c r="AF140" s="48">
        <f t="shared" si="61"/>
        <v>-106.50000000000045</v>
      </c>
      <c r="AG140" s="125">
        <f t="shared" si="62"/>
        <v>0.92899999999999971</v>
      </c>
      <c r="AH140" s="672"/>
    </row>
    <row r="141" spans="1:34" ht="19.2" customHeight="1">
      <c r="A141" s="677"/>
      <c r="B141" s="486" t="s">
        <v>127</v>
      </c>
      <c r="C141" s="496"/>
      <c r="D141" s="42" t="s">
        <v>85</v>
      </c>
      <c r="E141" s="254"/>
      <c r="F141" s="343">
        <v>50.92</v>
      </c>
      <c r="G141" s="57">
        <v>1903</v>
      </c>
      <c r="H141" s="84">
        <f t="shared" si="89"/>
        <v>96900.760000000009</v>
      </c>
      <c r="I141" s="500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1343.2941176470586</v>
      </c>
      <c r="O141" s="86">
        <f t="shared" si="91"/>
        <v>70.699690402476762</v>
      </c>
      <c r="P141" s="54">
        <f t="shared" si="86"/>
        <v>0</v>
      </c>
      <c r="Q141" s="88">
        <f t="shared" si="87"/>
        <v>-5.0897832817337587</v>
      </c>
      <c r="R141" s="493">
        <f t="shared" si="88"/>
        <v>0.93284313725490176</v>
      </c>
      <c r="S141" s="680"/>
      <c r="T141" s="63">
        <v>0.82916666666666661</v>
      </c>
      <c r="U141" s="252">
        <v>0.8881944444444444</v>
      </c>
      <c r="V141" s="55">
        <v>8</v>
      </c>
      <c r="W141" s="247">
        <f t="shared" si="92"/>
        <v>85.000000000000014</v>
      </c>
      <c r="X141" s="53"/>
      <c r="Y141" s="53"/>
      <c r="Z141" s="54"/>
      <c r="AA141" s="54"/>
      <c r="AB141" s="673"/>
      <c r="AC141" s="673"/>
      <c r="AD141" s="500"/>
      <c r="AE141" s="500"/>
      <c r="AF141" s="48">
        <f t="shared" si="61"/>
        <v>-96.705882352941444</v>
      </c>
      <c r="AG141" s="125">
        <f t="shared" si="62"/>
        <v>0.93284313725490176</v>
      </c>
      <c r="AH141" s="672"/>
    </row>
    <row r="142" spans="1:34" ht="19.2" customHeight="1">
      <c r="A142" s="677"/>
      <c r="B142" s="486" t="s">
        <v>127</v>
      </c>
      <c r="C142" s="496"/>
      <c r="D142" s="42" t="s">
        <v>86</v>
      </c>
      <c r="E142" s="254"/>
      <c r="F142" s="343">
        <v>50.67</v>
      </c>
      <c r="G142" s="57">
        <v>816</v>
      </c>
      <c r="H142" s="84">
        <f t="shared" si="89"/>
        <v>41346.720000000001</v>
      </c>
      <c r="I142" s="500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1359.9999999999991</v>
      </c>
      <c r="O142" s="86">
        <f t="shared" si="91"/>
        <v>79.999999999999943</v>
      </c>
      <c r="P142" s="54">
        <f t="shared" si="86"/>
        <v>0</v>
      </c>
      <c r="Q142" s="88">
        <f t="shared" si="87"/>
        <v>-4.7058823529412308</v>
      </c>
      <c r="R142" s="493">
        <f t="shared" si="88"/>
        <v>0.94444444444444375</v>
      </c>
      <c r="S142" s="680"/>
      <c r="T142" s="63">
        <v>0.90347222222222212</v>
      </c>
      <c r="U142" s="252">
        <v>0.92847222222222214</v>
      </c>
      <c r="V142" s="55">
        <v>22</v>
      </c>
      <c r="W142" s="247">
        <f t="shared" si="92"/>
        <v>36.000000000000028</v>
      </c>
      <c r="X142" s="53">
        <v>0.89236111111111116</v>
      </c>
      <c r="Y142" s="53">
        <v>0.90277777777777779</v>
      </c>
      <c r="Z142" s="54"/>
      <c r="AA142" s="54"/>
      <c r="AB142" s="673"/>
      <c r="AC142" s="673"/>
      <c r="AD142" s="500"/>
      <c r="AE142" s="500"/>
      <c r="AF142" s="48">
        <f t="shared" si="61"/>
        <v>-80.000000000000909</v>
      </c>
      <c r="AG142" s="125">
        <f t="shared" si="62"/>
        <v>0.94444444444444386</v>
      </c>
      <c r="AH142" s="672"/>
    </row>
    <row r="143" spans="1:34" ht="19.2" customHeight="1">
      <c r="A143" s="677"/>
      <c r="B143" s="486" t="s">
        <v>127</v>
      </c>
      <c r="C143" s="255"/>
      <c r="D143" s="82" t="s">
        <v>87</v>
      </c>
      <c r="E143" s="83"/>
      <c r="F143" s="343">
        <v>50.49</v>
      </c>
      <c r="G143" s="57">
        <v>1246</v>
      </c>
      <c r="H143" s="84">
        <f t="shared" si="89"/>
        <v>62910.54</v>
      </c>
      <c r="I143" s="500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1335.0000000000011</v>
      </c>
      <c r="O143" s="86">
        <f t="shared" si="91"/>
        <v>89.000000000000071</v>
      </c>
      <c r="P143" s="54">
        <f t="shared" si="86"/>
        <v>1</v>
      </c>
      <c r="Q143" s="88">
        <f t="shared" si="87"/>
        <v>-13.85714285714279</v>
      </c>
      <c r="R143" s="493">
        <f t="shared" si="88"/>
        <v>0.86527777777777848</v>
      </c>
      <c r="S143" s="680"/>
      <c r="T143" s="63">
        <v>0.93333333333333324</v>
      </c>
      <c r="U143" s="252">
        <v>0.9722222222222221</v>
      </c>
      <c r="V143" s="55">
        <v>7</v>
      </c>
      <c r="W143" s="247">
        <f t="shared" si="92"/>
        <v>55.999999999999957</v>
      </c>
      <c r="X143" s="53"/>
      <c r="Y143" s="53"/>
      <c r="Z143" s="54"/>
      <c r="AA143" s="54"/>
      <c r="AB143" s="673"/>
      <c r="AC143" s="673"/>
      <c r="AD143" s="500"/>
      <c r="AE143" s="500"/>
      <c r="AF143" s="48">
        <f t="shared" si="61"/>
        <v>-104.99999999999886</v>
      </c>
      <c r="AG143" s="125">
        <f t="shared" si="62"/>
        <v>0.92708333333333415</v>
      </c>
      <c r="AH143" s="672"/>
    </row>
    <row r="144" spans="1:34" ht="19.2" customHeight="1">
      <c r="A144" s="677"/>
      <c r="B144" s="486">
        <v>0</v>
      </c>
      <c r="C144" s="496"/>
      <c r="D144" s="42"/>
      <c r="E144" s="254"/>
      <c r="F144" s="343" t="s">
        <v>128</v>
      </c>
      <c r="G144" s="57"/>
      <c r="H144" s="84"/>
      <c r="I144" s="500"/>
      <c r="J144" s="46"/>
      <c r="K144" s="44"/>
      <c r="L144" s="47"/>
      <c r="M144" s="489"/>
      <c r="N144" s="57"/>
      <c r="O144" s="86"/>
      <c r="P144" s="54"/>
      <c r="Q144" s="88"/>
      <c r="R144" s="493"/>
      <c r="S144" s="680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673"/>
      <c r="AC144" s="673"/>
      <c r="AD144" s="500"/>
      <c r="AE144" s="500"/>
      <c r="AF144" s="48">
        <f t="shared" si="61"/>
        <v>0</v>
      </c>
      <c r="AG144" s="125" t="e">
        <f t="shared" si="62"/>
        <v>#DIV/0!</v>
      </c>
      <c r="AH144" s="672"/>
    </row>
    <row r="145" spans="1:34" ht="19.2" customHeight="1">
      <c r="A145" s="677"/>
      <c r="B145" s="486">
        <v>0</v>
      </c>
      <c r="C145" s="496"/>
      <c r="D145" s="42"/>
      <c r="E145" s="254"/>
      <c r="F145" s="343" t="s">
        <v>128</v>
      </c>
      <c r="G145" s="57" t="s">
        <v>15</v>
      </c>
      <c r="H145" s="84"/>
      <c r="I145" s="500"/>
      <c r="J145" s="87"/>
      <c r="K145" s="57"/>
      <c r="L145" s="86"/>
      <c r="M145" s="489"/>
      <c r="N145" s="57"/>
      <c r="O145" s="86"/>
      <c r="P145" s="54"/>
      <c r="Q145" s="88"/>
      <c r="R145" s="493"/>
      <c r="S145" s="680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673"/>
      <c r="AC145" s="673"/>
      <c r="AD145" s="500"/>
      <c r="AE145" s="500"/>
      <c r="AF145" s="48">
        <f t="shared" si="61"/>
        <v>0</v>
      </c>
      <c r="AG145" s="125" t="e">
        <f t="shared" si="62"/>
        <v>#DIV/0!</v>
      </c>
      <c r="AH145" s="672"/>
    </row>
    <row r="146" spans="1:34" ht="19.2" customHeight="1">
      <c r="A146" s="677"/>
      <c r="B146" s="488">
        <v>0</v>
      </c>
      <c r="C146" s="255"/>
      <c r="D146" s="256"/>
      <c r="E146" s="254"/>
      <c r="F146" s="343" t="s">
        <v>128</v>
      </c>
      <c r="G146" s="57"/>
      <c r="H146" s="84">
        <f t="shared" si="89"/>
        <v>0</v>
      </c>
      <c r="I146" s="500"/>
      <c r="J146" s="87"/>
      <c r="K146" s="57"/>
      <c r="L146" s="86"/>
      <c r="M146" s="489"/>
      <c r="N146" s="57"/>
      <c r="O146" s="86"/>
      <c r="P146" s="54"/>
      <c r="Q146" s="88"/>
      <c r="R146" s="493"/>
      <c r="S146" s="680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673"/>
      <c r="AC146" s="673"/>
      <c r="AD146" s="500"/>
      <c r="AE146" s="500"/>
      <c r="AF146" s="54"/>
      <c r="AG146" s="493"/>
      <c r="AH146" s="672"/>
    </row>
    <row r="147" spans="1:34" ht="19.2" customHeight="1">
      <c r="A147" s="678"/>
      <c r="B147" s="257">
        <v>0</v>
      </c>
      <c r="C147" s="100" t="s">
        <v>530</v>
      </c>
      <c r="D147" s="669" t="s">
        <v>455</v>
      </c>
      <c r="E147" s="669"/>
      <c r="F147" s="35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42">
        <f t="shared" ref="M147:O147" si="93">AVERAGE(M135:M146)</f>
        <v>17.222222222222221</v>
      </c>
      <c r="N147" s="242">
        <f t="shared" si="93"/>
        <v>1377.5332266190444</v>
      </c>
      <c r="O147" s="243">
        <f t="shared" si="93"/>
        <v>80.621844293918826</v>
      </c>
      <c r="P147" s="51">
        <f t="shared" ref="P147:P154" si="94">M147-J147</f>
        <v>0.22222222222222143</v>
      </c>
      <c r="Q147" s="139">
        <f t="shared" ref="Q147:Q154" si="95">O147-L147</f>
        <v>-7.4041141888895083</v>
      </c>
      <c r="R147" s="258">
        <f t="shared" ref="R147:R154" si="96">O147/L147</f>
        <v>0.91588715060301729</v>
      </c>
      <c r="S147" s="681"/>
      <c r="T147" s="63"/>
      <c r="U147" s="63"/>
      <c r="V147" s="55"/>
      <c r="W147" s="48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673"/>
      <c r="AC147" s="673"/>
      <c r="AD147" s="107">
        <f>SUM(AD135:AD146)</f>
        <v>0</v>
      </c>
      <c r="AE147" s="107">
        <f>SUM(AE135:AE146)</f>
        <v>0</v>
      </c>
      <c r="AF147" s="204">
        <f t="shared" si="61"/>
        <v>-103.02232893651126</v>
      </c>
      <c r="AG147" s="259">
        <f t="shared" si="62"/>
        <v>0.93041643824175602</v>
      </c>
      <c r="AH147" s="672"/>
    </row>
    <row r="148" spans="1:34" ht="19.2" customHeight="1">
      <c r="A148" s="684" t="s">
        <v>531</v>
      </c>
      <c r="B148" s="500" t="s">
        <v>125</v>
      </c>
      <c r="C148" s="121"/>
      <c r="D148" s="173" t="s">
        <v>137</v>
      </c>
      <c r="E148" s="43"/>
      <c r="F148" s="350">
        <v>36.92</v>
      </c>
      <c r="G148" s="57">
        <v>2567</v>
      </c>
      <c r="H148" s="84">
        <f t="shared" ref="H148:H172" si="97">F148*G148</f>
        <v>94773.64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4" si="98">G148/W148*60</f>
        <v>1426.1111111111109</v>
      </c>
      <c r="O148" s="47">
        <f t="shared" ref="O148:O154" si="99">N148/M148</f>
        <v>118.84259259259257</v>
      </c>
      <c r="P148" s="48">
        <f t="shared" si="94"/>
        <v>0</v>
      </c>
      <c r="Q148" s="49">
        <f t="shared" si="95"/>
        <v>-47.82407407407409</v>
      </c>
      <c r="R148" s="490">
        <f t="shared" si="96"/>
        <v>0.71305555555555544</v>
      </c>
      <c r="S148" s="685">
        <f>R160</f>
        <v>0.84226561469447703</v>
      </c>
      <c r="T148" s="246">
        <v>0.45833333333333331</v>
      </c>
      <c r="U148" s="50">
        <v>0.53333333333333333</v>
      </c>
      <c r="V148" s="486">
        <v>5</v>
      </c>
      <c r="W148" s="483">
        <f>(U148-T148)*24*60</f>
        <v>108.00000000000001</v>
      </c>
      <c r="X148" s="53"/>
      <c r="Y148" s="53"/>
      <c r="Z148" s="54"/>
      <c r="AA148" s="54"/>
      <c r="AB148" s="673"/>
      <c r="AC148" s="673"/>
      <c r="AD148" s="500"/>
      <c r="AE148" s="500"/>
      <c r="AF148" s="48">
        <f t="shared" si="61"/>
        <v>-573.88888888888914</v>
      </c>
      <c r="AG148" s="125">
        <f t="shared" si="62"/>
        <v>0.71305555555555544</v>
      </c>
      <c r="AH148" s="672">
        <f>AG160</f>
        <v>0.81564206326176258</v>
      </c>
    </row>
    <row r="149" spans="1:34" ht="19.2" customHeight="1">
      <c r="A149" s="684"/>
      <c r="B149" s="500" t="s">
        <v>125</v>
      </c>
      <c r="C149" s="221"/>
      <c r="D149" s="251" t="s">
        <v>190</v>
      </c>
      <c r="E149" s="60"/>
      <c r="F149" s="350">
        <v>26.5</v>
      </c>
      <c r="G149" s="57">
        <v>819.34999999999991</v>
      </c>
      <c r="H149" s="84">
        <f t="shared" si="97"/>
        <v>21712.774999999998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1445.9117647058804</v>
      </c>
      <c r="O149" s="47">
        <f t="shared" si="99"/>
        <v>120.49264705882337</v>
      </c>
      <c r="P149" s="48">
        <f t="shared" si="94"/>
        <v>0</v>
      </c>
      <c r="Q149" s="49">
        <f t="shared" si="95"/>
        <v>-46.174019607843292</v>
      </c>
      <c r="R149" s="490">
        <f t="shared" si="96"/>
        <v>0.72295588235294028</v>
      </c>
      <c r="S149" s="686"/>
      <c r="T149" s="246">
        <v>0.53680555555555554</v>
      </c>
      <c r="U149" s="50">
        <v>0.56041666666666667</v>
      </c>
      <c r="V149" s="486">
        <v>5</v>
      </c>
      <c r="W149" s="483">
        <f t="shared" ref="W149:W159" si="100">(U149-T149)*24*60</f>
        <v>34.000000000000043</v>
      </c>
      <c r="X149" s="53"/>
      <c r="Y149" s="53"/>
      <c r="Z149" s="54"/>
      <c r="AA149" s="54"/>
      <c r="AB149" s="673"/>
      <c r="AC149" s="673"/>
      <c r="AD149" s="500"/>
      <c r="AE149" s="500"/>
      <c r="AF149" s="48">
        <f t="shared" si="61"/>
        <v>-554.08823529411961</v>
      </c>
      <c r="AG149" s="125">
        <f t="shared" si="62"/>
        <v>0.72295588235294017</v>
      </c>
      <c r="AH149" s="674"/>
    </row>
    <row r="150" spans="1:34" ht="19.2" customHeight="1">
      <c r="A150" s="684"/>
      <c r="B150" s="500" t="s">
        <v>125</v>
      </c>
      <c r="C150" s="221"/>
      <c r="D150" s="176" t="s">
        <v>196</v>
      </c>
      <c r="E150" s="60"/>
      <c r="F150" s="350">
        <v>55.51</v>
      </c>
      <c r="G150" s="57">
        <v>167</v>
      </c>
      <c r="H150" s="84">
        <f t="shared" si="97"/>
        <v>9270.17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1252.5000000000045</v>
      </c>
      <c r="O150" s="47">
        <f t="shared" si="99"/>
        <v>104.37500000000038</v>
      </c>
      <c r="P150" s="48">
        <f t="shared" si="94"/>
        <v>0</v>
      </c>
      <c r="Q150" s="49">
        <f t="shared" si="95"/>
        <v>-20.624999999999616</v>
      </c>
      <c r="R150" s="490">
        <f t="shared" si="96"/>
        <v>0.83500000000000307</v>
      </c>
      <c r="S150" s="686"/>
      <c r="T150" s="246">
        <v>0.70833333333333337</v>
      </c>
      <c r="U150" s="50">
        <v>0.71388888888888891</v>
      </c>
      <c r="V150" s="486">
        <v>5</v>
      </c>
      <c r="W150" s="483">
        <f t="shared" si="100"/>
        <v>7.9999999999999716</v>
      </c>
      <c r="X150" s="216"/>
      <c r="Y150" s="216"/>
      <c r="Z150" s="217"/>
      <c r="AA150" s="217"/>
      <c r="AB150" s="673"/>
      <c r="AC150" s="673"/>
      <c r="AD150" s="500"/>
      <c r="AE150" s="500"/>
      <c r="AF150" s="48">
        <f t="shared" si="61"/>
        <v>-247.49999999999545</v>
      </c>
      <c r="AG150" s="125">
        <f t="shared" si="62"/>
        <v>0.83500000000000307</v>
      </c>
      <c r="AH150" s="674"/>
    </row>
    <row r="151" spans="1:34" s="218" customFormat="1" ht="19.2" customHeight="1">
      <c r="A151" s="684"/>
      <c r="B151" s="500" t="s">
        <v>126</v>
      </c>
      <c r="C151" s="221"/>
      <c r="D151" s="59" t="s">
        <v>182</v>
      </c>
      <c r="E151" s="60"/>
      <c r="F151" s="350">
        <v>28.57</v>
      </c>
      <c r="G151" s="57">
        <v>1315</v>
      </c>
      <c r="H151" s="84">
        <f t="shared" si="97"/>
        <v>37569.550000000003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1434.5454545454554</v>
      </c>
      <c r="O151" s="47">
        <f t="shared" si="99"/>
        <v>119.54545454545462</v>
      </c>
      <c r="P151" s="48">
        <f t="shared" si="94"/>
        <v>0</v>
      </c>
      <c r="Q151" s="49">
        <f t="shared" si="95"/>
        <v>-5.4545454545453822</v>
      </c>
      <c r="R151" s="490">
        <f t="shared" si="96"/>
        <v>0.95636363636363697</v>
      </c>
      <c r="S151" s="686"/>
      <c r="T151" s="246">
        <v>0.71736111111111112</v>
      </c>
      <c r="U151" s="50">
        <v>0.75555555555555554</v>
      </c>
      <c r="V151" s="486">
        <v>5</v>
      </c>
      <c r="W151" s="483">
        <f t="shared" si="100"/>
        <v>54.999999999999964</v>
      </c>
      <c r="X151" s="216"/>
      <c r="Y151" s="216"/>
      <c r="Z151" s="217"/>
      <c r="AA151" s="217"/>
      <c r="AB151" s="673"/>
      <c r="AC151" s="673"/>
      <c r="AD151" s="221"/>
      <c r="AE151" s="221"/>
      <c r="AF151" s="48">
        <f t="shared" si="61"/>
        <v>-65.454545454544586</v>
      </c>
      <c r="AG151" s="125">
        <f t="shared" si="62"/>
        <v>0.95636363636363697</v>
      </c>
      <c r="AH151" s="674"/>
    </row>
    <row r="152" spans="1:34" s="218" customFormat="1" ht="19.2" customHeight="1">
      <c r="A152" s="684"/>
      <c r="B152" s="500" t="s">
        <v>126</v>
      </c>
      <c r="C152" s="221"/>
      <c r="D152" s="59" t="s">
        <v>170</v>
      </c>
      <c r="E152" s="60"/>
      <c r="F152" s="350">
        <v>20.420000000000002</v>
      </c>
      <c r="G152" s="57">
        <v>236</v>
      </c>
      <c r="H152" s="84">
        <f t="shared" si="97"/>
        <v>4819.1200000000008</v>
      </c>
      <c r="I152" s="260"/>
      <c r="J152" s="87">
        <v>12</v>
      </c>
      <c r="K152" s="57">
        <v>1500</v>
      </c>
      <c r="L152" s="86">
        <v>125</v>
      </c>
      <c r="M152" s="228">
        <v>12</v>
      </c>
      <c r="N152" s="44">
        <f t="shared" si="98"/>
        <v>1011.4285714285751</v>
      </c>
      <c r="O152" s="47">
        <f t="shared" si="99"/>
        <v>84.28571428571459</v>
      </c>
      <c r="P152" s="48">
        <f t="shared" si="94"/>
        <v>0</v>
      </c>
      <c r="Q152" s="49">
        <f t="shared" si="95"/>
        <v>-40.71428571428541</v>
      </c>
      <c r="R152" s="490">
        <f t="shared" si="96"/>
        <v>0.67428571428571671</v>
      </c>
      <c r="S152" s="686"/>
      <c r="T152" s="261">
        <v>0.75902777777777775</v>
      </c>
      <c r="U152" s="63">
        <v>0.76874999999999993</v>
      </c>
      <c r="V152" s="487">
        <v>5</v>
      </c>
      <c r="W152" s="483">
        <f t="shared" si="100"/>
        <v>13.99999999999995</v>
      </c>
      <c r="X152" s="219"/>
      <c r="Y152" s="219"/>
      <c r="Z152" s="217"/>
      <c r="AA152" s="217"/>
      <c r="AB152" s="673"/>
      <c r="AC152" s="673"/>
      <c r="AD152" s="221"/>
      <c r="AE152" s="221"/>
      <c r="AF152" s="48">
        <f t="shared" si="61"/>
        <v>-488.57142857142492</v>
      </c>
      <c r="AG152" s="125">
        <f t="shared" si="62"/>
        <v>0.67428571428571671</v>
      </c>
      <c r="AH152" s="674"/>
    </row>
    <row r="153" spans="1:34" s="218" customFormat="1" ht="19.2" customHeight="1">
      <c r="A153" s="684"/>
      <c r="B153" s="500" t="s">
        <v>126</v>
      </c>
      <c r="C153" s="221"/>
      <c r="D153" s="251" t="s">
        <v>211</v>
      </c>
      <c r="E153" s="60"/>
      <c r="F153" s="350">
        <v>18.920000000000002</v>
      </c>
      <c r="G153" s="57">
        <v>1191</v>
      </c>
      <c r="H153" s="84">
        <f t="shared" si="97"/>
        <v>22533.72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1984.9999999999984</v>
      </c>
      <c r="O153" s="47">
        <f t="shared" si="99"/>
        <v>396.99999999999966</v>
      </c>
      <c r="P153" s="48">
        <f t="shared" si="94"/>
        <v>0</v>
      </c>
      <c r="Q153" s="49">
        <f t="shared" si="95"/>
        <v>-43.000000000000341</v>
      </c>
      <c r="R153" s="490">
        <f t="shared" si="96"/>
        <v>0.90227272727272645</v>
      </c>
      <c r="S153" s="686"/>
      <c r="T153" s="261">
        <v>0.77222222222222214</v>
      </c>
      <c r="U153" s="63">
        <v>0.79722222222222217</v>
      </c>
      <c r="V153" s="487">
        <v>5</v>
      </c>
      <c r="W153" s="483">
        <f t="shared" si="100"/>
        <v>36.000000000000028</v>
      </c>
      <c r="X153" s="219"/>
      <c r="Y153" s="219"/>
      <c r="Z153" s="217"/>
      <c r="AA153" s="217"/>
      <c r="AB153" s="673"/>
      <c r="AC153" s="673"/>
      <c r="AD153" s="221"/>
      <c r="AE153" s="221"/>
      <c r="AF153" s="48">
        <f t="shared" si="61"/>
        <v>-215.00000000000159</v>
      </c>
      <c r="AG153" s="125">
        <f t="shared" si="62"/>
        <v>0.90227272727272656</v>
      </c>
      <c r="AH153" s="674"/>
    </row>
    <row r="154" spans="1:34" s="218" customFormat="1" ht="19.2" customHeight="1">
      <c r="A154" s="684"/>
      <c r="B154" s="500" t="s">
        <v>126</v>
      </c>
      <c r="C154" s="221"/>
      <c r="D154" s="251" t="s">
        <v>212</v>
      </c>
      <c r="E154" s="60"/>
      <c r="F154" s="350">
        <v>17.71</v>
      </c>
      <c r="G154" s="57">
        <v>1147</v>
      </c>
      <c r="H154" s="84">
        <f t="shared" si="97"/>
        <v>20313.370000000003</v>
      </c>
      <c r="I154" s="260"/>
      <c r="J154" s="87">
        <v>5</v>
      </c>
      <c r="K154" s="57">
        <v>2200</v>
      </c>
      <c r="L154" s="86">
        <v>440</v>
      </c>
      <c r="M154" s="199">
        <v>5</v>
      </c>
      <c r="N154" s="44">
        <f t="shared" si="98"/>
        <v>1966.2857142857122</v>
      </c>
      <c r="O154" s="47">
        <f t="shared" si="99"/>
        <v>393.25714285714241</v>
      </c>
      <c r="P154" s="48">
        <f t="shared" si="94"/>
        <v>0</v>
      </c>
      <c r="Q154" s="49">
        <f t="shared" si="95"/>
        <v>-46.742857142857588</v>
      </c>
      <c r="R154" s="490">
        <f t="shared" si="96"/>
        <v>0.89376623376623276</v>
      </c>
      <c r="S154" s="686"/>
      <c r="T154" s="261">
        <v>0.80069444444444438</v>
      </c>
      <c r="U154" s="63">
        <v>0.82499999999999996</v>
      </c>
      <c r="V154" s="487">
        <v>5</v>
      </c>
      <c r="W154" s="483">
        <f t="shared" si="100"/>
        <v>35.000000000000036</v>
      </c>
      <c r="X154" s="219"/>
      <c r="Y154" s="219"/>
      <c r="Z154" s="217"/>
      <c r="AA154" s="217"/>
      <c r="AB154" s="673"/>
      <c r="AC154" s="673"/>
      <c r="AD154" s="221"/>
      <c r="AE154" s="221"/>
      <c r="AF154" s="48">
        <f t="shared" si="61"/>
        <v>-233.71428571428783</v>
      </c>
      <c r="AG154" s="125">
        <f t="shared" si="62"/>
        <v>0.89376623376623276</v>
      </c>
      <c r="AH154" s="674"/>
    </row>
    <row r="155" spans="1:34" s="218" customFormat="1" ht="19.2" customHeight="1">
      <c r="A155" s="684"/>
      <c r="B155" s="500">
        <v>0</v>
      </c>
      <c r="C155" s="221"/>
      <c r="D155" s="251"/>
      <c r="E155" s="60"/>
      <c r="F155" s="350" t="s">
        <v>128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90"/>
      <c r="S155" s="686"/>
      <c r="T155" s="261"/>
      <c r="U155" s="63"/>
      <c r="V155" s="487"/>
      <c r="W155" s="483">
        <f t="shared" si="100"/>
        <v>0</v>
      </c>
      <c r="X155" s="219"/>
      <c r="Y155" s="219"/>
      <c r="Z155" s="217"/>
      <c r="AA155" s="217"/>
      <c r="AB155" s="673"/>
      <c r="AC155" s="673"/>
      <c r="AD155" s="221"/>
      <c r="AE155" s="221"/>
      <c r="AF155" s="264"/>
      <c r="AG155" s="129"/>
      <c r="AH155" s="674"/>
    </row>
    <row r="156" spans="1:34" s="218" customFormat="1" ht="19.2" customHeight="1">
      <c r="A156" s="684"/>
      <c r="B156" s="221">
        <v>0</v>
      </c>
      <c r="C156" s="221"/>
      <c r="D156" s="251"/>
      <c r="E156" s="60"/>
      <c r="F156" s="350" t="s">
        <v>128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90"/>
      <c r="S156" s="686"/>
      <c r="T156" s="261"/>
      <c r="U156" s="63"/>
      <c r="V156" s="487"/>
      <c r="W156" s="265">
        <f t="shared" si="100"/>
        <v>0</v>
      </c>
      <c r="X156" s="219"/>
      <c r="Y156" s="219"/>
      <c r="Z156" s="217"/>
      <c r="AA156" s="217"/>
      <c r="AB156" s="673"/>
      <c r="AC156" s="673"/>
      <c r="AD156" s="221"/>
      <c r="AE156" s="221"/>
      <c r="AF156" s="264"/>
      <c r="AG156" s="129"/>
      <c r="AH156" s="674"/>
    </row>
    <row r="157" spans="1:34" s="218" customFormat="1" ht="19.2" customHeight="1">
      <c r="A157" s="684"/>
      <c r="B157" s="221">
        <v>0</v>
      </c>
      <c r="C157" s="221"/>
      <c r="D157" s="251"/>
      <c r="E157" s="60"/>
      <c r="F157" s="356" t="s">
        <v>128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686"/>
      <c r="T157" s="261"/>
      <c r="U157" s="63"/>
      <c r="V157" s="487"/>
      <c r="W157" s="265">
        <f t="shared" si="100"/>
        <v>0</v>
      </c>
      <c r="X157" s="219"/>
      <c r="Y157" s="219"/>
      <c r="Z157" s="217"/>
      <c r="AA157" s="217"/>
      <c r="AB157" s="673"/>
      <c r="AC157" s="673"/>
      <c r="AD157" s="221"/>
      <c r="AE157" s="221"/>
      <c r="AF157" s="264"/>
      <c r="AG157" s="129"/>
      <c r="AH157" s="674"/>
    </row>
    <row r="158" spans="1:34" s="218" customFormat="1" ht="19.2" customHeight="1">
      <c r="A158" s="684"/>
      <c r="B158" s="221">
        <v>0</v>
      </c>
      <c r="C158" s="221"/>
      <c r="D158" s="251"/>
      <c r="E158" s="60"/>
      <c r="F158" s="356" t="s">
        <v>128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686"/>
      <c r="T158" s="261"/>
      <c r="U158" s="63"/>
      <c r="V158" s="487"/>
      <c r="W158" s="265">
        <f t="shared" si="100"/>
        <v>0</v>
      </c>
      <c r="X158" s="219"/>
      <c r="Y158" s="219"/>
      <c r="Z158" s="217"/>
      <c r="AA158" s="217"/>
      <c r="AB158" s="673"/>
      <c r="AC158" s="673"/>
      <c r="AD158" s="221"/>
      <c r="AE158" s="221"/>
      <c r="AF158" s="264"/>
      <c r="AG158" s="129"/>
      <c r="AH158" s="674"/>
    </row>
    <row r="159" spans="1:34" s="218" customFormat="1" ht="19.2" customHeight="1">
      <c r="A159" s="684"/>
      <c r="B159" s="221">
        <v>0</v>
      </c>
      <c r="C159" s="221"/>
      <c r="D159" s="251"/>
      <c r="E159" s="60"/>
      <c r="F159" s="356" t="s">
        <v>128</v>
      </c>
      <c r="G159" s="57"/>
      <c r="H159" s="230">
        <f t="shared" si="97"/>
        <v>0</v>
      </c>
      <c r="I159" s="260"/>
      <c r="J159" s="262"/>
      <c r="K159" s="179"/>
      <c r="L159" s="131"/>
      <c r="M159" s="489"/>
      <c r="N159" s="179"/>
      <c r="O159" s="224"/>
      <c r="P159" s="263"/>
      <c r="Q159" s="74"/>
      <c r="R159" s="129"/>
      <c r="S159" s="686"/>
      <c r="T159" s="261"/>
      <c r="U159" s="63"/>
      <c r="V159" s="487"/>
      <c r="W159" s="266">
        <f t="shared" si="100"/>
        <v>0</v>
      </c>
      <c r="X159" s="219"/>
      <c r="Y159" s="219"/>
      <c r="Z159" s="217"/>
      <c r="AA159" s="217"/>
      <c r="AB159" s="673"/>
      <c r="AC159" s="673"/>
      <c r="AD159" s="221"/>
      <c r="AE159" s="221"/>
      <c r="AF159" s="264"/>
      <c r="AG159" s="129"/>
      <c r="AH159" s="674"/>
    </row>
    <row r="160" spans="1:34" ht="19.2" customHeight="1">
      <c r="A160" s="684"/>
      <c r="B160" s="267">
        <v>0</v>
      </c>
      <c r="C160" s="268" t="s">
        <v>532</v>
      </c>
      <c r="D160" s="682" t="s">
        <v>455</v>
      </c>
      <c r="E160" s="683"/>
      <c r="F160" s="344"/>
      <c r="G160" s="202"/>
      <c r="H160" s="201"/>
      <c r="I160" s="72"/>
      <c r="J160" s="269">
        <v>10</v>
      </c>
      <c r="K160" s="269">
        <v>1842.8571428571429</v>
      </c>
      <c r="L160" s="270">
        <v>226.9047619047619</v>
      </c>
      <c r="M160" s="269">
        <f t="shared" ref="M160:O160" si="101">AVERAGE(M148:M159)</f>
        <v>10</v>
      </c>
      <c r="N160" s="269">
        <f t="shared" si="101"/>
        <v>1503.1118022966768</v>
      </c>
      <c r="O160" s="270">
        <f t="shared" si="101"/>
        <v>191.11407876281822</v>
      </c>
      <c r="P160" s="65">
        <f t="shared" ref="P160:P163" si="102">M160-J160</f>
        <v>0</v>
      </c>
      <c r="Q160" s="74">
        <f t="shared" ref="Q160:Q163" si="103">O160-L160</f>
        <v>-35.790683141943674</v>
      </c>
      <c r="R160" s="271">
        <f>O160/L160</f>
        <v>0.84226561469447703</v>
      </c>
      <c r="S160" s="686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673"/>
      <c r="AC160" s="673"/>
      <c r="AD160" s="79">
        <f>SUM(AD148:AD159)</f>
        <v>0</v>
      </c>
      <c r="AE160" s="79">
        <f>SUM(AE148:AE159)</f>
        <v>0</v>
      </c>
      <c r="AF160" s="65">
        <f t="shared" si="61"/>
        <v>-339.74534056046605</v>
      </c>
      <c r="AG160" s="129">
        <f t="shared" si="62"/>
        <v>0.81564206326176258</v>
      </c>
      <c r="AH160" s="674"/>
    </row>
    <row r="161" spans="1:36" ht="19.2" customHeight="1">
      <c r="A161" s="671" t="s">
        <v>533</v>
      </c>
      <c r="B161" s="121" t="s">
        <v>126</v>
      </c>
      <c r="C161" s="121"/>
      <c r="D161" s="82" t="s">
        <v>206</v>
      </c>
      <c r="E161" s="83"/>
      <c r="F161" s="349">
        <v>30.13</v>
      </c>
      <c r="G161" s="57">
        <v>2862.6</v>
      </c>
      <c r="H161" s="84">
        <f t="shared" ref="H161:H170" si="104">F161*G161</f>
        <v>86250.137999999992</v>
      </c>
      <c r="I161" s="500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5" si="105">G161/W161*60</f>
        <v>1168.408163265306</v>
      </c>
      <c r="O161" s="86">
        <f t="shared" ref="O161:O165" si="106">N161/M161</f>
        <v>64.911564625850332</v>
      </c>
      <c r="P161" s="54">
        <f t="shared" si="102"/>
        <v>0</v>
      </c>
      <c r="Q161" s="88">
        <f t="shared" si="103"/>
        <v>-1.7551020408163396</v>
      </c>
      <c r="R161" s="493">
        <f t="shared" ref="R161:R163" si="107">O161/L161</f>
        <v>0.9736734693877549</v>
      </c>
      <c r="S161" s="672">
        <f>R173</f>
        <v>0.91390106267643367</v>
      </c>
      <c r="T161" s="89">
        <v>0.16666666666666666</v>
      </c>
      <c r="U161" s="89">
        <v>0.26874999999999999</v>
      </c>
      <c r="V161" s="500">
        <v>5</v>
      </c>
      <c r="W161" s="90">
        <f t="shared" ref="W161:W172" si="108">(U161-T161)*24*60</f>
        <v>147</v>
      </c>
      <c r="X161" s="96"/>
      <c r="Y161" s="96"/>
      <c r="Z161" s="54"/>
      <c r="AA161" s="54"/>
      <c r="AB161" s="673"/>
      <c r="AC161" s="673"/>
      <c r="AD161" s="500"/>
      <c r="AE161" s="500"/>
      <c r="AF161" s="54">
        <f t="shared" si="61"/>
        <v>-31.59183673469397</v>
      </c>
      <c r="AG161" s="493">
        <f t="shared" si="62"/>
        <v>0.97367346938775501</v>
      </c>
      <c r="AH161" s="672">
        <f>AG173</f>
        <v>0.9203867627617206</v>
      </c>
    </row>
    <row r="162" spans="1:36" ht="19.2" customHeight="1">
      <c r="A162" s="671"/>
      <c r="B162" s="121" t="s">
        <v>126</v>
      </c>
      <c r="C162" s="121"/>
      <c r="D162" s="82" t="s">
        <v>89</v>
      </c>
      <c r="E162" s="83"/>
      <c r="F162" s="349">
        <v>34.229999999999997</v>
      </c>
      <c r="G162" s="57">
        <v>3043</v>
      </c>
      <c r="H162" s="84">
        <f t="shared" si="104"/>
        <v>104161.88999999998</v>
      </c>
      <c r="I162" s="50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2199.7590361445777</v>
      </c>
      <c r="O162" s="86">
        <f t="shared" si="106"/>
        <v>169.21223354958289</v>
      </c>
      <c r="P162" s="54">
        <f t="shared" si="102"/>
        <v>0</v>
      </c>
      <c r="Q162" s="88">
        <f t="shared" si="103"/>
        <v>-3.8646895273401753</v>
      </c>
      <c r="R162" s="493">
        <f t="shared" si="107"/>
        <v>0.97767068273092339</v>
      </c>
      <c r="S162" s="672"/>
      <c r="T162" s="89">
        <v>0.28472222222222221</v>
      </c>
      <c r="U162" s="89">
        <v>0.34236111111111112</v>
      </c>
      <c r="V162" s="500">
        <v>23</v>
      </c>
      <c r="W162" s="90">
        <f t="shared" si="108"/>
        <v>83.000000000000028</v>
      </c>
      <c r="X162" s="96">
        <v>0.27361111111111108</v>
      </c>
      <c r="Y162" s="96">
        <v>0.28333333333333333</v>
      </c>
      <c r="Z162" s="54"/>
      <c r="AA162" s="54"/>
      <c r="AB162" s="673"/>
      <c r="AC162" s="673"/>
      <c r="AD162" s="500"/>
      <c r="AE162" s="500"/>
      <c r="AF162" s="54">
        <f t="shared" si="61"/>
        <v>-50.240963855422251</v>
      </c>
      <c r="AG162" s="493">
        <f t="shared" si="62"/>
        <v>0.97767068273092339</v>
      </c>
      <c r="AH162" s="672"/>
    </row>
    <row r="163" spans="1:36" ht="19.2" customHeight="1">
      <c r="A163" s="671"/>
      <c r="B163" s="121" t="s">
        <v>126</v>
      </c>
      <c r="C163" s="121"/>
      <c r="D163" s="248" t="s">
        <v>90</v>
      </c>
      <c r="E163" s="248"/>
      <c r="F163" s="349">
        <v>35.83</v>
      </c>
      <c r="G163" s="57">
        <v>2821.7999999999997</v>
      </c>
      <c r="H163" s="84">
        <f t="shared" si="104"/>
        <v>101105.09399999998</v>
      </c>
      <c r="I163" s="50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2143.1392405063275</v>
      </c>
      <c r="O163" s="86">
        <f t="shared" si="106"/>
        <v>194.83084004602978</v>
      </c>
      <c r="P163" s="54">
        <f t="shared" si="102"/>
        <v>0</v>
      </c>
      <c r="Q163" s="88">
        <f t="shared" si="103"/>
        <v>-9.714614499424755</v>
      </c>
      <c r="R163" s="493">
        <f t="shared" si="107"/>
        <v>0.95250632911392341</v>
      </c>
      <c r="S163" s="672"/>
      <c r="T163" s="89">
        <v>0.34722222222222221</v>
      </c>
      <c r="U163" s="89">
        <v>0.40208333333333335</v>
      </c>
      <c r="V163" s="500">
        <v>7</v>
      </c>
      <c r="W163" s="90">
        <f t="shared" si="108"/>
        <v>79.000000000000043</v>
      </c>
      <c r="X163" s="96"/>
      <c r="Y163" s="96"/>
      <c r="Z163" s="54"/>
      <c r="AA163" s="54"/>
      <c r="AB163" s="673"/>
      <c r="AC163" s="673"/>
      <c r="AD163" s="500"/>
      <c r="AE163" s="500"/>
      <c r="AF163" s="54">
        <f t="shared" si="61"/>
        <v>-106.8607594936725</v>
      </c>
      <c r="AG163" s="493">
        <f t="shared" si="62"/>
        <v>0.9525063291139233</v>
      </c>
      <c r="AH163" s="672"/>
    </row>
    <row r="164" spans="1:36" ht="19.2" customHeight="1">
      <c r="A164" s="671"/>
      <c r="B164" s="121" t="s">
        <v>126</v>
      </c>
      <c r="C164" s="121"/>
      <c r="D164" s="273" t="s">
        <v>62</v>
      </c>
      <c r="E164" s="273"/>
      <c r="F164" s="349">
        <v>36.409999999999997</v>
      </c>
      <c r="G164" s="57">
        <v>1328.8000000000002</v>
      </c>
      <c r="H164" s="84">
        <f t="shared" si="104"/>
        <v>48381.608</v>
      </c>
      <c r="I164" s="500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2416.0000000000027</v>
      </c>
      <c r="O164" s="86">
        <f t="shared" si="106"/>
        <v>241.60000000000028</v>
      </c>
      <c r="P164" s="54">
        <f>M164-J164</f>
        <v>0</v>
      </c>
      <c r="Q164" s="88">
        <f>O164-L164</f>
        <v>-35.299999999999699</v>
      </c>
      <c r="R164" s="493">
        <f>O164/L164</f>
        <v>0.87251715420729614</v>
      </c>
      <c r="S164" s="672"/>
      <c r="T164" s="89">
        <v>0.40625</v>
      </c>
      <c r="U164" s="89">
        <v>0.42916666666666664</v>
      </c>
      <c r="V164" s="500">
        <v>6</v>
      </c>
      <c r="W164" s="90">
        <f t="shared" si="108"/>
        <v>32.999999999999964</v>
      </c>
      <c r="X164" s="96"/>
      <c r="Y164" s="96"/>
      <c r="Z164" s="54"/>
      <c r="AA164" s="54"/>
      <c r="AB164" s="673"/>
      <c r="AC164" s="673"/>
      <c r="AD164" s="500"/>
      <c r="AE164" s="500"/>
      <c r="AF164" s="54">
        <f>N164-K164</f>
        <v>-352.99999999999727</v>
      </c>
      <c r="AG164" s="493">
        <f>N164/K164</f>
        <v>0.87251715420729603</v>
      </c>
      <c r="AH164" s="672"/>
    </row>
    <row r="165" spans="1:36" ht="19.2" customHeight="1">
      <c r="A165" s="671"/>
      <c r="B165" s="121" t="s">
        <v>126</v>
      </c>
      <c r="C165" s="81"/>
      <c r="D165" s="82" t="s">
        <v>62</v>
      </c>
      <c r="E165" s="83"/>
      <c r="F165" s="346">
        <v>36.409999999999997</v>
      </c>
      <c r="G165" s="57">
        <v>5315.2000000000007</v>
      </c>
      <c r="H165" s="84">
        <f t="shared" si="104"/>
        <v>193526.432</v>
      </c>
      <c r="I165" s="500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2416.0000000000014</v>
      </c>
      <c r="O165" s="86">
        <f t="shared" si="106"/>
        <v>241.60000000000014</v>
      </c>
      <c r="P165" s="54">
        <f t="shared" ref="P165" si="109">M165-J165</f>
        <v>0</v>
      </c>
      <c r="Q165" s="88">
        <f t="shared" ref="Q165" si="110">O165-L165</f>
        <v>-35.299999999999841</v>
      </c>
      <c r="R165" s="493">
        <f t="shared" ref="R165" si="111">O165/L165</f>
        <v>0.87251715420729559</v>
      </c>
      <c r="S165" s="672"/>
      <c r="T165" s="89">
        <v>0.46944444444444439</v>
      </c>
      <c r="U165" s="89">
        <v>0.56111111111111101</v>
      </c>
      <c r="V165" s="500">
        <v>5</v>
      </c>
      <c r="W165" s="90">
        <f t="shared" si="108"/>
        <v>131.99999999999994</v>
      </c>
      <c r="X165" s="96"/>
      <c r="Y165" s="96"/>
      <c r="Z165" s="54"/>
      <c r="AA165" s="54"/>
      <c r="AB165" s="673"/>
      <c r="AC165" s="673"/>
      <c r="AD165" s="500"/>
      <c r="AE165" s="500"/>
      <c r="AF165" s="54">
        <f>N165-K165</f>
        <v>-352.99999999999864</v>
      </c>
      <c r="AG165" s="493">
        <f>N165/K165</f>
        <v>0.87251715420729559</v>
      </c>
      <c r="AH165" s="672"/>
    </row>
    <row r="166" spans="1:36" ht="19.2" customHeight="1">
      <c r="A166" s="671"/>
      <c r="B166" s="121">
        <v>0</v>
      </c>
      <c r="C166" s="121"/>
      <c r="D166" s="82"/>
      <c r="E166" s="83"/>
      <c r="F166" s="349" t="s">
        <v>128</v>
      </c>
      <c r="G166" s="57"/>
      <c r="H166" s="84">
        <f t="shared" si="104"/>
        <v>0</v>
      </c>
      <c r="I166" s="500"/>
      <c r="J166" s="87"/>
      <c r="K166" s="57"/>
      <c r="L166" s="86"/>
      <c r="M166" s="87"/>
      <c r="N166" s="57"/>
      <c r="O166" s="86"/>
      <c r="P166" s="54"/>
      <c r="Q166" s="88"/>
      <c r="R166" s="493"/>
      <c r="S166" s="672"/>
      <c r="T166" s="89"/>
      <c r="U166" s="89"/>
      <c r="V166" s="500"/>
      <c r="W166" s="90">
        <f t="shared" si="108"/>
        <v>0</v>
      </c>
      <c r="X166" s="96"/>
      <c r="Y166" s="96"/>
      <c r="Z166" s="54"/>
      <c r="AA166" s="54"/>
      <c r="AB166" s="673"/>
      <c r="AC166" s="673"/>
      <c r="AD166" s="500"/>
      <c r="AE166" s="500"/>
      <c r="AF166" s="54">
        <f>N166-K166</f>
        <v>0</v>
      </c>
      <c r="AG166" s="493" t="e">
        <f>N166/K166</f>
        <v>#DIV/0!</v>
      </c>
      <c r="AH166" s="672"/>
    </row>
    <row r="167" spans="1:36" ht="19.2" customHeight="1">
      <c r="A167" s="671"/>
      <c r="B167" s="121">
        <v>0</v>
      </c>
      <c r="C167" s="121"/>
      <c r="D167" s="251"/>
      <c r="E167" s="60"/>
      <c r="F167" s="349" t="s">
        <v>128</v>
      </c>
      <c r="G167" s="57"/>
      <c r="H167" s="84">
        <f t="shared" si="104"/>
        <v>0</v>
      </c>
      <c r="I167" s="500"/>
      <c r="J167" s="87"/>
      <c r="K167" s="57"/>
      <c r="L167" s="86"/>
      <c r="M167" s="87"/>
      <c r="N167" s="57"/>
      <c r="O167" s="86"/>
      <c r="P167" s="54"/>
      <c r="Q167" s="88"/>
      <c r="R167" s="493"/>
      <c r="S167" s="672"/>
      <c r="T167" s="89"/>
      <c r="U167" s="89"/>
      <c r="V167" s="500"/>
      <c r="W167" s="90">
        <f t="shared" si="108"/>
        <v>0</v>
      </c>
      <c r="X167" s="96"/>
      <c r="Y167" s="96"/>
      <c r="Z167" s="54"/>
      <c r="AA167" s="54"/>
      <c r="AB167" s="673"/>
      <c r="AC167" s="673"/>
      <c r="AD167" s="500"/>
      <c r="AE167" s="500"/>
      <c r="AF167" s="54">
        <f t="shared" si="61"/>
        <v>0</v>
      </c>
      <c r="AG167" s="493" t="e">
        <f t="shared" si="62"/>
        <v>#DIV/0!</v>
      </c>
      <c r="AH167" s="672"/>
    </row>
    <row r="168" spans="1:36" ht="19.2" customHeight="1">
      <c r="A168" s="671"/>
      <c r="B168" s="121">
        <v>0</v>
      </c>
      <c r="C168" s="121"/>
      <c r="D168" s="251"/>
      <c r="E168" s="60"/>
      <c r="F168" s="349" t="s">
        <v>128</v>
      </c>
      <c r="G168" s="57"/>
      <c r="H168" s="84">
        <f t="shared" si="104"/>
        <v>0</v>
      </c>
      <c r="I168" s="500"/>
      <c r="J168" s="87"/>
      <c r="K168" s="57"/>
      <c r="L168" s="86"/>
      <c r="M168" s="87"/>
      <c r="N168" s="57"/>
      <c r="O168" s="86"/>
      <c r="P168" s="54"/>
      <c r="Q168" s="88"/>
      <c r="R168" s="493"/>
      <c r="S168" s="672"/>
      <c r="T168" s="89"/>
      <c r="U168" s="89"/>
      <c r="V168" s="500"/>
      <c r="W168" s="90">
        <f t="shared" si="108"/>
        <v>0</v>
      </c>
      <c r="X168" s="96"/>
      <c r="Y168" s="96"/>
      <c r="Z168" s="54"/>
      <c r="AA168" s="54"/>
      <c r="AB168" s="673"/>
      <c r="AC168" s="673"/>
      <c r="AD168" s="500"/>
      <c r="AE168" s="500"/>
      <c r="AF168" s="54">
        <f t="shared" si="61"/>
        <v>0</v>
      </c>
      <c r="AG168" s="493" t="e">
        <f t="shared" si="62"/>
        <v>#DIV/0!</v>
      </c>
      <c r="AH168" s="672"/>
    </row>
    <row r="169" spans="1:36" ht="19.2" customHeight="1">
      <c r="A169" s="671"/>
      <c r="B169" s="121">
        <v>0</v>
      </c>
      <c r="C169" s="121"/>
      <c r="D169" s="251"/>
      <c r="E169" s="60"/>
      <c r="F169" s="349" t="s">
        <v>128</v>
      </c>
      <c r="G169" s="57"/>
      <c r="H169" s="84">
        <f t="shared" si="104"/>
        <v>0</v>
      </c>
      <c r="I169" s="500"/>
      <c r="J169" s="87"/>
      <c r="K169" s="57"/>
      <c r="L169" s="86"/>
      <c r="M169" s="87"/>
      <c r="N169" s="57"/>
      <c r="O169" s="86"/>
      <c r="P169" s="54"/>
      <c r="Q169" s="88"/>
      <c r="R169" s="493"/>
      <c r="S169" s="672"/>
      <c r="T169" s="89"/>
      <c r="U169" s="89"/>
      <c r="V169" s="500" t="s">
        <v>15</v>
      </c>
      <c r="W169" s="90">
        <f t="shared" si="108"/>
        <v>0</v>
      </c>
      <c r="X169" s="96"/>
      <c r="Y169" s="96"/>
      <c r="Z169" s="54"/>
      <c r="AA169" s="54"/>
      <c r="AB169" s="673"/>
      <c r="AC169" s="673"/>
      <c r="AD169" s="500"/>
      <c r="AE169" s="500"/>
      <c r="AF169" s="54">
        <f t="shared" si="61"/>
        <v>0</v>
      </c>
      <c r="AG169" s="493" t="e">
        <f t="shared" si="62"/>
        <v>#DIV/0!</v>
      </c>
      <c r="AH169" s="672"/>
    </row>
    <row r="170" spans="1:36" ht="19.2" customHeight="1">
      <c r="A170" s="671"/>
      <c r="B170" s="121">
        <v>0</v>
      </c>
      <c r="C170" s="121"/>
      <c r="D170" s="251"/>
      <c r="E170" s="60"/>
      <c r="F170" s="349" t="s">
        <v>128</v>
      </c>
      <c r="G170" s="57"/>
      <c r="H170" s="84">
        <f t="shared" si="104"/>
        <v>0</v>
      </c>
      <c r="I170" s="500"/>
      <c r="J170" s="87"/>
      <c r="K170" s="57"/>
      <c r="L170" s="86"/>
      <c r="M170" s="87"/>
      <c r="N170" s="57"/>
      <c r="O170" s="86"/>
      <c r="P170" s="54"/>
      <c r="Q170" s="88"/>
      <c r="R170" s="493"/>
      <c r="S170" s="672"/>
      <c r="T170" s="89"/>
      <c r="U170" s="89"/>
      <c r="V170" s="500"/>
      <c r="W170" s="90">
        <f t="shared" si="108"/>
        <v>0</v>
      </c>
      <c r="X170" s="96"/>
      <c r="Y170" s="96"/>
      <c r="Z170" s="54"/>
      <c r="AA170" s="54"/>
      <c r="AB170" s="673"/>
      <c r="AC170" s="673"/>
      <c r="AD170" s="500"/>
      <c r="AE170" s="500"/>
      <c r="AF170" s="54">
        <f t="shared" si="61"/>
        <v>0</v>
      </c>
      <c r="AG170" s="493" t="e">
        <f t="shared" si="62"/>
        <v>#DIV/0!</v>
      </c>
      <c r="AH170" s="672"/>
    </row>
    <row r="171" spans="1:36" ht="19.2" customHeight="1">
      <c r="A171" s="671"/>
      <c r="B171" s="121">
        <v>0</v>
      </c>
      <c r="C171" s="121"/>
      <c r="D171" s="251"/>
      <c r="E171" s="60"/>
      <c r="F171" s="349" t="s">
        <v>128</v>
      </c>
      <c r="G171" s="57"/>
      <c r="H171" s="84">
        <f t="shared" si="97"/>
        <v>0</v>
      </c>
      <c r="I171" s="500"/>
      <c r="J171" s="87"/>
      <c r="K171" s="57"/>
      <c r="L171" s="86"/>
      <c r="M171" s="87"/>
      <c r="N171" s="57"/>
      <c r="O171" s="86"/>
      <c r="P171" s="54"/>
      <c r="Q171" s="88"/>
      <c r="R171" s="493"/>
      <c r="S171" s="672"/>
      <c r="T171" s="89"/>
      <c r="U171" s="89"/>
      <c r="V171" s="500"/>
      <c r="W171" s="90">
        <f t="shared" si="108"/>
        <v>0</v>
      </c>
      <c r="X171" s="96"/>
      <c r="Y171" s="96"/>
      <c r="Z171" s="54"/>
      <c r="AA171" s="54"/>
      <c r="AB171" s="673"/>
      <c r="AC171" s="673"/>
      <c r="AD171" s="500"/>
      <c r="AE171" s="500"/>
      <c r="AF171" s="54"/>
      <c r="AG171" s="493"/>
      <c r="AH171" s="672"/>
    </row>
    <row r="172" spans="1:36" ht="19.2" customHeight="1">
      <c r="A172" s="671"/>
      <c r="B172" s="121">
        <v>0</v>
      </c>
      <c r="C172" s="121"/>
      <c r="D172" s="251"/>
      <c r="E172" s="60"/>
      <c r="F172" s="349" t="s">
        <v>128</v>
      </c>
      <c r="G172" s="57"/>
      <c r="H172" s="84">
        <f t="shared" si="97"/>
        <v>0</v>
      </c>
      <c r="I172" s="500"/>
      <c r="J172" s="87"/>
      <c r="K172" s="57"/>
      <c r="L172" s="86"/>
      <c r="M172" s="87"/>
      <c r="N172" s="57"/>
      <c r="O172" s="86"/>
      <c r="P172" s="54"/>
      <c r="Q172" s="88"/>
      <c r="R172" s="493"/>
      <c r="S172" s="672"/>
      <c r="T172" s="89"/>
      <c r="U172" s="89"/>
      <c r="V172" s="500"/>
      <c r="W172" s="90">
        <f t="shared" si="108"/>
        <v>0</v>
      </c>
      <c r="X172" s="96"/>
      <c r="Y172" s="96"/>
      <c r="Z172" s="54"/>
      <c r="AA172" s="54"/>
      <c r="AB172" s="673"/>
      <c r="AC172" s="673"/>
      <c r="AD172" s="500"/>
      <c r="AE172" s="500"/>
      <c r="AF172" s="54"/>
      <c r="AG172" s="493"/>
      <c r="AH172" s="672"/>
    </row>
    <row r="173" spans="1:36" ht="19.2" customHeight="1">
      <c r="A173" s="671"/>
      <c r="B173" s="121">
        <v>0</v>
      </c>
      <c r="C173" s="100" t="s">
        <v>534</v>
      </c>
      <c r="D173" s="669" t="s">
        <v>455</v>
      </c>
      <c r="E173" s="669"/>
      <c r="F173" s="347"/>
      <c r="G173" s="101"/>
      <c r="H173" s="102"/>
      <c r="I173" s="103"/>
      <c r="J173" s="101">
        <v>12.4</v>
      </c>
      <c r="K173" s="101">
        <v>2247.6</v>
      </c>
      <c r="L173" s="104">
        <v>199.61780885780882</v>
      </c>
      <c r="M173" s="101">
        <f t="shared" ref="M173:O173" si="112">AVERAGE(M161:M172)</f>
        <v>12.4</v>
      </c>
      <c r="N173" s="101">
        <f t="shared" si="112"/>
        <v>2068.6612879832433</v>
      </c>
      <c r="O173" s="104">
        <f t="shared" si="112"/>
        <v>182.43092764429269</v>
      </c>
      <c r="P173" s="54">
        <f>M173-J173</f>
        <v>0</v>
      </c>
      <c r="Q173" s="88">
        <f>O173-L173</f>
        <v>-17.186881213516131</v>
      </c>
      <c r="R173" s="105">
        <f>O173/L173</f>
        <v>0.91390106267643367</v>
      </c>
      <c r="S173" s="672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670"/>
      <c r="AC173" s="670"/>
      <c r="AD173" s="107">
        <f>SUM(AD161:AD172)</f>
        <v>0</v>
      </c>
      <c r="AE173" s="107">
        <f>SUM(AE161:AE172)</f>
        <v>0</v>
      </c>
      <c r="AF173" s="54">
        <f t="shared" si="61"/>
        <v>-178.93871201675665</v>
      </c>
      <c r="AG173" s="493">
        <f t="shared" si="62"/>
        <v>0.9203867627617206</v>
      </c>
      <c r="AH173" s="672"/>
    </row>
    <row r="174" spans="1:36" ht="19.2" customHeight="1">
      <c r="AJ174" s="275" t="s">
        <v>91</v>
      </c>
    </row>
    <row r="175" spans="1:36" ht="19.2" customHeight="1">
      <c r="AJ175" s="275" t="s">
        <v>92</v>
      </c>
    </row>
    <row r="176" spans="1:36" ht="19.2" customHeight="1">
      <c r="AJ176" s="275" t="s">
        <v>535</v>
      </c>
    </row>
    <row r="177" spans="23:36" ht="19.2" customHeight="1">
      <c r="W177" s="33"/>
      <c r="AJ177" s="275" t="s">
        <v>93</v>
      </c>
    </row>
    <row r="178" spans="23:36" ht="19.2" customHeight="1">
      <c r="W178" s="33"/>
      <c r="AJ178" s="275" t="s">
        <v>94</v>
      </c>
    </row>
    <row r="179" spans="23:36">
      <c r="W179" s="33"/>
      <c r="AJ179" s="275" t="s">
        <v>95</v>
      </c>
    </row>
    <row r="180" spans="23:36">
      <c r="W180" s="33"/>
      <c r="AJ180" s="275" t="s">
        <v>96</v>
      </c>
    </row>
    <row r="181" spans="23:36">
      <c r="W181" s="33"/>
      <c r="AJ181" s="275" t="s">
        <v>97</v>
      </c>
    </row>
    <row r="182" spans="23:36">
      <c r="W182" s="33"/>
      <c r="AJ182" s="275" t="s">
        <v>98</v>
      </c>
    </row>
    <row r="183" spans="23:36">
      <c r="W183" s="33"/>
      <c r="AJ183" s="275" t="s">
        <v>99</v>
      </c>
    </row>
    <row r="184" spans="23:36">
      <c r="W184" s="33"/>
      <c r="AJ184" s="275" t="s">
        <v>100</v>
      </c>
    </row>
    <row r="185" spans="23:36">
      <c r="W185" s="33"/>
      <c r="AJ185" s="275" t="s">
        <v>536</v>
      </c>
    </row>
    <row r="186" spans="23:36">
      <c r="W186" s="33"/>
      <c r="AJ186" s="275" t="s">
        <v>537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F3:AF4"/>
    <mergeCell ref="AG3:AG4"/>
    <mergeCell ref="AH3:AH4"/>
  </mergeCells>
  <phoneticPr fontId="3" type="noConversion"/>
  <conditionalFormatting sqref="P5:P172">
    <cfRule type="cellIs" dxfId="85" priority="4" operator="greaterThan">
      <formula>0</formula>
    </cfRule>
  </conditionalFormatting>
  <conditionalFormatting sqref="Q5:Q173">
    <cfRule type="cellIs" dxfId="84" priority="7" operator="lessThan">
      <formula>0</formula>
    </cfRule>
  </conditionalFormatting>
  <conditionalFormatting sqref="R5:R173">
    <cfRule type="cellIs" dxfId="83" priority="5" operator="greaterThan">
      <formula>1</formula>
    </cfRule>
    <cfRule type="cellIs" dxfId="82" priority="6" operator="lessThan">
      <formula>0.8</formula>
    </cfRule>
  </conditionalFormatting>
  <conditionalFormatting sqref="S5:S11">
    <cfRule type="cellIs" dxfId="81" priority="20" operator="lessThan">
      <formula>0.8</formula>
    </cfRule>
  </conditionalFormatting>
  <conditionalFormatting sqref="S21:S29 AH21:AH29">
    <cfRule type="cellIs" dxfId="80" priority="13" operator="lessThan">
      <formula>0.8</formula>
    </cfRule>
  </conditionalFormatting>
  <conditionalFormatting sqref="S43:S72">
    <cfRule type="cellIs" dxfId="79" priority="10" operator="lessThan">
      <formula>0.8</formula>
    </cfRule>
  </conditionalFormatting>
  <conditionalFormatting sqref="S82:S91 AH82:AH91">
    <cfRule type="cellIs" dxfId="78" priority="12" operator="lessThan">
      <formula>0.8</formula>
    </cfRule>
  </conditionalFormatting>
  <conditionalFormatting sqref="S95:S104">
    <cfRule type="cellIs" dxfId="77" priority="8" operator="lessThan">
      <formula>0.8</formula>
    </cfRule>
  </conditionalFormatting>
  <conditionalFormatting sqref="S108:S109">
    <cfRule type="cellIs" dxfId="76" priority="9" operator="lessThan">
      <formula>0.8</formula>
    </cfRule>
  </conditionalFormatting>
  <conditionalFormatting sqref="S122:S135 AH135">
    <cfRule type="cellIs" dxfId="75" priority="21" operator="lessThan">
      <formula>0.8</formula>
    </cfRule>
  </conditionalFormatting>
  <conditionalFormatting sqref="S137 AH137">
    <cfRule type="cellIs" dxfId="74" priority="17" operator="lessThan">
      <formula>0.8</formula>
    </cfRule>
  </conditionalFormatting>
  <conditionalFormatting sqref="S139:S146 AH139:AH146">
    <cfRule type="cellIs" dxfId="73" priority="11" operator="lessThan">
      <formula>0.8</formula>
    </cfRule>
  </conditionalFormatting>
  <conditionalFormatting sqref="S148:S150">
    <cfRule type="cellIs" dxfId="72" priority="14" operator="lessThan">
      <formula>0.8</formula>
    </cfRule>
  </conditionalFormatting>
  <conditionalFormatting sqref="S161">
    <cfRule type="cellIs" dxfId="71" priority="25" operator="lessThan">
      <formula>0.8</formula>
    </cfRule>
  </conditionalFormatting>
  <conditionalFormatting sqref="AF5:AF173">
    <cfRule type="cellIs" dxfId="70" priority="3" operator="lessThan">
      <formula>0</formula>
    </cfRule>
  </conditionalFormatting>
  <conditionalFormatting sqref="AG5:AG173">
    <cfRule type="cellIs" dxfId="69" priority="1" operator="greaterThan">
      <formula>1</formula>
    </cfRule>
    <cfRule type="cellIs" dxfId="68" priority="2" operator="lessThan">
      <formula>0.8</formula>
    </cfRule>
  </conditionalFormatting>
  <conditionalFormatting sqref="AH5:AH9 S17:S18 AH17:AH18 AH57 AH95">
    <cfRule type="cellIs" dxfId="67" priority="26" operator="lessThan">
      <formula>0.8</formula>
    </cfRule>
  </conditionalFormatting>
  <conditionalFormatting sqref="AH31 S31:S32">
    <cfRule type="cellIs" dxfId="66" priority="22" operator="lessThan">
      <formula>0.8</formula>
    </cfRule>
  </conditionalFormatting>
  <conditionalFormatting sqref="AH70:AH72">
    <cfRule type="cellIs" dxfId="65" priority="19" operator="lessThan">
      <formula>0.8</formula>
    </cfRule>
  </conditionalFormatting>
  <conditionalFormatting sqref="AH97:AH98">
    <cfRule type="cellIs" dxfId="64" priority="18" operator="lessThan">
      <formula>0.8</formula>
    </cfRule>
  </conditionalFormatting>
  <conditionalFormatting sqref="AH100:AH107">
    <cfRule type="cellIs" dxfId="63" priority="16" operator="lessThan">
      <formula>0.8</formula>
    </cfRule>
  </conditionalFormatting>
  <conditionalFormatting sqref="AH109">
    <cfRule type="cellIs" dxfId="62" priority="24" operator="lessThan">
      <formula>0.8</formula>
    </cfRule>
  </conditionalFormatting>
  <conditionalFormatting sqref="AH148">
    <cfRule type="cellIs" dxfId="61" priority="23" operator="lessThan">
      <formula>0.8</formula>
    </cfRule>
  </conditionalFormatting>
  <conditionalFormatting sqref="AH150">
    <cfRule type="cellIs" dxfId="6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AN27" sqref="AN27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601" t="s">
        <v>0</v>
      </c>
      <c r="C1" s="602"/>
      <c r="D1" s="602"/>
      <c r="E1" s="602"/>
      <c r="F1" s="602"/>
      <c r="G1" s="602"/>
      <c r="H1" s="602"/>
      <c r="I1" s="602"/>
      <c r="J1" s="602"/>
      <c r="K1" s="602"/>
      <c r="L1" s="602"/>
      <c r="M1" s="603"/>
      <c r="N1" s="1"/>
      <c r="O1" s="1"/>
    </row>
    <row r="2" spans="2:17" ht="27.75" customHeight="1">
      <c r="B2" s="601"/>
      <c r="C2" s="602"/>
      <c r="D2" s="602"/>
      <c r="E2" s="602"/>
      <c r="F2" s="602"/>
      <c r="G2" s="602"/>
      <c r="H2" s="602"/>
      <c r="I2" s="602"/>
      <c r="J2" s="602"/>
      <c r="K2" s="602"/>
      <c r="L2" s="602"/>
      <c r="M2" s="603"/>
      <c r="N2" s="1"/>
      <c r="O2" s="1"/>
    </row>
    <row r="3" spans="2:17" ht="46.5" customHeight="1">
      <c r="B3" s="594" t="s">
        <v>1</v>
      </c>
      <c r="C3" s="555"/>
      <c r="D3" s="604" t="s">
        <v>558</v>
      </c>
      <c r="E3" s="605"/>
      <c r="F3" s="594" t="s">
        <v>2</v>
      </c>
      <c r="G3" s="555"/>
      <c r="H3" s="606">
        <v>278469</v>
      </c>
      <c r="I3" s="607"/>
      <c r="J3" s="594" t="s">
        <v>3</v>
      </c>
      <c r="K3" s="555"/>
      <c r="L3" s="599">
        <v>9187724.2949879505</v>
      </c>
      <c r="M3" s="600"/>
      <c r="N3" s="359"/>
      <c r="O3" s="359"/>
      <c r="P3" s="359"/>
      <c r="Q3" s="359"/>
    </row>
    <row r="4" spans="2:17" ht="24" customHeight="1">
      <c r="B4" s="594" t="s">
        <v>130</v>
      </c>
      <c r="C4" s="555"/>
      <c r="D4" s="586" t="s">
        <v>130</v>
      </c>
      <c r="E4" s="587"/>
      <c r="F4" s="597" t="s">
        <v>131</v>
      </c>
      <c r="G4" s="598"/>
      <c r="H4" s="597" t="s">
        <v>132</v>
      </c>
      <c r="I4" s="598"/>
      <c r="J4" s="597" t="s">
        <v>133</v>
      </c>
      <c r="K4" s="598"/>
      <c r="L4" s="599" t="s">
        <v>134</v>
      </c>
      <c r="M4" s="600"/>
      <c r="N4" s="580" t="s">
        <v>4</v>
      </c>
      <c r="O4" s="581"/>
      <c r="P4" s="581" t="s">
        <v>5</v>
      </c>
      <c r="Q4" s="581"/>
    </row>
    <row r="5" spans="2:17" ht="24" customHeight="1">
      <c r="B5" s="582" t="s">
        <v>35</v>
      </c>
      <c r="C5" s="561"/>
      <c r="D5" s="586" t="s">
        <v>135</v>
      </c>
      <c r="E5" s="587"/>
      <c r="F5" s="586" t="s">
        <v>6</v>
      </c>
      <c r="G5" s="587"/>
      <c r="H5" s="588" t="s">
        <v>7</v>
      </c>
      <c r="I5" s="589"/>
      <c r="J5" s="590" t="s">
        <v>8</v>
      </c>
      <c r="K5" s="591"/>
      <c r="L5" s="592" t="s">
        <v>9</v>
      </c>
      <c r="M5" s="593"/>
      <c r="N5" s="3" t="s">
        <v>175</v>
      </c>
      <c r="O5" s="4" t="s">
        <v>176</v>
      </c>
      <c r="P5" s="3" t="s">
        <v>175</v>
      </c>
      <c r="Q5" s="4" t="s">
        <v>177</v>
      </c>
    </row>
    <row r="6" spans="2:17" ht="39.6" customHeight="1">
      <c r="B6" s="583"/>
      <c r="C6" s="584"/>
      <c r="D6" s="594" t="s">
        <v>10</v>
      </c>
      <c r="E6" s="555"/>
      <c r="F6" s="595">
        <f>AVERAGE(D13:O13,P13:Q13,D30:E30,G30:H30,J30:M30)</f>
        <v>382.30349979993792</v>
      </c>
      <c r="G6" s="596"/>
      <c r="H6" s="574">
        <f>AVERAGE(D13:P13,Q13)</f>
        <v>145.76264254275955</v>
      </c>
      <c r="I6" s="575"/>
      <c r="J6" s="574">
        <f>AVERAGE(D30:E30,G30:H30)</f>
        <v>711.25</v>
      </c>
      <c r="K6" s="575"/>
      <c r="L6" s="576">
        <f>AVERAGE(J30:M30)</f>
        <v>881.25</v>
      </c>
      <c r="M6" s="577"/>
      <c r="N6" s="578">
        <v>0</v>
      </c>
      <c r="O6" s="563">
        <v>0</v>
      </c>
      <c r="P6" s="579">
        <v>8</v>
      </c>
      <c r="Q6" s="563">
        <v>6</v>
      </c>
    </row>
    <row r="7" spans="2:17" s="5" customFormat="1" ht="39.6" customHeight="1">
      <c r="B7" s="583"/>
      <c r="C7" s="584"/>
      <c r="D7" s="564" t="s">
        <v>11</v>
      </c>
      <c r="E7" s="565"/>
      <c r="F7" s="566">
        <f>AVERAGE(D14:O14,P14:Q14,D31:E31,J31:M31,G31:H31)</f>
        <v>368.26002774978753</v>
      </c>
      <c r="G7" s="567"/>
      <c r="H7" s="568">
        <f>AVERAGE(D14:P14,Q14)</f>
        <v>131.75752598753263</v>
      </c>
      <c r="I7" s="569"/>
      <c r="J7" s="568">
        <f>AVERAGE(D31:E31,G31:H31)</f>
        <v>711.72695449633545</v>
      </c>
      <c r="K7" s="569"/>
      <c r="L7" s="570">
        <f>AVERAGE(J31:M31)</f>
        <v>852.55185717113193</v>
      </c>
      <c r="M7" s="571"/>
      <c r="N7" s="578"/>
      <c r="O7" s="563"/>
      <c r="P7" s="579"/>
      <c r="Q7" s="563"/>
    </row>
    <row r="8" spans="2:17" s="5" customFormat="1" ht="39.6" customHeight="1">
      <c r="B8" s="585"/>
      <c r="C8" s="562"/>
      <c r="D8" s="564" t="s">
        <v>12</v>
      </c>
      <c r="E8" s="565"/>
      <c r="F8" s="572">
        <f>AVERAGE(D15:O15,P15:Q15,D32:E32,G32:H32,J32:M32)</f>
        <v>0.92331922596599481</v>
      </c>
      <c r="G8" s="573"/>
      <c r="H8" s="572">
        <f>AVERAGE(D15:O15,P15:Q15)</f>
        <v>0.90102746223880703</v>
      </c>
      <c r="I8" s="573"/>
      <c r="J8" s="572">
        <f>AVERAGE(D32:E32,G32:H32)</f>
        <v>0.95364240993851523</v>
      </c>
      <c r="K8" s="573"/>
      <c r="L8" s="572">
        <f>AVERAGE(J32:M32)</f>
        <v>0.97101721503863148</v>
      </c>
      <c r="M8" s="573"/>
      <c r="N8" s="578"/>
      <c r="O8" s="563"/>
      <c r="P8" s="579"/>
      <c r="Q8" s="563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551" t="s">
        <v>139</v>
      </c>
      <c r="C10" s="557"/>
      <c r="D10" s="558" t="s">
        <v>140</v>
      </c>
      <c r="E10" s="559"/>
      <c r="F10" s="559"/>
      <c r="G10" s="559"/>
      <c r="H10" s="559"/>
      <c r="I10" s="559"/>
      <c r="J10" s="559"/>
      <c r="K10" s="559"/>
      <c r="L10" s="559"/>
      <c r="M10" s="559"/>
      <c r="N10" s="559"/>
      <c r="O10" s="559"/>
      <c r="P10" s="559"/>
      <c r="Q10" s="560"/>
    </row>
    <row r="11" spans="2:17" ht="17.25" customHeight="1">
      <c r="B11" s="542" t="s">
        <v>141</v>
      </c>
      <c r="C11" s="561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" customHeight="1">
      <c r="B12" s="544"/>
      <c r="C12" s="562"/>
      <c r="D12" s="14" t="s">
        <v>142</v>
      </c>
      <c r="E12" s="360" t="s">
        <v>143</v>
      </c>
      <c r="F12" s="360" t="s">
        <v>144</v>
      </c>
      <c r="G12" s="360" t="s">
        <v>145</v>
      </c>
      <c r="H12" s="14" t="s">
        <v>146</v>
      </c>
      <c r="I12" s="360" t="s">
        <v>147</v>
      </c>
      <c r="J12" s="360" t="s">
        <v>148</v>
      </c>
      <c r="K12" s="360" t="s">
        <v>149</v>
      </c>
      <c r="L12" s="360" t="s">
        <v>150</v>
      </c>
      <c r="M12" s="360" t="s">
        <v>151</v>
      </c>
      <c r="N12" s="360" t="s">
        <v>152</v>
      </c>
      <c r="O12" s="360" t="s">
        <v>153</v>
      </c>
      <c r="P12" s="360" t="s">
        <v>154</v>
      </c>
      <c r="Q12" s="361" t="s">
        <v>13</v>
      </c>
    </row>
    <row r="13" spans="2:17" ht="39.9" customHeight="1">
      <c r="B13" s="546" t="s">
        <v>35</v>
      </c>
      <c r="C13" s="14" t="s">
        <v>155</v>
      </c>
      <c r="D13" s="19">
        <v>135.00300120048021</v>
      </c>
      <c r="E13" s="19">
        <v>116.76198257080613</v>
      </c>
      <c r="F13" s="19">
        <v>151.40203610888594</v>
      </c>
      <c r="G13" s="19">
        <v>314.46258503401361</v>
      </c>
      <c r="H13" s="19">
        <v>228.57142857142858</v>
      </c>
      <c r="I13" s="19">
        <v>87.333290333677326</v>
      </c>
      <c r="J13" s="19">
        <v>100.50745245466608</v>
      </c>
      <c r="K13" s="19">
        <v>76.447182985036108</v>
      </c>
      <c r="L13" s="19">
        <v>84.116767954745242</v>
      </c>
      <c r="M13" s="19">
        <v>81.522739139515465</v>
      </c>
      <c r="N13" s="19">
        <v>88.025958482808335</v>
      </c>
      <c r="O13" s="19">
        <v>226.9047619047619</v>
      </c>
      <c r="P13" s="19">
        <v>199.61780885780882</v>
      </c>
      <c r="Q13" s="21">
        <v>150</v>
      </c>
    </row>
    <row r="14" spans="2:17" ht="39.9" customHeight="1">
      <c r="B14" s="547"/>
      <c r="C14" s="14" t="s">
        <v>156</v>
      </c>
      <c r="D14" s="19">
        <v>125.97242366908517</v>
      </c>
      <c r="E14" s="19">
        <v>100.26532638007357</v>
      </c>
      <c r="F14" s="19">
        <v>128.77186433276879</v>
      </c>
      <c r="G14" s="19">
        <v>283.04548627484343</v>
      </c>
      <c r="H14" s="19">
        <v>223.90893012543515</v>
      </c>
      <c r="I14" s="19">
        <v>77.658351757047924</v>
      </c>
      <c r="J14" s="19">
        <v>87.637937626765492</v>
      </c>
      <c r="K14" s="19">
        <v>67.326995818107505</v>
      </c>
      <c r="L14" s="19">
        <v>75.542625761907374</v>
      </c>
      <c r="M14" s="19">
        <v>73.164636290311904</v>
      </c>
      <c r="N14" s="19">
        <v>80.640272572759145</v>
      </c>
      <c r="O14" s="19">
        <v>190.96383735842943</v>
      </c>
      <c r="P14" s="19">
        <v>181.53683458808069</v>
      </c>
      <c r="Q14" s="9">
        <v>148.16984126984147</v>
      </c>
    </row>
    <row r="15" spans="2:17" ht="39.9" customHeight="1">
      <c r="B15" s="548"/>
      <c r="C15" s="360" t="s">
        <v>157</v>
      </c>
      <c r="D15" s="10">
        <f t="shared" ref="D15:Q15" si="0">D14/D13</f>
        <v>0.93310832017738199</v>
      </c>
      <c r="E15" s="10">
        <f t="shared" si="0"/>
        <v>0.85871551829184856</v>
      </c>
      <c r="F15" s="10">
        <f t="shared" si="0"/>
        <v>0.85052927716347293</v>
      </c>
      <c r="G15" s="10">
        <f t="shared" si="0"/>
        <v>0.90009272881932212</v>
      </c>
      <c r="H15" s="10">
        <f t="shared" si="0"/>
        <v>0.97960156929877873</v>
      </c>
      <c r="I15" s="10">
        <f t="shared" si="0"/>
        <v>0.88921820602814772</v>
      </c>
      <c r="J15" s="10">
        <f t="shared" si="0"/>
        <v>0.87195462113911015</v>
      </c>
      <c r="K15" s="10">
        <f t="shared" si="0"/>
        <v>0.88069949982703999</v>
      </c>
      <c r="L15" s="10">
        <f t="shared" si="0"/>
        <v>0.89806857299307141</v>
      </c>
      <c r="M15" s="10">
        <f t="shared" si="0"/>
        <v>0.89747519603211856</v>
      </c>
      <c r="N15" s="10">
        <f t="shared" si="0"/>
        <v>0.91609650110777685</v>
      </c>
      <c r="O15" s="10">
        <f t="shared" si="0"/>
        <v>0.84160348048835643</v>
      </c>
      <c r="P15" s="362">
        <f t="shared" si="0"/>
        <v>0.90942203817792877</v>
      </c>
      <c r="Q15" s="11">
        <f t="shared" si="0"/>
        <v>0.98779894179894312</v>
      </c>
    </row>
    <row r="16" spans="2:17" ht="22.8" customHeight="1">
      <c r="B16" s="549" t="s">
        <v>158</v>
      </c>
      <c r="C16" s="360" t="s">
        <v>159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363">
        <v>0.44097222222222227</v>
      </c>
    </row>
    <row r="17" spans="2:23" ht="22.8" customHeight="1">
      <c r="B17" s="550"/>
      <c r="C17" s="360" t="s">
        <v>36</v>
      </c>
      <c r="D17" s="12">
        <v>0.69722222222222219</v>
      </c>
      <c r="E17" s="12">
        <v>0.58680555555555558</v>
      </c>
      <c r="F17" s="12">
        <v>0.68611111111111112</v>
      </c>
      <c r="G17" s="12">
        <v>0.58680555555555547</v>
      </c>
      <c r="H17" s="12">
        <v>0.60138888888888886</v>
      </c>
      <c r="I17" s="12">
        <v>0.73611111111111094</v>
      </c>
      <c r="J17" s="12">
        <v>0.83124999999999982</v>
      </c>
      <c r="K17" s="12">
        <v>0.7763888888888888</v>
      </c>
      <c r="L17" s="12">
        <v>0.99305555555555547</v>
      </c>
      <c r="M17" s="12">
        <v>1.0006944444444443</v>
      </c>
      <c r="N17" s="12">
        <v>0.99236111111111103</v>
      </c>
      <c r="O17" s="22">
        <v>0.83680555555555547</v>
      </c>
      <c r="P17" s="12">
        <v>0.63124999999999987</v>
      </c>
      <c r="Q17" s="363">
        <v>0.57291666666666663</v>
      </c>
    </row>
    <row r="18" spans="2:23" ht="22.8" customHeight="1">
      <c r="B18" s="553" t="s">
        <v>14</v>
      </c>
      <c r="C18" s="364" t="s">
        <v>160</v>
      </c>
      <c r="D18" s="365" t="s">
        <v>15</v>
      </c>
      <c r="E18" s="365" t="s">
        <v>15</v>
      </c>
      <c r="F18" s="365" t="s">
        <v>15</v>
      </c>
      <c r="G18" s="365" t="s">
        <v>15</v>
      </c>
      <c r="H18" s="365" t="s">
        <v>15</v>
      </c>
      <c r="I18" s="365" t="s">
        <v>15</v>
      </c>
      <c r="J18" s="365" t="s">
        <v>15</v>
      </c>
      <c r="K18" s="365" t="s">
        <v>15</v>
      </c>
      <c r="L18" s="365" t="s">
        <v>15</v>
      </c>
      <c r="M18" s="365" t="s">
        <v>15</v>
      </c>
      <c r="N18" s="365" t="s">
        <v>15</v>
      </c>
      <c r="O18" s="365" t="s">
        <v>15</v>
      </c>
      <c r="P18" s="365" t="s">
        <v>15</v>
      </c>
      <c r="Q18" s="366"/>
    </row>
    <row r="19" spans="2:23" ht="22.8" customHeight="1">
      <c r="B19" s="554"/>
      <c r="C19" s="364" t="s">
        <v>161</v>
      </c>
      <c r="D19" s="365" t="s">
        <v>15</v>
      </c>
      <c r="E19" s="365" t="s">
        <v>15</v>
      </c>
      <c r="F19" s="365" t="s">
        <v>15</v>
      </c>
      <c r="G19" s="365" t="s">
        <v>15</v>
      </c>
      <c r="H19" s="365" t="s">
        <v>15</v>
      </c>
      <c r="I19" s="365" t="s">
        <v>15</v>
      </c>
      <c r="J19" s="365" t="s">
        <v>15</v>
      </c>
      <c r="K19" s="365" t="s">
        <v>15</v>
      </c>
      <c r="L19" s="365" t="s">
        <v>15</v>
      </c>
      <c r="M19" s="365" t="s">
        <v>15</v>
      </c>
      <c r="N19" s="365" t="s">
        <v>15</v>
      </c>
      <c r="O19" s="365" t="s">
        <v>15</v>
      </c>
      <c r="P19" s="365" t="s">
        <v>15</v>
      </c>
      <c r="Q19" s="366"/>
    </row>
    <row r="20" spans="2:23" ht="22.8" customHeight="1">
      <c r="B20" s="553" t="s">
        <v>16</v>
      </c>
      <c r="C20" s="364" t="s">
        <v>160</v>
      </c>
      <c r="D20" s="365">
        <v>1</v>
      </c>
      <c r="E20" s="365">
        <v>1</v>
      </c>
      <c r="F20" s="365">
        <v>1</v>
      </c>
      <c r="G20" s="365" t="s">
        <v>15</v>
      </c>
      <c r="H20" s="365" t="s">
        <v>15</v>
      </c>
      <c r="I20" s="365">
        <v>1</v>
      </c>
      <c r="J20" s="365">
        <v>1</v>
      </c>
      <c r="K20" s="365">
        <v>1</v>
      </c>
      <c r="L20" s="365" t="s">
        <v>15</v>
      </c>
      <c r="M20" s="365">
        <v>1</v>
      </c>
      <c r="N20" s="365">
        <v>1</v>
      </c>
      <c r="O20" s="365" t="s">
        <v>15</v>
      </c>
      <c r="P20" s="365" t="s">
        <v>15</v>
      </c>
      <c r="Q20" s="366"/>
    </row>
    <row r="21" spans="2:23" ht="22.8" customHeight="1">
      <c r="B21" s="554"/>
      <c r="C21" s="364" t="s">
        <v>162</v>
      </c>
      <c r="D21" s="365" t="s">
        <v>15</v>
      </c>
      <c r="E21" s="365">
        <v>1</v>
      </c>
      <c r="F21" s="365" t="s">
        <v>15</v>
      </c>
      <c r="G21" s="365" t="s">
        <v>15</v>
      </c>
      <c r="H21" s="365">
        <v>1</v>
      </c>
      <c r="I21" s="365" t="s">
        <v>15</v>
      </c>
      <c r="J21" s="365">
        <v>1</v>
      </c>
      <c r="K21" s="365" t="s">
        <v>15</v>
      </c>
      <c r="L21" s="365" t="s">
        <v>15</v>
      </c>
      <c r="M21" s="365" t="s">
        <v>15</v>
      </c>
      <c r="N21" s="365">
        <v>1</v>
      </c>
      <c r="O21" s="365">
        <v>2</v>
      </c>
      <c r="P21" s="365" t="s">
        <v>15</v>
      </c>
      <c r="Q21" s="366"/>
    </row>
    <row r="22" spans="2:23" ht="22.8" customHeight="1">
      <c r="B22" s="532" t="s">
        <v>163</v>
      </c>
      <c r="C22" s="555"/>
      <c r="D22" s="367">
        <v>18.857142857142858</v>
      </c>
      <c r="E22" s="367">
        <v>16.666666666666668</v>
      </c>
      <c r="F22" s="367">
        <v>15.25</v>
      </c>
      <c r="G22" s="367">
        <v>6</v>
      </c>
      <c r="H22" s="367">
        <v>6.6</v>
      </c>
      <c r="I22" s="367">
        <v>17.666666666666668</v>
      </c>
      <c r="J22" s="367">
        <v>18.285714285714285</v>
      </c>
      <c r="K22" s="367">
        <v>18.25</v>
      </c>
      <c r="L22" s="367">
        <v>17.555555555555557</v>
      </c>
      <c r="M22" s="367">
        <v>18.625</v>
      </c>
      <c r="N22" s="367">
        <v>17.222222222222221</v>
      </c>
      <c r="O22" s="367">
        <v>9.7142857142857135</v>
      </c>
      <c r="P22" s="367">
        <v>12.4</v>
      </c>
      <c r="Q22" s="368">
        <v>11.333333333333334</v>
      </c>
    </row>
    <row r="23" spans="2:23" ht="22.8" customHeight="1">
      <c r="B23" s="532" t="s">
        <v>164</v>
      </c>
      <c r="C23" s="555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532" t="s">
        <v>165</v>
      </c>
      <c r="C24" s="555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534" t="s">
        <v>166</v>
      </c>
      <c r="C25" s="556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187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551"/>
      <c r="C27" s="552"/>
      <c r="D27" s="536" t="s">
        <v>167</v>
      </c>
      <c r="E27" s="537"/>
      <c r="F27" s="537"/>
      <c r="G27" s="537"/>
      <c r="H27" s="538"/>
      <c r="I27" s="539" t="s">
        <v>168</v>
      </c>
      <c r="J27" s="540"/>
      <c r="K27" s="540"/>
      <c r="L27" s="540"/>
      <c r="M27" s="541"/>
      <c r="N27" s="359"/>
      <c r="O27" s="359"/>
      <c r="P27" s="359"/>
      <c r="Q27" s="359"/>
    </row>
    <row r="28" spans="2:23" ht="17.25" customHeight="1">
      <c r="B28" s="542" t="s">
        <v>141</v>
      </c>
      <c r="C28" s="543"/>
      <c r="D28" s="369">
        <v>1</v>
      </c>
      <c r="E28" s="471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544"/>
      <c r="C29" s="545"/>
      <c r="D29" s="370" t="s">
        <v>26</v>
      </c>
      <c r="E29" s="371" t="s">
        <v>27</v>
      </c>
      <c r="F29" s="14" t="s">
        <v>28</v>
      </c>
      <c r="G29" s="14" t="s">
        <v>29</v>
      </c>
      <c r="H29" s="372" t="s">
        <v>30</v>
      </c>
      <c r="I29" s="370" t="s">
        <v>31</v>
      </c>
      <c r="J29" s="14" t="s">
        <v>27</v>
      </c>
      <c r="K29" s="14" t="s">
        <v>28</v>
      </c>
      <c r="L29" s="14" t="s">
        <v>29</v>
      </c>
      <c r="M29" s="372" t="s">
        <v>30</v>
      </c>
      <c r="N29" s="359"/>
      <c r="O29" s="359"/>
      <c r="P29" s="359"/>
      <c r="Q29" s="359"/>
    </row>
    <row r="30" spans="2:23" ht="39.9" customHeight="1">
      <c r="B30" s="546" t="s">
        <v>35</v>
      </c>
      <c r="C30" s="373" t="s">
        <v>155</v>
      </c>
      <c r="D30" s="20">
        <v>220</v>
      </c>
      <c r="E30" s="472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" customHeight="1">
      <c r="B31" s="547"/>
      <c r="C31" s="373" t="s">
        <v>156</v>
      </c>
      <c r="D31" s="375">
        <v>165.5330381615012</v>
      </c>
      <c r="E31" s="8">
        <v>820.1301382354012</v>
      </c>
      <c r="F31" s="8">
        <v>0</v>
      </c>
      <c r="G31" s="8">
        <v>898.05360945540542</v>
      </c>
      <c r="H31" s="376">
        <v>963.1910321330339</v>
      </c>
      <c r="I31" s="375">
        <v>0</v>
      </c>
      <c r="J31" s="8">
        <v>940.0000000000033</v>
      </c>
      <c r="K31" s="8">
        <v>672.51082251082096</v>
      </c>
      <c r="L31" s="8">
        <v>928.46940836940848</v>
      </c>
      <c r="M31" s="376">
        <v>869.22719780429486</v>
      </c>
      <c r="N31" s="359"/>
      <c r="O31" s="359"/>
      <c r="P31" s="359"/>
      <c r="Q31" s="359"/>
    </row>
    <row r="32" spans="2:23" ht="39.9" customHeight="1">
      <c r="B32" s="548"/>
      <c r="C32" s="470" t="s">
        <v>157</v>
      </c>
      <c r="D32" s="377">
        <f t="shared" ref="D32:M32" si="1">D31/D30</f>
        <v>0.75242290073409634</v>
      </c>
      <c r="E32" s="10">
        <f t="shared" si="1"/>
        <v>0.99409713725503179</v>
      </c>
      <c r="F32" s="10">
        <f t="shared" si="1"/>
        <v>0</v>
      </c>
      <c r="G32" s="10">
        <f t="shared" si="1"/>
        <v>0.99783734383933931</v>
      </c>
      <c r="H32" s="10">
        <f t="shared" si="1"/>
        <v>1.0702122579255933</v>
      </c>
      <c r="I32" s="375">
        <f t="shared" si="1"/>
        <v>0</v>
      </c>
      <c r="J32" s="10">
        <f t="shared" si="1"/>
        <v>1.1393939393939434</v>
      </c>
      <c r="K32" s="10">
        <f t="shared" si="1"/>
        <v>0.74723424723424547</v>
      </c>
      <c r="L32" s="10">
        <f t="shared" si="1"/>
        <v>1.0316326759660095</v>
      </c>
      <c r="M32" s="11">
        <f t="shared" si="1"/>
        <v>0.96580799756032765</v>
      </c>
      <c r="N32" s="359"/>
      <c r="O32" s="359"/>
      <c r="P32" s="359"/>
      <c r="Q32" s="359"/>
    </row>
    <row r="33" spans="2:17" ht="25.8" customHeight="1">
      <c r="B33" s="549" t="s">
        <v>158</v>
      </c>
      <c r="C33" s="470" t="s">
        <v>159</v>
      </c>
      <c r="D33" s="378">
        <v>0.17361111111111113</v>
      </c>
      <c r="E33" s="12">
        <v>0.18055555555555555</v>
      </c>
      <c r="F33" s="12">
        <v>0</v>
      </c>
      <c r="G33" s="12">
        <v>2794.9999999999914</v>
      </c>
      <c r="H33" s="363">
        <v>0.18055555555555555</v>
      </c>
      <c r="I33" s="378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5.5555555555555552E-2</v>
      </c>
      <c r="N33" s="359"/>
      <c r="O33" s="359"/>
      <c r="P33" s="359"/>
      <c r="Q33" s="359"/>
    </row>
    <row r="34" spans="2:17" ht="25.8" customHeight="1">
      <c r="B34" s="550"/>
      <c r="C34" s="470" t="s">
        <v>36</v>
      </c>
      <c r="D34" s="378">
        <v>0.39930555555555558</v>
      </c>
      <c r="E34" s="12">
        <v>0.37847222222222227</v>
      </c>
      <c r="F34" s="12">
        <v>0</v>
      </c>
      <c r="G34" s="12">
        <v>1057.1428571428548</v>
      </c>
      <c r="H34" s="363">
        <v>0.48333333333333334</v>
      </c>
      <c r="I34" s="23">
        <v>0</v>
      </c>
      <c r="J34" s="12">
        <v>0.73263888888888884</v>
      </c>
      <c r="K34" s="12">
        <v>0.82986111111111116</v>
      </c>
      <c r="L34" s="12">
        <v>46209.045138888891</v>
      </c>
      <c r="M34" s="13">
        <v>46209.041666666664</v>
      </c>
      <c r="N34" s="359"/>
      <c r="O34" s="359"/>
      <c r="P34" s="359"/>
      <c r="Q34" s="359"/>
    </row>
    <row r="35" spans="2:17" ht="25.8" customHeight="1">
      <c r="B35" s="532" t="s">
        <v>163</v>
      </c>
      <c r="C35" s="533"/>
      <c r="D35" s="379">
        <v>11</v>
      </c>
      <c r="E35" s="380">
        <v>3.5</v>
      </c>
      <c r="F35" s="380">
        <v>0</v>
      </c>
      <c r="G35" s="380">
        <v>3.5</v>
      </c>
      <c r="H35" s="381">
        <v>3.3333333333333335</v>
      </c>
      <c r="I35" s="382">
        <v>0</v>
      </c>
      <c r="J35" s="380">
        <v>3</v>
      </c>
      <c r="K35" s="380">
        <v>3.6666666666666665</v>
      </c>
      <c r="L35" s="380">
        <v>3.4</v>
      </c>
      <c r="M35" s="368">
        <v>3.4285714285714284</v>
      </c>
      <c r="N35" s="359"/>
      <c r="O35" s="359"/>
      <c r="P35" s="359"/>
      <c r="Q35" s="359"/>
    </row>
    <row r="36" spans="2:17" ht="25.8" customHeight="1">
      <c r="B36" s="532" t="s">
        <v>164</v>
      </c>
      <c r="C36" s="533"/>
      <c r="D36" s="38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8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59"/>
      <c r="O36" s="359"/>
      <c r="P36" s="359"/>
      <c r="Q36" s="359"/>
    </row>
    <row r="37" spans="2:17" ht="25.8" customHeight="1">
      <c r="B37" s="532" t="s">
        <v>165</v>
      </c>
      <c r="C37" s="533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8" customHeight="1" thickBot="1">
      <c r="B38" s="534" t="s">
        <v>166</v>
      </c>
      <c r="C38" s="535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15:Q15 D32:G32">
    <cfRule type="cellIs" dxfId="59" priority="4" operator="lessThan">
      <formula>0.8</formula>
    </cfRule>
  </conditionalFormatting>
  <conditionalFormatting sqref="J32:L32">
    <cfRule type="cellIs" dxfId="58" priority="3" operator="lessThan">
      <formula>0.8</formula>
    </cfRule>
  </conditionalFormatting>
  <conditionalFormatting sqref="M32">
    <cfRule type="cellIs" dxfId="57" priority="2" operator="lessThan">
      <formula>0.8</formula>
    </cfRule>
  </conditionalFormatting>
  <conditionalFormatting sqref="H32">
    <cfRule type="cellIs" dxfId="5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H10" sqref="H10"/>
    </sheetView>
  </sheetViews>
  <sheetFormatPr defaultColWidth="7.88671875" defaultRowHeight="15.6"/>
  <cols>
    <col min="1" max="1" width="13.6640625" style="282" customWidth="1"/>
    <col min="2" max="2" width="12.77734375" style="282" customWidth="1"/>
    <col min="3" max="3" width="12.77734375" style="342" hidden="1" customWidth="1"/>
    <col min="4" max="5" width="18.33203125" style="282" customWidth="1"/>
    <col min="6" max="6" width="9.77734375" style="340" customWidth="1"/>
    <col min="7" max="7" width="21.109375" style="282" bestFit="1" customWidth="1"/>
    <col min="8" max="8" width="15.6640625" style="282" customWidth="1"/>
    <col min="9" max="9" width="12.21875" style="282" bestFit="1" customWidth="1"/>
    <col min="10" max="15" width="9.77734375" style="282" customWidth="1"/>
    <col min="16" max="16" width="9.77734375" style="341" customWidth="1"/>
    <col min="17" max="18" width="9.77734375" style="282" customWidth="1"/>
    <col min="19" max="16384" width="7.88671875" style="282"/>
  </cols>
  <sheetData>
    <row r="1" spans="1:18" ht="26.25" customHeight="1">
      <c r="A1" s="394" t="s">
        <v>433</v>
      </c>
      <c r="B1" s="395"/>
      <c r="C1" s="396"/>
      <c r="D1" s="276" t="s">
        <v>434</v>
      </c>
      <c r="E1" s="277">
        <f>SUM(G5:G124)</f>
        <v>87843</v>
      </c>
      <c r="F1" s="278" t="s">
        <v>3</v>
      </c>
      <c r="G1" s="279">
        <f>SUM(H5:H124)</f>
        <v>1620200.5048051944</v>
      </c>
      <c r="H1" s="280" t="s">
        <v>435</v>
      </c>
      <c r="I1" s="281">
        <f>+J16+J64+J24+J38+J51+J81+J100+J91+J57+J124+J111</f>
        <v>45.828571428571429</v>
      </c>
      <c r="J1" s="649" t="s">
        <v>436</v>
      </c>
      <c r="K1" s="650"/>
      <c r="L1" s="651"/>
      <c r="M1" s="649" t="s">
        <v>437</v>
      </c>
      <c r="N1" s="650"/>
      <c r="O1" s="650"/>
      <c r="P1" s="650"/>
      <c r="Q1" s="650"/>
      <c r="R1" s="651"/>
    </row>
    <row r="2" spans="1:18" ht="26.25" customHeight="1" thickBot="1">
      <c r="A2" s="655" t="s">
        <v>487</v>
      </c>
      <c r="B2" s="656"/>
      <c r="C2" s="283"/>
      <c r="D2" s="473" t="s">
        <v>439</v>
      </c>
      <c r="E2" s="284">
        <f>AVERAGE(L16,L24,L38,L51,L100,L111,L91)</f>
        <v>612.46887475782944</v>
      </c>
      <c r="F2" s="285" t="s">
        <v>40</v>
      </c>
      <c r="G2" s="286">
        <f>G1/E1</f>
        <v>18.444275637275531</v>
      </c>
      <c r="H2" s="287" t="s">
        <v>440</v>
      </c>
      <c r="I2" s="288">
        <f>COUNT(I5:I124)</f>
        <v>0</v>
      </c>
      <c r="J2" s="652"/>
      <c r="K2" s="653"/>
      <c r="L2" s="654"/>
      <c r="M2" s="652"/>
      <c r="N2" s="653"/>
      <c r="O2" s="653"/>
      <c r="P2" s="653"/>
      <c r="Q2" s="653"/>
      <c r="R2" s="654"/>
    </row>
    <row r="3" spans="1:18" ht="23.25" customHeight="1">
      <c r="A3" s="657" t="s">
        <v>441</v>
      </c>
      <c r="B3" s="659" t="s">
        <v>442</v>
      </c>
      <c r="C3" s="475"/>
      <c r="D3" s="660" t="s">
        <v>443</v>
      </c>
      <c r="E3" s="660"/>
      <c r="F3" s="661" t="s">
        <v>43</v>
      </c>
      <c r="G3" s="662" t="s">
        <v>444</v>
      </c>
      <c r="H3" s="663" t="s">
        <v>445</v>
      </c>
      <c r="I3" s="664" t="s">
        <v>446</v>
      </c>
      <c r="J3" s="637" t="s">
        <v>447</v>
      </c>
      <c r="K3" s="639" t="s">
        <v>448</v>
      </c>
      <c r="L3" s="641" t="s">
        <v>439</v>
      </c>
      <c r="M3" s="666" t="s">
        <v>48</v>
      </c>
      <c r="N3" s="666"/>
      <c r="O3" s="637" t="s">
        <v>101</v>
      </c>
      <c r="P3" s="667" t="s">
        <v>449</v>
      </c>
      <c r="Q3" s="637" t="s">
        <v>450</v>
      </c>
      <c r="R3" s="637"/>
    </row>
    <row r="4" spans="1:18" ht="15.75" customHeight="1">
      <c r="A4" s="658"/>
      <c r="B4" s="659"/>
      <c r="C4" s="475"/>
      <c r="D4" s="660"/>
      <c r="E4" s="660"/>
      <c r="F4" s="661"/>
      <c r="G4" s="662"/>
      <c r="H4" s="663"/>
      <c r="I4" s="665"/>
      <c r="J4" s="638"/>
      <c r="K4" s="640"/>
      <c r="L4" s="642"/>
      <c r="M4" s="479" t="s">
        <v>50</v>
      </c>
      <c r="N4" s="479" t="s">
        <v>51</v>
      </c>
      <c r="O4" s="638"/>
      <c r="P4" s="668"/>
      <c r="Q4" s="289" t="s">
        <v>451</v>
      </c>
      <c r="R4" s="289" t="s">
        <v>452</v>
      </c>
    </row>
    <row r="5" spans="1:18">
      <c r="A5" s="643" t="s">
        <v>453</v>
      </c>
      <c r="B5" s="397" t="s">
        <v>129</v>
      </c>
      <c r="C5" s="397"/>
      <c r="D5" s="306" t="s">
        <v>174</v>
      </c>
      <c r="E5" s="410"/>
      <c r="F5" s="398">
        <v>25.64</v>
      </c>
      <c r="G5" s="475">
        <v>842</v>
      </c>
      <c r="H5" s="291">
        <f>F5*G5</f>
        <v>21588.880000000001</v>
      </c>
      <c r="I5" s="477"/>
      <c r="J5" s="292">
        <v>10</v>
      </c>
      <c r="K5" s="293">
        <f t="shared" ref="K5:K7" si="0">G5/P5*60</f>
        <v>1443.4285714285768</v>
      </c>
      <c r="L5" s="294">
        <f t="shared" ref="L5:L7" si="1">K5/J5</f>
        <v>144.34285714285767</v>
      </c>
      <c r="M5" s="295">
        <v>0.44097222222222227</v>
      </c>
      <c r="N5" s="295">
        <v>0.46527777777777773</v>
      </c>
      <c r="O5" s="289">
        <v>5</v>
      </c>
      <c r="P5" s="480">
        <f t="shared" ref="P5:P7" si="2">(N5-M5)*24*60</f>
        <v>34.999999999999872</v>
      </c>
      <c r="Q5" s="296"/>
      <c r="R5" s="296"/>
    </row>
    <row r="6" spans="1:18">
      <c r="A6" s="643"/>
      <c r="B6" s="397" t="s">
        <v>129</v>
      </c>
      <c r="C6" s="397"/>
      <c r="D6" s="306" t="s">
        <v>185</v>
      </c>
      <c r="E6" s="410"/>
      <c r="F6" s="398">
        <v>29.85</v>
      </c>
      <c r="G6" s="475">
        <v>2275</v>
      </c>
      <c r="H6" s="291">
        <f t="shared" ref="H6:H15" si="3">F6*G6</f>
        <v>67908.75</v>
      </c>
      <c r="I6" s="477"/>
      <c r="J6" s="292">
        <v>12</v>
      </c>
      <c r="K6" s="293">
        <f t="shared" si="0"/>
        <v>1819.9999999999986</v>
      </c>
      <c r="L6" s="294">
        <f t="shared" si="1"/>
        <v>151.66666666666654</v>
      </c>
      <c r="M6" s="295">
        <v>0.46875</v>
      </c>
      <c r="N6" s="295">
        <v>0.52083333333333337</v>
      </c>
      <c r="O6" s="289">
        <v>5</v>
      </c>
      <c r="P6" s="480">
        <f t="shared" si="2"/>
        <v>75.000000000000057</v>
      </c>
      <c r="Q6" s="289"/>
      <c r="R6" s="289"/>
    </row>
    <row r="7" spans="1:18">
      <c r="A7" s="643"/>
      <c r="B7" s="397" t="s">
        <v>129</v>
      </c>
      <c r="C7" s="397"/>
      <c r="D7" s="306" t="s">
        <v>186</v>
      </c>
      <c r="E7" s="410"/>
      <c r="F7" s="398">
        <v>29.52</v>
      </c>
      <c r="G7" s="475">
        <v>2079</v>
      </c>
      <c r="H7" s="291">
        <f t="shared" si="3"/>
        <v>61372.08</v>
      </c>
      <c r="I7" s="477"/>
      <c r="J7" s="292">
        <v>12</v>
      </c>
      <c r="K7" s="293">
        <f t="shared" si="0"/>
        <v>1782.000000000002</v>
      </c>
      <c r="L7" s="294">
        <f t="shared" si="1"/>
        <v>148.50000000000017</v>
      </c>
      <c r="M7" s="295">
        <v>0.52430555555555558</v>
      </c>
      <c r="N7" s="295">
        <v>0.57291666666666663</v>
      </c>
      <c r="O7" s="289">
        <v>5</v>
      </c>
      <c r="P7" s="480">
        <f t="shared" si="2"/>
        <v>69.999999999999915</v>
      </c>
      <c r="Q7" s="296"/>
      <c r="R7" s="296"/>
    </row>
    <row r="8" spans="1:18">
      <c r="A8" s="643"/>
      <c r="B8" s="397">
        <v>0</v>
      </c>
      <c r="C8" s="397"/>
      <c r="D8" s="306"/>
      <c r="E8" s="410"/>
      <c r="F8" s="398" t="s">
        <v>128</v>
      </c>
      <c r="G8" s="475"/>
      <c r="H8" s="291">
        <f t="shared" si="3"/>
        <v>0</v>
      </c>
      <c r="I8" s="477"/>
      <c r="J8" s="292"/>
      <c r="K8" s="293"/>
      <c r="L8" s="294"/>
      <c r="M8" s="295"/>
      <c r="N8" s="295"/>
      <c r="O8" s="289"/>
      <c r="P8" s="480"/>
      <c r="Q8" s="296"/>
      <c r="R8" s="296"/>
    </row>
    <row r="9" spans="1:18">
      <c r="A9" s="643"/>
      <c r="B9" s="397">
        <v>0</v>
      </c>
      <c r="C9" s="397"/>
      <c r="D9" s="306"/>
      <c r="E9" s="410"/>
      <c r="F9" s="398" t="s">
        <v>128</v>
      </c>
      <c r="G9" s="297"/>
      <c r="H9" s="291">
        <f t="shared" si="3"/>
        <v>0</v>
      </c>
      <c r="I9" s="477"/>
      <c r="J9" s="292"/>
      <c r="K9" s="293"/>
      <c r="L9" s="294"/>
      <c r="M9" s="295"/>
      <c r="N9" s="295"/>
      <c r="O9" s="289"/>
      <c r="P9" s="480"/>
      <c r="Q9" s="296"/>
      <c r="R9" s="296"/>
    </row>
    <row r="10" spans="1:18">
      <c r="A10" s="643"/>
      <c r="B10" s="397">
        <v>0</v>
      </c>
      <c r="C10" s="397"/>
      <c r="D10" s="306"/>
      <c r="E10" s="410"/>
      <c r="F10" s="398" t="s">
        <v>128</v>
      </c>
      <c r="G10" s="297"/>
      <c r="H10" s="291">
        <f t="shared" si="3"/>
        <v>0</v>
      </c>
      <c r="I10" s="477"/>
      <c r="J10" s="292"/>
      <c r="K10" s="293"/>
      <c r="L10" s="294"/>
      <c r="M10" s="295"/>
      <c r="N10" s="295"/>
      <c r="O10" s="289"/>
      <c r="P10" s="480"/>
      <c r="Q10" s="296"/>
      <c r="R10" s="296"/>
    </row>
    <row r="11" spans="1:18">
      <c r="A11" s="643"/>
      <c r="B11" s="397">
        <v>0</v>
      </c>
      <c r="C11" s="397"/>
      <c r="D11" s="306"/>
      <c r="E11" s="410"/>
      <c r="F11" s="398" t="s">
        <v>128</v>
      </c>
      <c r="G11" s="297"/>
      <c r="H11" s="291">
        <f t="shared" si="3"/>
        <v>0</v>
      </c>
      <c r="I11" s="477"/>
      <c r="J11" s="292"/>
      <c r="K11" s="293"/>
      <c r="L11" s="294"/>
      <c r="M11" s="295"/>
      <c r="N11" s="295"/>
      <c r="O11" s="289"/>
      <c r="P11" s="480"/>
      <c r="Q11" s="296"/>
      <c r="R11" s="296"/>
    </row>
    <row r="12" spans="1:18">
      <c r="A12" s="644"/>
      <c r="B12" s="397">
        <v>0</v>
      </c>
      <c r="C12" s="476"/>
      <c r="D12" s="306"/>
      <c r="E12" s="410"/>
      <c r="F12" s="398" t="s">
        <v>128</v>
      </c>
      <c r="G12" s="474"/>
      <c r="H12" s="291">
        <f t="shared" si="3"/>
        <v>0</v>
      </c>
      <c r="I12" s="477"/>
      <c r="J12" s="292"/>
      <c r="K12" s="293"/>
      <c r="L12" s="294"/>
      <c r="M12" s="295"/>
      <c r="N12" s="295"/>
      <c r="O12" s="289"/>
      <c r="P12" s="480"/>
      <c r="Q12" s="296"/>
      <c r="R12" s="289"/>
    </row>
    <row r="13" spans="1:18">
      <c r="A13" s="644"/>
      <c r="B13" s="397">
        <v>0</v>
      </c>
      <c r="C13" s="397"/>
      <c r="D13" s="306"/>
      <c r="E13" s="410"/>
      <c r="F13" s="398" t="s">
        <v>128</v>
      </c>
      <c r="G13" s="297"/>
      <c r="H13" s="291">
        <f t="shared" si="3"/>
        <v>0</v>
      </c>
      <c r="I13" s="477"/>
      <c r="J13" s="292"/>
      <c r="K13" s="293"/>
      <c r="L13" s="294"/>
      <c r="M13" s="295"/>
      <c r="N13" s="295"/>
      <c r="O13" s="289"/>
      <c r="P13" s="480"/>
      <c r="Q13" s="289"/>
      <c r="R13" s="289"/>
    </row>
    <row r="14" spans="1:18">
      <c r="A14" s="644"/>
      <c r="B14" s="397">
        <v>0</v>
      </c>
      <c r="C14" s="397"/>
      <c r="D14" s="409"/>
      <c r="E14" s="410"/>
      <c r="F14" s="398" t="s">
        <v>128</v>
      </c>
      <c r="G14" s="297"/>
      <c r="H14" s="291">
        <f t="shared" si="3"/>
        <v>0</v>
      </c>
      <c r="I14" s="477"/>
      <c r="J14" s="292"/>
      <c r="K14" s="293"/>
      <c r="L14" s="294"/>
      <c r="M14" s="295"/>
      <c r="N14" s="295"/>
      <c r="O14" s="289"/>
      <c r="P14" s="480"/>
      <c r="Q14" s="289"/>
      <c r="R14" s="289"/>
    </row>
    <row r="15" spans="1:18">
      <c r="A15" s="644"/>
      <c r="B15" s="397">
        <v>0</v>
      </c>
      <c r="C15" s="397"/>
      <c r="D15" s="399"/>
      <c r="E15" s="399"/>
      <c r="F15" s="398" t="s">
        <v>128</v>
      </c>
      <c r="G15" s="297"/>
      <c r="H15" s="291">
        <f t="shared" si="3"/>
        <v>0</v>
      </c>
      <c r="I15" s="477"/>
      <c r="J15" s="292"/>
      <c r="K15" s="293"/>
      <c r="L15" s="294"/>
      <c r="M15" s="295"/>
      <c r="N15" s="295"/>
      <c r="O15" s="289"/>
      <c r="P15" s="480"/>
      <c r="Q15" s="289"/>
      <c r="R15" s="289"/>
    </row>
    <row r="16" spans="1:18" ht="15.75" customHeight="1">
      <c r="A16" s="645"/>
      <c r="B16" s="397">
        <v>0</v>
      </c>
      <c r="C16" s="290" t="s">
        <v>454</v>
      </c>
      <c r="D16" s="628" t="s">
        <v>455</v>
      </c>
      <c r="E16" s="628"/>
      <c r="F16" s="298"/>
      <c r="G16" s="299"/>
      <c r="H16" s="300"/>
      <c r="I16" s="301"/>
      <c r="J16" s="302">
        <f>AVERAGE(J5:J15)</f>
        <v>11.333333333333334</v>
      </c>
      <c r="K16" s="302">
        <f>AVERAGE(K5:K15)</f>
        <v>1681.8095238095257</v>
      </c>
      <c r="L16" s="303">
        <f>AVERAGE(L5:L15)</f>
        <v>148.16984126984147</v>
      </c>
      <c r="M16" s="295"/>
      <c r="N16" s="295"/>
      <c r="O16" s="293"/>
      <c r="P16" s="293"/>
      <c r="Q16" s="294"/>
      <c r="R16" s="294"/>
    </row>
    <row r="17" spans="1:18" ht="15.75" customHeight="1">
      <c r="A17" s="646" t="s">
        <v>456</v>
      </c>
      <c r="B17" s="397">
        <v>0</v>
      </c>
      <c r="C17" s="476"/>
      <c r="D17" s="306" t="s">
        <v>183</v>
      </c>
      <c r="E17" s="306"/>
      <c r="F17" s="398" t="s">
        <v>128</v>
      </c>
      <c r="G17" s="475">
        <v>2275</v>
      </c>
      <c r="H17" s="304">
        <f t="shared" ref="H17:H23" si="4">F17*G17</f>
        <v>0</v>
      </c>
      <c r="I17" s="305"/>
      <c r="J17" s="292">
        <v>9</v>
      </c>
      <c r="K17" s="293">
        <f t="shared" ref="K17:K19" si="5">G17/P17*60</f>
        <v>1605.8823529411775</v>
      </c>
      <c r="L17" s="294">
        <f>K17/J17</f>
        <v>178.43137254901973</v>
      </c>
      <c r="M17" s="295">
        <v>0.17361111111111113</v>
      </c>
      <c r="N17" s="295">
        <v>0.23263888888888887</v>
      </c>
      <c r="O17" s="289">
        <v>10</v>
      </c>
      <c r="P17" s="480">
        <f>(N17-M17)*24*60</f>
        <v>84.999999999999943</v>
      </c>
      <c r="Q17" s="289"/>
      <c r="R17" s="289"/>
    </row>
    <row r="18" spans="1:18" ht="15.75" customHeight="1">
      <c r="A18" s="646"/>
      <c r="B18" s="397">
        <v>0</v>
      </c>
      <c r="C18" s="476"/>
      <c r="D18" s="306" t="s">
        <v>184</v>
      </c>
      <c r="E18" s="306"/>
      <c r="F18" s="398" t="s">
        <v>128</v>
      </c>
      <c r="G18" s="474">
        <v>2079</v>
      </c>
      <c r="H18" s="291">
        <f t="shared" si="4"/>
        <v>0</v>
      </c>
      <c r="I18" s="477"/>
      <c r="J18" s="292">
        <v>9</v>
      </c>
      <c r="K18" s="293">
        <f t="shared" si="5"/>
        <v>1663.1999999999998</v>
      </c>
      <c r="L18" s="294">
        <f t="shared" ref="L18:L19" si="6">K18/J18</f>
        <v>184.79999999999998</v>
      </c>
      <c r="M18" s="295">
        <v>0.23611111111111113</v>
      </c>
      <c r="N18" s="295">
        <v>0.28819444444444448</v>
      </c>
      <c r="O18" s="289">
        <v>5</v>
      </c>
      <c r="P18" s="480">
        <f t="shared" ref="P18:P19" si="7">(N18-M18)*24*60</f>
        <v>75.000000000000014</v>
      </c>
      <c r="Q18" s="296"/>
      <c r="R18" s="296"/>
    </row>
    <row r="19" spans="1:18" ht="15.75" customHeight="1">
      <c r="A19" s="646"/>
      <c r="B19" s="397" t="s">
        <v>129</v>
      </c>
      <c r="C19" s="476"/>
      <c r="D19" s="306" t="s">
        <v>457</v>
      </c>
      <c r="E19" s="306"/>
      <c r="F19" s="398">
        <v>19.63</v>
      </c>
      <c r="G19" s="474">
        <v>5168</v>
      </c>
      <c r="H19" s="291">
        <f t="shared" si="4"/>
        <v>101447.84</v>
      </c>
      <c r="I19" s="477"/>
      <c r="J19" s="292">
        <v>15</v>
      </c>
      <c r="K19" s="293">
        <f t="shared" si="5"/>
        <v>2000.516129032258</v>
      </c>
      <c r="L19" s="294">
        <f t="shared" si="6"/>
        <v>133.36774193548388</v>
      </c>
      <c r="M19" s="295">
        <v>0.29166666666666669</v>
      </c>
      <c r="N19" s="295">
        <v>0.39930555555555558</v>
      </c>
      <c r="O19" s="289">
        <v>5</v>
      </c>
      <c r="P19" s="480">
        <f t="shared" si="7"/>
        <v>155</v>
      </c>
      <c r="Q19" s="296">
        <v>0.40625</v>
      </c>
      <c r="R19" s="296">
        <v>0.4375</v>
      </c>
    </row>
    <row r="20" spans="1:18" ht="15.75" customHeight="1">
      <c r="A20" s="647"/>
      <c r="B20" s="397">
        <v>0</v>
      </c>
      <c r="C20" s="476"/>
      <c r="D20" s="306"/>
      <c r="E20" s="306"/>
      <c r="F20" s="398" t="s">
        <v>128</v>
      </c>
      <c r="G20" s="474"/>
      <c r="H20" s="291">
        <f t="shared" si="4"/>
        <v>0</v>
      </c>
      <c r="I20" s="477"/>
      <c r="J20" s="292"/>
      <c r="K20" s="293"/>
      <c r="L20" s="294"/>
      <c r="M20" s="295"/>
      <c r="N20" s="295"/>
      <c r="O20" s="289"/>
      <c r="P20" s="480"/>
      <c r="Q20" s="296"/>
      <c r="R20" s="296"/>
    </row>
    <row r="21" spans="1:18" ht="15.75" customHeight="1">
      <c r="A21" s="647"/>
      <c r="B21" s="397">
        <v>0</v>
      </c>
      <c r="C21" s="476"/>
      <c r="D21" s="306"/>
      <c r="E21" s="306"/>
      <c r="F21" s="398" t="s">
        <v>128</v>
      </c>
      <c r="G21" s="474"/>
      <c r="H21" s="291">
        <f t="shared" si="4"/>
        <v>0</v>
      </c>
      <c r="I21" s="477"/>
      <c r="J21" s="292"/>
      <c r="K21" s="293"/>
      <c r="L21" s="294"/>
      <c r="M21" s="295"/>
      <c r="N21" s="295"/>
      <c r="O21" s="289"/>
      <c r="P21" s="480"/>
      <c r="Q21" s="296"/>
      <c r="R21" s="296"/>
    </row>
    <row r="22" spans="1:18" ht="15.75" customHeight="1">
      <c r="A22" s="647"/>
      <c r="B22" s="397">
        <v>0</v>
      </c>
      <c r="C22" s="476"/>
      <c r="D22" s="306"/>
      <c r="E22" s="410"/>
      <c r="F22" s="398" t="s">
        <v>128</v>
      </c>
      <c r="G22" s="474"/>
      <c r="H22" s="291">
        <f t="shared" si="4"/>
        <v>0</v>
      </c>
      <c r="I22" s="477"/>
      <c r="J22" s="292"/>
      <c r="K22" s="293"/>
      <c r="L22" s="294"/>
      <c r="M22" s="295"/>
      <c r="N22" s="295"/>
      <c r="O22" s="289"/>
      <c r="P22" s="480"/>
      <c r="Q22" s="289"/>
      <c r="R22" s="289"/>
    </row>
    <row r="23" spans="1:18" ht="15.75" customHeight="1">
      <c r="A23" s="647"/>
      <c r="B23" s="397">
        <v>0</v>
      </c>
      <c r="C23" s="476"/>
      <c r="D23" s="306"/>
      <c r="E23" s="410"/>
      <c r="F23" s="398" t="s">
        <v>128</v>
      </c>
      <c r="G23" s="474"/>
      <c r="H23" s="291">
        <f t="shared" si="4"/>
        <v>0</v>
      </c>
      <c r="I23" s="477"/>
      <c r="J23" s="292"/>
      <c r="K23" s="293"/>
      <c r="L23" s="294"/>
      <c r="M23" s="295"/>
      <c r="N23" s="295"/>
      <c r="O23" s="289"/>
      <c r="P23" s="480"/>
      <c r="Q23" s="289"/>
      <c r="R23" s="289"/>
    </row>
    <row r="24" spans="1:18" ht="17.399999999999999" customHeight="1">
      <c r="A24" s="648"/>
      <c r="B24" s="397">
        <v>0</v>
      </c>
      <c r="C24" s="6" t="s">
        <v>458</v>
      </c>
      <c r="D24" s="628" t="s">
        <v>455</v>
      </c>
      <c r="E24" s="628"/>
      <c r="F24" s="298"/>
      <c r="G24" s="307"/>
      <c r="H24" s="300"/>
      <c r="I24" s="301"/>
      <c r="J24" s="302">
        <f>AVERAGE(J17:J23)</f>
        <v>11</v>
      </c>
      <c r="K24" s="302">
        <f>AVERAGE(K17:K23)</f>
        <v>1756.5328273244784</v>
      </c>
      <c r="L24" s="303">
        <f>AVERAGE(L17:L23)</f>
        <v>165.5330381615012</v>
      </c>
      <c r="M24" s="295"/>
      <c r="N24" s="295"/>
      <c r="O24" s="289"/>
      <c r="P24" s="289"/>
      <c r="Q24" s="289"/>
      <c r="R24" s="289"/>
    </row>
    <row r="25" spans="1:18">
      <c r="A25" s="635" t="s">
        <v>459</v>
      </c>
      <c r="B25" s="397" t="s">
        <v>126</v>
      </c>
      <c r="C25" s="308"/>
      <c r="D25" s="310" t="s">
        <v>104</v>
      </c>
      <c r="E25" s="309"/>
      <c r="F25" s="398">
        <v>18.53</v>
      </c>
      <c r="G25" s="475">
        <v>1683</v>
      </c>
      <c r="H25" s="291">
        <f t="shared" ref="H25:H37" si="8">F25*G25</f>
        <v>31185.99</v>
      </c>
      <c r="I25" s="477"/>
      <c r="J25" s="292">
        <v>3</v>
      </c>
      <c r="K25" s="293">
        <f t="shared" ref="K25:K28" si="9">G25/P25*60</f>
        <v>2729.1891891891869</v>
      </c>
      <c r="L25" s="294">
        <f t="shared" ref="L25:L28" si="10">K25/J25</f>
        <v>909.729729729729</v>
      </c>
      <c r="M25" s="295">
        <v>0.18055555555555555</v>
      </c>
      <c r="N25" s="295">
        <v>0.20625000000000002</v>
      </c>
      <c r="O25" s="289">
        <v>20</v>
      </c>
      <c r="P25" s="480">
        <f t="shared" ref="P25:P28" si="11">(N25-M25)*24*60</f>
        <v>37.000000000000028</v>
      </c>
      <c r="Q25" s="296">
        <v>0.20625000000000002</v>
      </c>
      <c r="R25" s="296">
        <v>0.24791666666666667</v>
      </c>
    </row>
    <row r="26" spans="1:18">
      <c r="A26" s="635"/>
      <c r="B26" s="397" t="s">
        <v>126</v>
      </c>
      <c r="C26" s="308"/>
      <c r="D26" s="310" t="s">
        <v>460</v>
      </c>
      <c r="E26" s="311"/>
      <c r="F26" s="398">
        <v>15.03</v>
      </c>
      <c r="G26" s="475">
        <v>851</v>
      </c>
      <c r="H26" s="291">
        <f t="shared" si="8"/>
        <v>12790.529999999999</v>
      </c>
      <c r="I26" s="477"/>
      <c r="J26" s="292">
        <v>4</v>
      </c>
      <c r="K26" s="293">
        <f t="shared" si="9"/>
        <v>2687.3684210526294</v>
      </c>
      <c r="L26" s="294">
        <f t="shared" si="10"/>
        <v>671.84210526315735</v>
      </c>
      <c r="M26" s="295">
        <v>0.26527777777777778</v>
      </c>
      <c r="N26" s="295">
        <v>0.27847222222222223</v>
      </c>
      <c r="O26" s="289">
        <v>25</v>
      </c>
      <c r="P26" s="480">
        <f t="shared" si="11"/>
        <v>19.000000000000014</v>
      </c>
      <c r="Q26" s="296"/>
      <c r="R26" s="296"/>
    </row>
    <row r="27" spans="1:18">
      <c r="A27" s="635"/>
      <c r="B27" s="397" t="s">
        <v>126</v>
      </c>
      <c r="C27" s="308"/>
      <c r="D27" s="306" t="s">
        <v>102</v>
      </c>
      <c r="E27" s="311"/>
      <c r="F27" s="398">
        <v>18.18</v>
      </c>
      <c r="G27" s="475">
        <v>3031</v>
      </c>
      <c r="H27" s="291">
        <f t="shared" si="8"/>
        <v>55103.58</v>
      </c>
      <c r="I27" s="477"/>
      <c r="J27" s="292">
        <v>4</v>
      </c>
      <c r="K27" s="293">
        <f t="shared" si="9"/>
        <v>2797.846153846157</v>
      </c>
      <c r="L27" s="294">
        <f t="shared" si="10"/>
        <v>699.46153846153925</v>
      </c>
      <c r="M27" s="295">
        <v>0.29236111111111113</v>
      </c>
      <c r="N27" s="295">
        <v>0.33749999999999997</v>
      </c>
      <c r="O27" s="289">
        <v>20</v>
      </c>
      <c r="P27" s="480">
        <f t="shared" si="11"/>
        <v>64.999999999999929</v>
      </c>
      <c r="Q27" s="296"/>
      <c r="R27" s="296"/>
    </row>
    <row r="28" spans="1:18">
      <c r="A28" s="635"/>
      <c r="B28" s="397" t="s">
        <v>126</v>
      </c>
      <c r="C28" s="476"/>
      <c r="D28" s="306" t="s">
        <v>461</v>
      </c>
      <c r="E28" s="311"/>
      <c r="F28" s="398">
        <v>24.93</v>
      </c>
      <c r="G28" s="475">
        <v>1949</v>
      </c>
      <c r="H28" s="291">
        <f t="shared" si="8"/>
        <v>48588.57</v>
      </c>
      <c r="I28" s="477"/>
      <c r="J28" s="292">
        <v>3</v>
      </c>
      <c r="K28" s="293">
        <f t="shared" si="9"/>
        <v>2998.4615384615372</v>
      </c>
      <c r="L28" s="294">
        <f t="shared" si="10"/>
        <v>999.48717948717911</v>
      </c>
      <c r="M28" s="295">
        <v>0.35138888888888892</v>
      </c>
      <c r="N28" s="295">
        <v>0.37847222222222227</v>
      </c>
      <c r="O28" s="289">
        <v>20</v>
      </c>
      <c r="P28" s="480">
        <f t="shared" si="11"/>
        <v>39.000000000000021</v>
      </c>
      <c r="Q28" s="296"/>
      <c r="R28" s="296"/>
    </row>
    <row r="29" spans="1:18">
      <c r="A29" s="635"/>
      <c r="B29" s="397">
        <v>0</v>
      </c>
      <c r="C29" s="475"/>
      <c r="D29" s="310"/>
      <c r="E29" s="311"/>
      <c r="F29" s="398" t="s">
        <v>128</v>
      </c>
      <c r="G29" s="475"/>
      <c r="H29" s="291">
        <f t="shared" si="8"/>
        <v>0</v>
      </c>
      <c r="I29" s="477"/>
      <c r="J29" s="292"/>
      <c r="K29" s="293"/>
      <c r="L29" s="294"/>
      <c r="M29" s="295"/>
      <c r="N29" s="295"/>
      <c r="O29" s="289"/>
      <c r="P29" s="480"/>
      <c r="Q29" s="296"/>
      <c r="R29" s="296"/>
    </row>
    <row r="30" spans="1:18">
      <c r="A30" s="635"/>
      <c r="B30" s="397">
        <v>0</v>
      </c>
      <c r="C30" s="475"/>
      <c r="D30" s="310"/>
      <c r="E30" s="311"/>
      <c r="F30" s="398" t="s">
        <v>128</v>
      </c>
      <c r="G30" s="475"/>
      <c r="H30" s="291">
        <f t="shared" si="8"/>
        <v>0</v>
      </c>
      <c r="I30" s="477"/>
      <c r="J30" s="292"/>
      <c r="K30" s="293"/>
      <c r="L30" s="294"/>
      <c r="M30" s="295"/>
      <c r="N30" s="295"/>
      <c r="O30" s="289"/>
      <c r="P30" s="480"/>
      <c r="Q30" s="296"/>
      <c r="R30" s="296"/>
    </row>
    <row r="31" spans="1:18" ht="15.75" customHeight="1">
      <c r="A31" s="635"/>
      <c r="B31" s="397">
        <v>0</v>
      </c>
      <c r="C31" s="476"/>
      <c r="D31" s="306"/>
      <c r="E31" s="311"/>
      <c r="F31" s="398" t="s">
        <v>128</v>
      </c>
      <c r="G31" s="475"/>
      <c r="H31" s="291">
        <f t="shared" si="8"/>
        <v>0</v>
      </c>
      <c r="I31" s="477"/>
      <c r="J31" s="292"/>
      <c r="K31" s="293"/>
      <c r="L31" s="294"/>
      <c r="M31" s="295"/>
      <c r="N31" s="295"/>
      <c r="O31" s="289"/>
      <c r="P31" s="480"/>
      <c r="Q31" s="296"/>
      <c r="R31" s="296"/>
    </row>
    <row r="32" spans="1:18">
      <c r="A32" s="635"/>
      <c r="B32" s="397">
        <v>0</v>
      </c>
      <c r="C32" s="476"/>
      <c r="D32" s="310"/>
      <c r="E32" s="410"/>
      <c r="F32" s="398" t="s">
        <v>128</v>
      </c>
      <c r="G32" s="475"/>
      <c r="H32" s="291">
        <f t="shared" si="8"/>
        <v>0</v>
      </c>
      <c r="I32" s="477"/>
      <c r="J32" s="292"/>
      <c r="K32" s="293"/>
      <c r="L32" s="294"/>
      <c r="M32" s="295"/>
      <c r="N32" s="295"/>
      <c r="O32" s="289"/>
      <c r="P32" s="480"/>
      <c r="Q32" s="296"/>
      <c r="R32" s="296"/>
    </row>
    <row r="33" spans="1:18">
      <c r="A33" s="635"/>
      <c r="B33" s="397">
        <v>0</v>
      </c>
      <c r="C33" s="475"/>
      <c r="D33" s="306"/>
      <c r="E33" s="311"/>
      <c r="F33" s="398" t="s">
        <v>128</v>
      </c>
      <c r="G33" s="475"/>
      <c r="H33" s="291">
        <f t="shared" si="8"/>
        <v>0</v>
      </c>
      <c r="I33" s="477"/>
      <c r="J33" s="292"/>
      <c r="K33" s="293"/>
      <c r="L33" s="294"/>
      <c r="M33" s="295"/>
      <c r="N33" s="295"/>
      <c r="O33" s="289"/>
      <c r="P33" s="480"/>
      <c r="Q33" s="296"/>
      <c r="R33" s="296"/>
    </row>
    <row r="34" spans="1:18">
      <c r="A34" s="635"/>
      <c r="B34" s="397">
        <v>0</v>
      </c>
      <c r="C34" s="308"/>
      <c r="D34" s="310"/>
      <c r="E34" s="311"/>
      <c r="F34" s="398" t="s">
        <v>128</v>
      </c>
      <c r="G34" s="312"/>
      <c r="H34" s="291">
        <f t="shared" si="8"/>
        <v>0</v>
      </c>
      <c r="I34" s="477"/>
      <c r="J34" s="292"/>
      <c r="K34" s="293"/>
      <c r="L34" s="294"/>
      <c r="M34" s="295"/>
      <c r="N34" s="295"/>
      <c r="O34" s="289"/>
      <c r="P34" s="480"/>
      <c r="Q34" s="296"/>
      <c r="R34" s="296"/>
    </row>
    <row r="35" spans="1:18">
      <c r="A35" s="635"/>
      <c r="B35" s="397">
        <v>0</v>
      </c>
      <c r="C35" s="308"/>
      <c r="D35" s="310"/>
      <c r="E35" s="311"/>
      <c r="F35" s="398" t="s">
        <v>128</v>
      </c>
      <c r="G35" s="312"/>
      <c r="H35" s="291">
        <f t="shared" si="8"/>
        <v>0</v>
      </c>
      <c r="I35" s="477"/>
      <c r="J35" s="292"/>
      <c r="K35" s="293"/>
      <c r="L35" s="294"/>
      <c r="M35" s="295"/>
      <c r="N35" s="295"/>
      <c r="O35" s="289"/>
      <c r="P35" s="480"/>
      <c r="Q35" s="296"/>
      <c r="R35" s="296"/>
    </row>
    <row r="36" spans="1:18">
      <c r="A36" s="635"/>
      <c r="B36" s="397">
        <v>0</v>
      </c>
      <c r="C36" s="308"/>
      <c r="D36" s="310"/>
      <c r="E36" s="310"/>
      <c r="F36" s="398" t="s">
        <v>128</v>
      </c>
      <c r="G36" s="312"/>
      <c r="H36" s="291">
        <f t="shared" si="8"/>
        <v>0</v>
      </c>
      <c r="I36" s="477"/>
      <c r="J36" s="292"/>
      <c r="K36" s="293"/>
      <c r="L36" s="294"/>
      <c r="M36" s="295"/>
      <c r="N36" s="295"/>
      <c r="O36" s="289"/>
      <c r="P36" s="480"/>
      <c r="Q36" s="296"/>
      <c r="R36" s="296"/>
    </row>
    <row r="37" spans="1:18">
      <c r="A37" s="635"/>
      <c r="B37" s="397">
        <v>0</v>
      </c>
      <c r="C37" s="308"/>
      <c r="D37" s="309"/>
      <c r="E37" s="309"/>
      <c r="F37" s="398" t="s">
        <v>128</v>
      </c>
      <c r="G37" s="312"/>
      <c r="H37" s="291">
        <f t="shared" si="8"/>
        <v>0</v>
      </c>
      <c r="I37" s="477"/>
      <c r="J37" s="292"/>
      <c r="K37" s="293"/>
      <c r="L37" s="294"/>
      <c r="M37" s="295"/>
      <c r="N37" s="295"/>
      <c r="O37" s="289"/>
      <c r="P37" s="480"/>
      <c r="Q37" s="296"/>
      <c r="R37" s="296"/>
    </row>
    <row r="38" spans="1:18" ht="17.399999999999999" customHeight="1">
      <c r="A38" s="636"/>
      <c r="B38" s="397">
        <v>0</v>
      </c>
      <c r="C38" s="6" t="s">
        <v>27</v>
      </c>
      <c r="D38" s="614" t="s">
        <v>103</v>
      </c>
      <c r="E38" s="614"/>
      <c r="F38" s="298"/>
      <c r="G38" s="313"/>
      <c r="H38" s="300"/>
      <c r="I38" s="301"/>
      <c r="J38" s="302">
        <f>AVERAGE(J25:J37)</f>
        <v>3.5</v>
      </c>
      <c r="K38" s="302">
        <f>AVERAGE(K25:K37)</f>
        <v>2803.2163256373774</v>
      </c>
      <c r="L38" s="303">
        <f>AVERAGE(L25:L37)</f>
        <v>820.1301382354012</v>
      </c>
      <c r="M38" s="295"/>
      <c r="N38" s="295"/>
      <c r="O38" s="293"/>
      <c r="P38" s="293"/>
      <c r="Q38" s="294"/>
      <c r="R38" s="294"/>
    </row>
    <row r="39" spans="1:18" ht="16.2" customHeight="1">
      <c r="A39" s="624" t="s">
        <v>462</v>
      </c>
      <c r="B39" s="397">
        <v>0</v>
      </c>
      <c r="C39" s="476"/>
      <c r="D39" s="310"/>
      <c r="E39" s="410"/>
      <c r="F39" s="398" t="s">
        <v>128</v>
      </c>
      <c r="G39" s="475"/>
      <c r="H39" s="291">
        <f t="shared" ref="H39:H47" si="12">F39*G39</f>
        <v>0</v>
      </c>
      <c r="I39" s="477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625"/>
      <c r="B40" s="397">
        <v>0</v>
      </c>
      <c r="C40" s="476"/>
      <c r="D40" s="310"/>
      <c r="E40" s="410"/>
      <c r="F40" s="398" t="s">
        <v>128</v>
      </c>
      <c r="G40" s="475"/>
      <c r="H40" s="291">
        <f t="shared" si="12"/>
        <v>0</v>
      </c>
      <c r="I40" s="477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625"/>
      <c r="B41" s="397">
        <v>0</v>
      </c>
      <c r="C41" s="476"/>
      <c r="D41" s="323"/>
      <c r="E41" s="410"/>
      <c r="F41" s="398" t="s">
        <v>128</v>
      </c>
      <c r="G41" s="475"/>
      <c r="H41" s="291">
        <f t="shared" si="12"/>
        <v>0</v>
      </c>
      <c r="I41" s="477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625"/>
      <c r="B42" s="397">
        <v>0</v>
      </c>
      <c r="C42" s="476"/>
      <c r="D42" s="323"/>
      <c r="E42" s="410"/>
      <c r="F42" s="398" t="s">
        <v>128</v>
      </c>
      <c r="G42" s="475"/>
      <c r="H42" s="291">
        <f t="shared" si="12"/>
        <v>0</v>
      </c>
      <c r="I42" s="477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625"/>
      <c r="B43" s="397">
        <v>0</v>
      </c>
      <c r="C43" s="476"/>
      <c r="D43" s="310"/>
      <c r="E43" s="410"/>
      <c r="F43" s="398" t="s">
        <v>128</v>
      </c>
      <c r="G43" s="475"/>
      <c r="H43" s="291">
        <f t="shared" si="12"/>
        <v>0</v>
      </c>
      <c r="I43" s="477"/>
      <c r="J43" s="292"/>
      <c r="K43" s="293"/>
      <c r="L43" s="294"/>
      <c r="M43" s="295"/>
      <c r="N43" s="295"/>
      <c r="O43" s="289"/>
      <c r="P43" s="480"/>
      <c r="Q43" s="296"/>
      <c r="R43" s="296"/>
    </row>
    <row r="44" spans="1:18">
      <c r="A44" s="625"/>
      <c r="B44" s="397">
        <v>0</v>
      </c>
      <c r="C44" s="476"/>
      <c r="D44" s="400"/>
      <c r="E44" s="315"/>
      <c r="F44" s="398" t="s">
        <v>128</v>
      </c>
      <c r="G44" s="316"/>
      <c r="H44" s="317">
        <f t="shared" si="12"/>
        <v>0</v>
      </c>
      <c r="I44" s="478"/>
      <c r="J44" s="292"/>
      <c r="K44" s="293"/>
      <c r="L44" s="294"/>
      <c r="M44" s="295"/>
      <c r="N44" s="295"/>
      <c r="O44" s="289"/>
      <c r="P44" s="480"/>
      <c r="Q44" s="296"/>
      <c r="R44" s="296"/>
    </row>
    <row r="45" spans="1:18">
      <c r="A45" s="625"/>
      <c r="B45" s="397">
        <v>0</v>
      </c>
      <c r="C45" s="476"/>
      <c r="D45" s="323"/>
      <c r="E45" s="311"/>
      <c r="F45" s="398" t="s">
        <v>128</v>
      </c>
      <c r="G45" s="475"/>
      <c r="H45" s="291">
        <f t="shared" si="12"/>
        <v>0</v>
      </c>
      <c r="I45" s="477"/>
      <c r="J45" s="292"/>
      <c r="K45" s="293"/>
      <c r="L45" s="294"/>
      <c r="M45" s="295"/>
      <c r="N45" s="295"/>
      <c r="O45" s="289"/>
      <c r="P45" s="480"/>
      <c r="Q45" s="296"/>
      <c r="R45" s="296"/>
    </row>
    <row r="46" spans="1:18">
      <c r="A46" s="625"/>
      <c r="B46" s="397">
        <v>0</v>
      </c>
      <c r="C46" s="476"/>
      <c r="D46" s="323"/>
      <c r="E46" s="315"/>
      <c r="F46" s="398" t="s">
        <v>128</v>
      </c>
      <c r="G46" s="316"/>
      <c r="H46" s="317">
        <f t="shared" si="12"/>
        <v>0</v>
      </c>
      <c r="I46" s="478"/>
      <c r="J46" s="292"/>
      <c r="K46" s="293"/>
      <c r="L46" s="294"/>
      <c r="M46" s="295"/>
      <c r="N46" s="295"/>
      <c r="O46" s="289"/>
      <c r="P46" s="480"/>
      <c r="Q46" s="296"/>
      <c r="R46" s="296"/>
    </row>
    <row r="47" spans="1:18">
      <c r="A47" s="625"/>
      <c r="B47" s="397">
        <v>0</v>
      </c>
      <c r="C47" s="476"/>
      <c r="D47" s="309"/>
      <c r="E47" s="311"/>
      <c r="F47" s="398" t="s">
        <v>128</v>
      </c>
      <c r="G47" s="475"/>
      <c r="H47" s="291">
        <f t="shared" si="12"/>
        <v>0</v>
      </c>
      <c r="I47" s="477"/>
      <c r="J47" s="292"/>
      <c r="K47" s="293"/>
      <c r="L47" s="294"/>
      <c r="M47" s="295"/>
      <c r="N47" s="295"/>
      <c r="O47" s="289"/>
      <c r="P47" s="480"/>
      <c r="Q47" s="296"/>
      <c r="R47" s="296"/>
    </row>
    <row r="48" spans="1:18">
      <c r="A48" s="626"/>
      <c r="B48" s="397">
        <v>0</v>
      </c>
      <c r="C48" s="475"/>
      <c r="D48" s="309"/>
      <c r="E48" s="401"/>
      <c r="F48" s="398" t="s">
        <v>128</v>
      </c>
      <c r="G48" s="475"/>
      <c r="H48" s="291"/>
      <c r="I48" s="477"/>
      <c r="J48" s="292"/>
      <c r="K48" s="293"/>
      <c r="L48" s="294"/>
      <c r="M48" s="295"/>
      <c r="N48" s="295"/>
      <c r="O48" s="289"/>
      <c r="P48" s="480"/>
      <c r="Q48" s="296"/>
      <c r="R48" s="296"/>
    </row>
    <row r="49" spans="1:18">
      <c r="A49" s="626"/>
      <c r="B49" s="397">
        <v>0</v>
      </c>
      <c r="C49" s="475"/>
      <c r="D49" s="310"/>
      <c r="E49" s="318"/>
      <c r="F49" s="398" t="s">
        <v>128</v>
      </c>
      <c r="G49" s="289"/>
      <c r="H49" s="317">
        <f>F49*G49</f>
        <v>0</v>
      </c>
      <c r="I49" s="480"/>
      <c r="J49" s="292"/>
      <c r="K49" s="293"/>
      <c r="L49" s="294"/>
      <c r="M49" s="295"/>
      <c r="N49" s="295"/>
      <c r="O49" s="289"/>
      <c r="P49" s="480"/>
      <c r="Q49" s="296"/>
      <c r="R49" s="296"/>
    </row>
    <row r="50" spans="1:18">
      <c r="A50" s="626"/>
      <c r="B50" s="397">
        <v>0</v>
      </c>
      <c r="C50" s="475"/>
      <c r="D50" s="309"/>
      <c r="E50" s="318"/>
      <c r="F50" s="398" t="s">
        <v>128</v>
      </c>
      <c r="G50" s="289"/>
      <c r="H50" s="317">
        <f>F50*G50</f>
        <v>0</v>
      </c>
      <c r="I50" s="480"/>
      <c r="J50" s="292"/>
      <c r="K50" s="293"/>
      <c r="L50" s="294"/>
      <c r="M50" s="295"/>
      <c r="N50" s="295"/>
      <c r="O50" s="289"/>
      <c r="P50" s="480"/>
      <c r="Q50" s="296"/>
      <c r="R50" s="296"/>
    </row>
    <row r="51" spans="1:18" ht="15.75" customHeight="1">
      <c r="A51" s="627"/>
      <c r="B51" s="397">
        <v>0</v>
      </c>
      <c r="C51" s="6" t="s">
        <v>28</v>
      </c>
      <c r="D51" s="628" t="s">
        <v>455</v>
      </c>
      <c r="E51" s="628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629" t="s">
        <v>463</v>
      </c>
      <c r="B52" s="397" t="s">
        <v>126</v>
      </c>
      <c r="C52" s="476"/>
      <c r="D52" s="309" t="s">
        <v>109</v>
      </c>
      <c r="E52" s="402"/>
      <c r="F52" s="398">
        <v>18.18</v>
      </c>
      <c r="G52" s="475">
        <v>985</v>
      </c>
      <c r="H52" s="291">
        <f>F52*G52</f>
        <v>17907.3</v>
      </c>
      <c r="I52" s="477"/>
      <c r="J52" s="292">
        <v>3</v>
      </c>
      <c r="K52" s="293">
        <f>G52/P52*60</f>
        <v>3110.5263157894583</v>
      </c>
      <c r="L52" s="294">
        <f>K52/J52</f>
        <v>1036.8421052631527</v>
      </c>
      <c r="M52" s="295">
        <v>0.30555555555555552</v>
      </c>
      <c r="N52" s="295">
        <v>0.31875000000000003</v>
      </c>
      <c r="O52" s="293">
        <v>20</v>
      </c>
      <c r="P52" s="480">
        <f>(N52-M52)*24*60</f>
        <v>19.000000000000092</v>
      </c>
      <c r="Q52" s="296"/>
      <c r="R52" s="296"/>
    </row>
    <row r="53" spans="1:18" ht="15.6" customHeight="1">
      <c r="A53" s="630"/>
      <c r="B53" s="397" t="s">
        <v>126</v>
      </c>
      <c r="C53" s="476"/>
      <c r="D53" s="309" t="s">
        <v>105</v>
      </c>
      <c r="E53" s="322"/>
      <c r="F53" s="398">
        <v>25.03</v>
      </c>
      <c r="G53" s="297">
        <v>589</v>
      </c>
      <c r="H53" s="291">
        <f t="shared" ref="H53:H116" si="13">F53*G53</f>
        <v>14742.67</v>
      </c>
      <c r="I53" s="477"/>
      <c r="J53" s="292">
        <v>4</v>
      </c>
      <c r="K53" s="293">
        <f t="shared" ref="K53:K59" si="14">G53/P53*60</f>
        <v>3212.7272727272843</v>
      </c>
      <c r="L53" s="294">
        <f t="shared" ref="L53:L59" si="15">K53/J53</f>
        <v>803.18181818182109</v>
      </c>
      <c r="M53" s="295">
        <v>0.33263888888888887</v>
      </c>
      <c r="N53" s="295">
        <v>0.34027777777777773</v>
      </c>
      <c r="O53" s="293">
        <v>20</v>
      </c>
      <c r="P53" s="480">
        <f t="shared" ref="P53:P59" si="16">(N53-M53)*24*60</f>
        <v>10.999999999999961</v>
      </c>
      <c r="Q53" s="296"/>
      <c r="R53" s="296"/>
    </row>
    <row r="54" spans="1:18" ht="15.6" customHeight="1">
      <c r="A54" s="630"/>
      <c r="B54" s="397" t="s">
        <v>126</v>
      </c>
      <c r="C54" s="476"/>
      <c r="D54" s="309" t="s">
        <v>106</v>
      </c>
      <c r="E54" s="410"/>
      <c r="F54" s="398">
        <v>24.82</v>
      </c>
      <c r="G54" s="297">
        <v>833</v>
      </c>
      <c r="H54" s="291">
        <f t="shared" si="13"/>
        <v>20675.060000000001</v>
      </c>
      <c r="I54" s="477"/>
      <c r="J54" s="292">
        <v>4</v>
      </c>
      <c r="K54" s="293">
        <f t="shared" si="14"/>
        <v>3123.7499999999959</v>
      </c>
      <c r="L54" s="294">
        <f t="shared" si="15"/>
        <v>780.93749999999898</v>
      </c>
      <c r="M54" s="295">
        <v>0.35416666666666669</v>
      </c>
      <c r="N54" s="295">
        <v>0.36527777777777781</v>
      </c>
      <c r="O54" s="293">
        <v>20</v>
      </c>
      <c r="P54" s="480">
        <f t="shared" si="16"/>
        <v>16.000000000000021</v>
      </c>
      <c r="Q54" s="296"/>
      <c r="R54" s="296"/>
    </row>
    <row r="55" spans="1:18" ht="15.6" customHeight="1">
      <c r="A55" s="630"/>
      <c r="B55" s="397" t="s">
        <v>126</v>
      </c>
      <c r="C55" s="476"/>
      <c r="D55" s="310" t="s">
        <v>464</v>
      </c>
      <c r="E55" s="311"/>
      <c r="F55" s="398">
        <v>23.72</v>
      </c>
      <c r="G55" s="297">
        <v>559</v>
      </c>
      <c r="H55" s="291">
        <f t="shared" si="13"/>
        <v>13259.48</v>
      </c>
      <c r="I55" s="477"/>
      <c r="J55" s="292">
        <v>4</v>
      </c>
      <c r="K55" s="293">
        <f t="shared" si="14"/>
        <v>2794.9999999999914</v>
      </c>
      <c r="L55" s="294">
        <f t="shared" si="15"/>
        <v>698.74999999999784</v>
      </c>
      <c r="M55" s="295">
        <v>0.37916666666666665</v>
      </c>
      <c r="N55" s="295">
        <v>0.38750000000000001</v>
      </c>
      <c r="O55" s="293">
        <v>20</v>
      </c>
      <c r="P55" s="480">
        <f t="shared" si="16"/>
        <v>12.000000000000037</v>
      </c>
      <c r="Q55" s="296">
        <v>0.38750000000000001</v>
      </c>
      <c r="R55" s="296">
        <v>0.4291666666666667</v>
      </c>
    </row>
    <row r="56" spans="1:18" ht="15.6" customHeight="1">
      <c r="A56" s="630"/>
      <c r="B56" s="397" t="s">
        <v>126</v>
      </c>
      <c r="C56" s="476"/>
      <c r="D56" s="309" t="s">
        <v>107</v>
      </c>
      <c r="E56" s="311"/>
      <c r="F56" s="398">
        <v>30</v>
      </c>
      <c r="G56" s="297">
        <v>1201</v>
      </c>
      <c r="H56" s="291">
        <f t="shared" si="13"/>
        <v>36030</v>
      </c>
      <c r="I56" s="477"/>
      <c r="J56" s="292">
        <v>4</v>
      </c>
      <c r="K56" s="293">
        <f t="shared" si="14"/>
        <v>3133.0434782608809</v>
      </c>
      <c r="L56" s="294">
        <f t="shared" si="15"/>
        <v>783.26086956522022</v>
      </c>
      <c r="M56" s="295">
        <v>0.4465277777777778</v>
      </c>
      <c r="N56" s="295">
        <v>0.46249999999999997</v>
      </c>
      <c r="O56" s="293">
        <v>25</v>
      </c>
      <c r="P56" s="480">
        <f t="shared" si="16"/>
        <v>22.999999999999918</v>
      </c>
      <c r="Q56" s="296"/>
      <c r="R56" s="296"/>
    </row>
    <row r="57" spans="1:18" ht="15.75" customHeight="1">
      <c r="A57" s="630"/>
      <c r="B57" s="397" t="s">
        <v>126</v>
      </c>
      <c r="C57" s="6" t="s">
        <v>31</v>
      </c>
      <c r="D57" s="323" t="s">
        <v>465</v>
      </c>
      <c r="E57" s="311"/>
      <c r="F57" s="398">
        <v>25.2</v>
      </c>
      <c r="G57" s="297">
        <v>586</v>
      </c>
      <c r="H57" s="291">
        <f t="shared" si="13"/>
        <v>14767.199999999999</v>
      </c>
      <c r="I57" s="477"/>
      <c r="J57" s="292">
        <v>3</v>
      </c>
      <c r="K57" s="293">
        <f t="shared" si="14"/>
        <v>2930.0000000000105</v>
      </c>
      <c r="L57" s="294">
        <f t="shared" si="15"/>
        <v>976.66666666667015</v>
      </c>
      <c r="M57" s="295">
        <v>0.47638888888888892</v>
      </c>
      <c r="N57" s="295">
        <v>0.48472222222222222</v>
      </c>
      <c r="O57" s="293">
        <v>20</v>
      </c>
      <c r="P57" s="480">
        <f t="shared" si="16"/>
        <v>11.999999999999957</v>
      </c>
      <c r="Q57" s="296"/>
      <c r="R57" s="296"/>
    </row>
    <row r="58" spans="1:18" ht="15.6" customHeight="1">
      <c r="A58" s="630"/>
      <c r="B58" s="397" t="s">
        <v>126</v>
      </c>
      <c r="C58" s="403"/>
      <c r="D58" s="323" t="s">
        <v>466</v>
      </c>
      <c r="E58" s="311"/>
      <c r="F58" s="398">
        <v>20.72</v>
      </c>
      <c r="G58" s="324">
        <v>1480</v>
      </c>
      <c r="H58" s="291">
        <f t="shared" si="13"/>
        <v>30665.599999999999</v>
      </c>
      <c r="I58" s="477"/>
      <c r="J58" s="292">
        <v>3</v>
      </c>
      <c r="K58" s="293">
        <f t="shared" si="14"/>
        <v>3171.4285714285643</v>
      </c>
      <c r="L58" s="294">
        <f t="shared" si="15"/>
        <v>1057.1428571428548</v>
      </c>
      <c r="M58" s="295">
        <v>0.49861111111111112</v>
      </c>
      <c r="N58" s="295">
        <v>0.5180555555555556</v>
      </c>
      <c r="O58" s="293">
        <v>20</v>
      </c>
      <c r="P58" s="480">
        <f t="shared" si="16"/>
        <v>28.00000000000006</v>
      </c>
      <c r="Q58" s="296"/>
      <c r="R58" s="296"/>
    </row>
    <row r="59" spans="1:18" ht="15.6" customHeight="1">
      <c r="A59" s="630"/>
      <c r="B59" s="397" t="s">
        <v>126</v>
      </c>
      <c r="C59" s="476"/>
      <c r="D59" s="309" t="s">
        <v>467</v>
      </c>
      <c r="E59" s="311"/>
      <c r="F59" s="398">
        <v>17.07</v>
      </c>
      <c r="G59" s="297">
        <v>1781</v>
      </c>
      <c r="H59" s="291">
        <f t="shared" si="13"/>
        <v>30401.670000000002</v>
      </c>
      <c r="I59" s="477"/>
      <c r="J59" s="292">
        <v>3</v>
      </c>
      <c r="K59" s="293">
        <f t="shared" si="14"/>
        <v>3142.9411764705847</v>
      </c>
      <c r="L59" s="294">
        <f t="shared" si="15"/>
        <v>1047.6470588235281</v>
      </c>
      <c r="M59" s="295">
        <v>0.53194444444444444</v>
      </c>
      <c r="N59" s="295">
        <v>0.55555555555555558</v>
      </c>
      <c r="O59" s="293">
        <v>20</v>
      </c>
      <c r="P59" s="480">
        <f t="shared" si="16"/>
        <v>34.000000000000043</v>
      </c>
      <c r="Q59" s="296"/>
      <c r="R59" s="296"/>
    </row>
    <row r="60" spans="1:18" ht="15.6" customHeight="1">
      <c r="A60" s="630"/>
      <c r="B60" s="397">
        <v>0</v>
      </c>
      <c r="C60" s="476"/>
      <c r="D60" s="309"/>
      <c r="E60" s="325"/>
      <c r="F60" s="398" t="s">
        <v>128</v>
      </c>
      <c r="G60" s="297"/>
      <c r="H60" s="291">
        <f t="shared" si="13"/>
        <v>0</v>
      </c>
      <c r="I60" s="477"/>
      <c r="J60" s="292"/>
      <c r="K60" s="293"/>
      <c r="L60" s="294"/>
      <c r="M60" s="295"/>
      <c r="N60" s="295"/>
      <c r="O60" s="293"/>
      <c r="P60" s="480"/>
      <c r="Q60" s="296"/>
      <c r="R60" s="296"/>
    </row>
    <row r="61" spans="1:18" ht="15.6" customHeight="1">
      <c r="A61" s="630"/>
      <c r="B61" s="397">
        <v>0</v>
      </c>
      <c r="C61" s="476"/>
      <c r="D61" s="310"/>
      <c r="E61" s="311"/>
      <c r="F61" s="398" t="s">
        <v>128</v>
      </c>
      <c r="G61" s="297"/>
      <c r="H61" s="291">
        <f t="shared" si="13"/>
        <v>0</v>
      </c>
      <c r="I61" s="477"/>
      <c r="J61" s="292"/>
      <c r="K61" s="293"/>
      <c r="L61" s="294"/>
      <c r="M61" s="295"/>
      <c r="N61" s="295"/>
      <c r="O61" s="293"/>
      <c r="P61" s="480"/>
      <c r="Q61" s="296"/>
      <c r="R61" s="296"/>
    </row>
    <row r="62" spans="1:18" ht="15.6" customHeight="1">
      <c r="A62" s="630"/>
      <c r="B62" s="397">
        <v>0</v>
      </c>
      <c r="C62" s="476"/>
      <c r="D62" s="309"/>
      <c r="E62" s="404"/>
      <c r="F62" s="398" t="s">
        <v>128</v>
      </c>
      <c r="G62" s="297"/>
      <c r="H62" s="291">
        <f t="shared" si="13"/>
        <v>0</v>
      </c>
      <c r="I62" s="477"/>
      <c r="J62" s="292"/>
      <c r="K62" s="293"/>
      <c r="L62" s="294"/>
      <c r="M62" s="295"/>
      <c r="N62" s="295"/>
      <c r="O62" s="293"/>
      <c r="P62" s="480"/>
      <c r="Q62" s="296"/>
      <c r="R62" s="296"/>
    </row>
    <row r="63" spans="1:18" ht="15.6" customHeight="1">
      <c r="A63" s="630"/>
      <c r="B63" s="397">
        <v>0</v>
      </c>
      <c r="C63" s="403"/>
      <c r="D63" s="405"/>
      <c r="E63" s="325"/>
      <c r="F63" s="398" t="s">
        <v>128</v>
      </c>
      <c r="G63" s="297"/>
      <c r="H63" s="291">
        <f t="shared" si="13"/>
        <v>0</v>
      </c>
      <c r="I63" s="478"/>
      <c r="J63" s="292"/>
      <c r="K63" s="293"/>
      <c r="L63" s="294"/>
      <c r="M63" s="295"/>
      <c r="N63" s="295"/>
      <c r="O63" s="289"/>
      <c r="P63" s="480"/>
      <c r="Q63" s="296"/>
      <c r="R63" s="296"/>
    </row>
    <row r="64" spans="1:18" ht="15.75" customHeight="1">
      <c r="A64" s="631"/>
      <c r="B64" s="397">
        <v>0</v>
      </c>
      <c r="C64" s="6" t="s">
        <v>468</v>
      </c>
      <c r="D64" s="628" t="s">
        <v>455</v>
      </c>
      <c r="E64" s="628"/>
      <c r="F64" s="298"/>
      <c r="G64" s="303"/>
      <c r="H64" s="319"/>
      <c r="I64" s="320"/>
      <c r="J64" s="302">
        <f>AVERAGE(J52:J63)</f>
        <v>3.5</v>
      </c>
      <c r="K64" s="302">
        <f>AVERAGE(K52:K63)</f>
        <v>3077.4271018345962</v>
      </c>
      <c r="L64" s="303">
        <f>AVERAGE(L52:L63)</f>
        <v>898.05360945540542</v>
      </c>
      <c r="M64" s="295"/>
      <c r="N64" s="295"/>
      <c r="O64" s="289"/>
      <c r="P64" s="289"/>
      <c r="Q64" s="289"/>
      <c r="R64" s="289"/>
    </row>
    <row r="65" spans="1:18" ht="15.6" customHeight="1">
      <c r="A65" s="632" t="s">
        <v>469</v>
      </c>
      <c r="B65" s="397" t="s">
        <v>126</v>
      </c>
      <c r="C65" s="476"/>
      <c r="D65" s="310" t="s">
        <v>470</v>
      </c>
      <c r="E65" s="402"/>
      <c r="F65" s="398">
        <v>22.281818181818181</v>
      </c>
      <c r="G65" s="475">
        <v>633</v>
      </c>
      <c r="H65" s="291">
        <f>F65*G65</f>
        <v>14104.390909090909</v>
      </c>
      <c r="I65" s="477"/>
      <c r="J65" s="292">
        <v>4</v>
      </c>
      <c r="K65" s="293">
        <f t="shared" ref="K65:K70" si="17">G65/P65*60</f>
        <v>3165.0000000000009</v>
      </c>
      <c r="L65" s="294">
        <f t="shared" ref="L65:L70" si="18">K65/J65</f>
        <v>791.25000000000023</v>
      </c>
      <c r="M65" s="295">
        <v>0.18055555555555555</v>
      </c>
      <c r="N65" s="295">
        <v>0.18888888888888888</v>
      </c>
      <c r="O65" s="293">
        <v>20</v>
      </c>
      <c r="P65" s="480">
        <f>(N65-M65)*24*60</f>
        <v>11.999999999999996</v>
      </c>
      <c r="Q65" s="296"/>
      <c r="R65" s="296"/>
    </row>
    <row r="66" spans="1:18" ht="15.6" customHeight="1">
      <c r="A66" s="633"/>
      <c r="B66" s="397" t="s">
        <v>126</v>
      </c>
      <c r="C66" s="476"/>
      <c r="D66" s="400" t="s">
        <v>108</v>
      </c>
      <c r="E66" s="322"/>
      <c r="F66" s="398">
        <v>14.03</v>
      </c>
      <c r="G66" s="297">
        <v>2940</v>
      </c>
      <c r="H66" s="291">
        <f t="shared" ref="H66:H74" si="19">F66*G66</f>
        <v>41248.199999999997</v>
      </c>
      <c r="I66" s="477"/>
      <c r="J66" s="292">
        <v>3</v>
      </c>
      <c r="K66" s="293">
        <f t="shared" si="17"/>
        <v>3150.0000000000027</v>
      </c>
      <c r="L66" s="294">
        <f t="shared" si="18"/>
        <v>1050.0000000000009</v>
      </c>
      <c r="M66" s="295">
        <v>0.20277777777777781</v>
      </c>
      <c r="N66" s="295">
        <v>0.24166666666666667</v>
      </c>
      <c r="O66" s="293">
        <v>20</v>
      </c>
      <c r="P66" s="480">
        <f t="shared" ref="P66:P70" si="20">(N66-M66)*24*60</f>
        <v>55.999999999999957</v>
      </c>
      <c r="Q66" s="296"/>
      <c r="R66" s="296"/>
    </row>
    <row r="67" spans="1:18" ht="15.6" customHeight="1">
      <c r="A67" s="633"/>
      <c r="B67" s="397" t="s">
        <v>126</v>
      </c>
      <c r="C67" s="476"/>
      <c r="D67" s="310" t="s">
        <v>110</v>
      </c>
      <c r="E67" s="311"/>
      <c r="F67" s="398">
        <v>18.18</v>
      </c>
      <c r="G67" s="297">
        <v>1560</v>
      </c>
      <c r="H67" s="291">
        <f t="shared" si="19"/>
        <v>28360.799999999999</v>
      </c>
      <c r="I67" s="477"/>
      <c r="J67" s="292">
        <v>3</v>
      </c>
      <c r="K67" s="293">
        <f t="shared" si="17"/>
        <v>3120.0000000000109</v>
      </c>
      <c r="L67" s="294">
        <f t="shared" si="18"/>
        <v>1040.0000000000036</v>
      </c>
      <c r="M67" s="295">
        <v>0.25555555555555559</v>
      </c>
      <c r="N67" s="295">
        <v>0.27638888888888885</v>
      </c>
      <c r="O67" s="293">
        <v>20</v>
      </c>
      <c r="P67" s="480">
        <f t="shared" si="20"/>
        <v>29.999999999999893</v>
      </c>
      <c r="Q67" s="296"/>
      <c r="R67" s="296"/>
    </row>
    <row r="68" spans="1:18" ht="15.6" customHeight="1">
      <c r="A68" s="633"/>
      <c r="B68" s="397" t="s">
        <v>126</v>
      </c>
      <c r="C68" s="476"/>
      <c r="D68" s="323" t="s">
        <v>471</v>
      </c>
      <c r="E68" s="311"/>
      <c r="F68" s="398">
        <v>17.890909090909091</v>
      </c>
      <c r="G68" s="297">
        <v>1623</v>
      </c>
      <c r="H68" s="291">
        <f t="shared" si="19"/>
        <v>29036.945454545454</v>
      </c>
      <c r="I68" s="477"/>
      <c r="J68" s="292">
        <v>3</v>
      </c>
      <c r="K68" s="293">
        <f t="shared" si="17"/>
        <v>3141.2903225806481</v>
      </c>
      <c r="L68" s="294">
        <f t="shared" si="18"/>
        <v>1047.0967741935494</v>
      </c>
      <c r="M68" s="295">
        <v>0.2902777777777778</v>
      </c>
      <c r="N68" s="295">
        <v>0.31180555555555556</v>
      </c>
      <c r="O68" s="293">
        <v>20</v>
      </c>
      <c r="P68" s="480">
        <f t="shared" si="20"/>
        <v>30.999999999999972</v>
      </c>
      <c r="Q68" s="296">
        <v>0.31180555555555556</v>
      </c>
      <c r="R68" s="296">
        <v>0.35347222222222219</v>
      </c>
    </row>
    <row r="69" spans="1:18" ht="15.6" customHeight="1">
      <c r="A69" s="633"/>
      <c r="B69" s="397" t="s">
        <v>126</v>
      </c>
      <c r="C69" s="476"/>
      <c r="D69" s="310" t="s">
        <v>472</v>
      </c>
      <c r="E69" s="311"/>
      <c r="F69" s="398">
        <v>16.66</v>
      </c>
      <c r="G69" s="297">
        <v>2961</v>
      </c>
      <c r="H69" s="291">
        <f t="shared" si="19"/>
        <v>49330.26</v>
      </c>
      <c r="I69" s="477"/>
      <c r="J69" s="292">
        <v>4</v>
      </c>
      <c r="K69" s="293">
        <f t="shared" si="17"/>
        <v>3172.4999999999973</v>
      </c>
      <c r="L69" s="294">
        <f t="shared" si="18"/>
        <v>793.12499999999932</v>
      </c>
      <c r="M69" s="295">
        <v>0.37083333333333335</v>
      </c>
      <c r="N69" s="295">
        <v>0.40972222222222227</v>
      </c>
      <c r="O69" s="293">
        <v>25</v>
      </c>
      <c r="P69" s="480">
        <f t="shared" si="20"/>
        <v>56.000000000000043</v>
      </c>
      <c r="Q69" s="296"/>
      <c r="R69" s="296"/>
    </row>
    <row r="70" spans="1:18" ht="15.75" customHeight="1">
      <c r="A70" s="633"/>
      <c r="B70" s="397" t="s">
        <v>126</v>
      </c>
      <c r="C70" s="6" t="s">
        <v>31</v>
      </c>
      <c r="D70" s="323" t="s">
        <v>111</v>
      </c>
      <c r="E70" s="311"/>
      <c r="F70" s="398">
        <v>14.285714285714283</v>
      </c>
      <c r="G70" s="297">
        <v>4548</v>
      </c>
      <c r="H70" s="291">
        <f t="shared" si="19"/>
        <v>64971.428571428558</v>
      </c>
      <c r="I70" s="477"/>
      <c r="J70" s="292">
        <v>3</v>
      </c>
      <c r="K70" s="293">
        <f t="shared" si="17"/>
        <v>3173.0232558139528</v>
      </c>
      <c r="L70" s="294">
        <f t="shared" si="18"/>
        <v>1057.674418604651</v>
      </c>
      <c r="M70" s="295">
        <v>0.4236111111111111</v>
      </c>
      <c r="N70" s="295">
        <v>0.48333333333333334</v>
      </c>
      <c r="O70" s="293">
        <v>20</v>
      </c>
      <c r="P70" s="480">
        <f t="shared" si="20"/>
        <v>86.000000000000014</v>
      </c>
      <c r="Q70" s="296"/>
      <c r="R70" s="296"/>
    </row>
    <row r="71" spans="1:18" ht="15.6" customHeight="1">
      <c r="A71" s="633"/>
      <c r="B71" s="397">
        <v>0</v>
      </c>
      <c r="C71" s="403"/>
      <c r="D71" s="310"/>
      <c r="E71" s="311"/>
      <c r="F71" s="398" t="s">
        <v>128</v>
      </c>
      <c r="G71" s="324"/>
      <c r="H71" s="291">
        <f t="shared" si="19"/>
        <v>0</v>
      </c>
      <c r="I71" s="477"/>
      <c r="J71" s="292"/>
      <c r="K71" s="293"/>
      <c r="L71" s="294"/>
      <c r="M71" s="295"/>
      <c r="N71" s="295"/>
      <c r="O71" s="293"/>
      <c r="P71" s="480"/>
      <c r="Q71" s="296"/>
      <c r="R71" s="296"/>
    </row>
    <row r="72" spans="1:18" ht="15.6" customHeight="1">
      <c r="A72" s="633"/>
      <c r="B72" s="397">
        <v>0</v>
      </c>
      <c r="C72" s="476"/>
      <c r="D72" s="323"/>
      <c r="E72" s="311"/>
      <c r="F72" s="398" t="s">
        <v>128</v>
      </c>
      <c r="G72" s="297"/>
      <c r="H72" s="291">
        <f t="shared" si="19"/>
        <v>0</v>
      </c>
      <c r="I72" s="477"/>
      <c r="J72" s="292"/>
      <c r="K72" s="293"/>
      <c r="L72" s="294"/>
      <c r="M72" s="295"/>
      <c r="N72" s="295"/>
      <c r="O72" s="293"/>
      <c r="P72" s="480"/>
      <c r="Q72" s="296"/>
      <c r="R72" s="296"/>
    </row>
    <row r="73" spans="1:18" ht="15.6" customHeight="1">
      <c r="A73" s="633"/>
      <c r="B73" s="397">
        <v>0</v>
      </c>
      <c r="C73" s="476"/>
      <c r="D73" s="323"/>
      <c r="E73" s="311"/>
      <c r="F73" s="398" t="s">
        <v>128</v>
      </c>
      <c r="G73" s="297"/>
      <c r="H73" s="291">
        <f t="shared" si="19"/>
        <v>0</v>
      </c>
      <c r="I73" s="477"/>
      <c r="J73" s="292"/>
      <c r="K73" s="293"/>
      <c r="L73" s="294"/>
      <c r="M73" s="295"/>
      <c r="N73" s="295"/>
      <c r="O73" s="293"/>
      <c r="P73" s="480"/>
      <c r="Q73" s="296"/>
      <c r="R73" s="296"/>
    </row>
    <row r="74" spans="1:18" ht="15.6" customHeight="1">
      <c r="A74" s="633"/>
      <c r="B74" s="397">
        <v>0</v>
      </c>
      <c r="C74" s="476"/>
      <c r="D74" s="323"/>
      <c r="E74" s="311"/>
      <c r="F74" s="398" t="s">
        <v>128</v>
      </c>
      <c r="G74" s="297"/>
      <c r="H74" s="291">
        <f t="shared" si="19"/>
        <v>0</v>
      </c>
      <c r="I74" s="477"/>
      <c r="J74" s="292"/>
      <c r="K74" s="293"/>
      <c r="L74" s="294"/>
      <c r="M74" s="295"/>
      <c r="N74" s="295"/>
      <c r="O74" s="293"/>
      <c r="P74" s="480"/>
      <c r="Q74" s="296"/>
      <c r="R74" s="296"/>
    </row>
    <row r="75" spans="1:18" ht="15.75" customHeight="1">
      <c r="A75" s="634"/>
      <c r="B75" s="397">
        <v>0</v>
      </c>
      <c r="C75" s="6" t="s">
        <v>473</v>
      </c>
      <c r="D75" s="628" t="s">
        <v>455</v>
      </c>
      <c r="E75" s="628"/>
      <c r="F75" s="298"/>
      <c r="G75" s="303"/>
      <c r="H75" s="319"/>
      <c r="I75" s="320"/>
      <c r="J75" s="302">
        <f>AVERAGE(J65:J74)</f>
        <v>3.3333333333333335</v>
      </c>
      <c r="K75" s="302">
        <f>AVERAGE(K65:K74)</f>
        <v>3153.6355963991023</v>
      </c>
      <c r="L75" s="303">
        <f>AVERAGE(L65:L74)</f>
        <v>963.1910321330339</v>
      </c>
      <c r="M75" s="295"/>
      <c r="N75" s="295"/>
      <c r="O75" s="289"/>
      <c r="P75" s="289"/>
      <c r="Q75" s="289"/>
      <c r="R75" s="289"/>
    </row>
    <row r="76" spans="1:18" ht="16.2" customHeight="1">
      <c r="A76" s="618" t="s">
        <v>112</v>
      </c>
      <c r="B76" s="397">
        <v>0</v>
      </c>
      <c r="C76" s="290"/>
      <c r="D76" s="619"/>
      <c r="E76" s="620"/>
      <c r="F76" s="398" t="s">
        <v>128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480"/>
      <c r="Q76" s="296"/>
      <c r="R76" s="296"/>
    </row>
    <row r="77" spans="1:18">
      <c r="A77" s="618"/>
      <c r="B77" s="397">
        <v>0</v>
      </c>
      <c r="C77" s="290"/>
      <c r="D77" s="619"/>
      <c r="E77" s="620"/>
      <c r="F77" s="398" t="s">
        <v>128</v>
      </c>
      <c r="G77" s="475"/>
      <c r="H77" s="291">
        <f t="shared" si="13"/>
        <v>0</v>
      </c>
      <c r="I77" s="477"/>
      <c r="J77" s="292"/>
      <c r="K77" s="293"/>
      <c r="L77" s="294"/>
      <c r="M77" s="295"/>
      <c r="N77" s="295"/>
      <c r="O77" s="289"/>
      <c r="P77" s="480"/>
      <c r="Q77" s="289"/>
      <c r="R77" s="289"/>
    </row>
    <row r="78" spans="1:18">
      <c r="A78" s="618"/>
      <c r="B78" s="397">
        <v>0</v>
      </c>
      <c r="C78" s="290"/>
      <c r="D78" s="481"/>
      <c r="E78" s="481"/>
      <c r="F78" s="398" t="s">
        <v>128</v>
      </c>
      <c r="G78" s="312"/>
      <c r="H78" s="291">
        <f t="shared" si="13"/>
        <v>0</v>
      </c>
      <c r="I78" s="477"/>
      <c r="J78" s="292"/>
      <c r="K78" s="293"/>
      <c r="L78" s="294"/>
      <c r="M78" s="295"/>
      <c r="N78" s="295"/>
      <c r="O78" s="289"/>
      <c r="P78" s="480"/>
      <c r="Q78" s="289"/>
      <c r="R78" s="289"/>
    </row>
    <row r="79" spans="1:18">
      <c r="A79" s="618"/>
      <c r="B79" s="397">
        <v>0</v>
      </c>
      <c r="C79" s="290"/>
      <c r="D79" s="481"/>
      <c r="E79" s="481"/>
      <c r="F79" s="398" t="s">
        <v>128</v>
      </c>
      <c r="G79" s="312"/>
      <c r="H79" s="291">
        <f t="shared" si="13"/>
        <v>0</v>
      </c>
      <c r="I79" s="477"/>
      <c r="J79" s="292"/>
      <c r="K79" s="293"/>
      <c r="L79" s="294"/>
      <c r="M79" s="295"/>
      <c r="N79" s="295"/>
      <c r="O79" s="289"/>
      <c r="P79" s="480"/>
      <c r="Q79" s="289"/>
      <c r="R79" s="289"/>
    </row>
    <row r="80" spans="1:18">
      <c r="A80" s="618"/>
      <c r="B80" s="397">
        <v>0</v>
      </c>
      <c r="C80" s="290"/>
      <c r="D80" s="481"/>
      <c r="E80" s="481"/>
      <c r="F80" s="398" t="s">
        <v>128</v>
      </c>
      <c r="G80" s="312"/>
      <c r="H80" s="291">
        <f t="shared" si="13"/>
        <v>0</v>
      </c>
      <c r="I80" s="477"/>
      <c r="J80" s="292"/>
      <c r="K80" s="293"/>
      <c r="L80" s="294"/>
      <c r="M80" s="295"/>
      <c r="N80" s="295"/>
      <c r="O80" s="289"/>
      <c r="P80" s="480"/>
      <c r="Q80" s="289"/>
      <c r="R80" s="289"/>
    </row>
    <row r="81" spans="1:18" ht="15.75" customHeight="1">
      <c r="A81" s="618"/>
      <c r="B81" s="397">
        <v>0</v>
      </c>
      <c r="C81" s="6" t="s">
        <v>31</v>
      </c>
      <c r="D81" s="614" t="s">
        <v>455</v>
      </c>
      <c r="E81" s="614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621" t="s">
        <v>474</v>
      </c>
      <c r="B82" s="397" t="s">
        <v>126</v>
      </c>
      <c r="C82" s="308"/>
      <c r="D82" s="309" t="s">
        <v>475</v>
      </c>
      <c r="E82" s="328"/>
      <c r="F82" s="398">
        <v>17.22</v>
      </c>
      <c r="G82" s="312">
        <v>705</v>
      </c>
      <c r="H82" s="329">
        <f t="shared" ref="H82:H90" si="21">F82*G82</f>
        <v>12140.099999999999</v>
      </c>
      <c r="I82" s="477"/>
      <c r="J82" s="292">
        <v>3</v>
      </c>
      <c r="K82" s="293">
        <f t="shared" ref="K82" si="22">G82/P82*60</f>
        <v>2820.00000000001</v>
      </c>
      <c r="L82" s="294">
        <f t="shared" ref="L82" si="23">K82/J82</f>
        <v>940.0000000000033</v>
      </c>
      <c r="M82" s="295">
        <v>0.72222222222222221</v>
      </c>
      <c r="N82" s="295">
        <v>0.73263888888888884</v>
      </c>
      <c r="O82" s="293">
        <v>20</v>
      </c>
      <c r="P82" s="480">
        <f t="shared" ref="P82" si="24">(N82-M82)*24*60</f>
        <v>14.999999999999947</v>
      </c>
      <c r="Q82" s="296"/>
      <c r="R82" s="296"/>
    </row>
    <row r="83" spans="1:18">
      <c r="A83" s="622"/>
      <c r="B83" s="397">
        <v>0</v>
      </c>
      <c r="C83" s="308"/>
      <c r="D83" s="323"/>
      <c r="E83" s="328"/>
      <c r="F83" s="398" t="s">
        <v>128</v>
      </c>
      <c r="G83" s="312"/>
      <c r="H83" s="329">
        <f t="shared" si="21"/>
        <v>0</v>
      </c>
      <c r="I83" s="477"/>
      <c r="J83" s="292"/>
      <c r="K83" s="293"/>
      <c r="L83" s="294"/>
      <c r="M83" s="295"/>
      <c r="N83" s="295"/>
      <c r="O83" s="293"/>
      <c r="P83" s="480"/>
      <c r="Q83" s="296"/>
      <c r="R83" s="296"/>
    </row>
    <row r="84" spans="1:18">
      <c r="A84" s="622"/>
      <c r="B84" s="397">
        <v>0</v>
      </c>
      <c r="C84" s="308"/>
      <c r="D84" s="309"/>
      <c r="E84" s="328"/>
      <c r="F84" s="398" t="s">
        <v>128</v>
      </c>
      <c r="G84" s="312"/>
      <c r="H84" s="329">
        <f t="shared" si="21"/>
        <v>0</v>
      </c>
      <c r="I84" s="477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622"/>
      <c r="B85" s="397">
        <v>0</v>
      </c>
      <c r="C85" s="308"/>
      <c r="D85" s="309"/>
      <c r="E85" s="328"/>
      <c r="F85" s="398" t="s">
        <v>128</v>
      </c>
      <c r="G85" s="312"/>
      <c r="H85" s="330">
        <f t="shared" si="21"/>
        <v>0</v>
      </c>
      <c r="I85" s="477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622"/>
      <c r="B86" s="397">
        <v>0</v>
      </c>
      <c r="C86" s="308"/>
      <c r="D86" s="309"/>
      <c r="E86" s="328"/>
      <c r="F86" s="398" t="s">
        <v>128</v>
      </c>
      <c r="G86" s="475"/>
      <c r="H86" s="330">
        <f t="shared" si="21"/>
        <v>0</v>
      </c>
      <c r="I86" s="477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622"/>
      <c r="B87" s="397"/>
      <c r="C87" s="308"/>
      <c r="D87" s="309"/>
      <c r="E87" s="328"/>
      <c r="F87" s="398" t="s">
        <v>128</v>
      </c>
      <c r="G87" s="475"/>
      <c r="H87" s="330">
        <f t="shared" si="21"/>
        <v>0</v>
      </c>
      <c r="I87" s="477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622"/>
      <c r="B88" s="397">
        <v>0</v>
      </c>
      <c r="C88" s="308"/>
      <c r="D88" s="309"/>
      <c r="E88" s="328"/>
      <c r="F88" s="398" t="s">
        <v>128</v>
      </c>
      <c r="G88" s="475"/>
      <c r="H88" s="330">
        <f t="shared" si="21"/>
        <v>0</v>
      </c>
      <c r="I88" s="477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622"/>
      <c r="B89" s="397">
        <v>0</v>
      </c>
      <c r="C89" s="308"/>
      <c r="D89" s="309"/>
      <c r="E89" s="328"/>
      <c r="F89" s="398" t="s">
        <v>128</v>
      </c>
      <c r="G89" s="475"/>
      <c r="H89" s="330">
        <f t="shared" si="21"/>
        <v>0</v>
      </c>
      <c r="I89" s="477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622"/>
      <c r="B90" s="397">
        <v>0</v>
      </c>
      <c r="C90" s="308"/>
      <c r="D90" s="309"/>
      <c r="E90" s="328"/>
      <c r="F90" s="398" t="s">
        <v>128</v>
      </c>
      <c r="G90" s="475"/>
      <c r="H90" s="330">
        <f t="shared" si="21"/>
        <v>0</v>
      </c>
      <c r="I90" s="477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399999999999999" customHeight="1">
      <c r="A91" s="622"/>
      <c r="B91" s="397">
        <v>0</v>
      </c>
      <c r="C91" s="6" t="s">
        <v>459</v>
      </c>
      <c r="D91" s="623" t="s">
        <v>455</v>
      </c>
      <c r="E91" s="623"/>
      <c r="F91" s="298"/>
      <c r="G91" s="332"/>
      <c r="H91" s="333"/>
      <c r="I91" s="301"/>
      <c r="J91" s="302">
        <f>AVERAGE(J82:J90)</f>
        <v>3</v>
      </c>
      <c r="K91" s="302">
        <f>AVERAGE(K82:K90)</f>
        <v>2820.00000000001</v>
      </c>
      <c r="L91" s="303">
        <f>AVERAGE(L82:L90)</f>
        <v>940.0000000000033</v>
      </c>
      <c r="M91" s="295"/>
      <c r="N91" s="295"/>
      <c r="O91" s="293"/>
      <c r="P91" s="293"/>
      <c r="Q91" s="294"/>
      <c r="R91" s="294"/>
    </row>
    <row r="92" spans="1:18" ht="16.2" customHeight="1">
      <c r="A92" s="608" t="s">
        <v>476</v>
      </c>
      <c r="B92" s="397" t="s">
        <v>126</v>
      </c>
      <c r="C92" s="290"/>
      <c r="D92" s="334" t="s">
        <v>477</v>
      </c>
      <c r="E92" s="328"/>
      <c r="F92" s="398">
        <v>24.54</v>
      </c>
      <c r="G92" s="475">
        <v>1445</v>
      </c>
      <c r="H92" s="291">
        <f t="shared" ref="H92:H99" si="25">F92*G92</f>
        <v>35460.299999999996</v>
      </c>
      <c r="I92" s="477"/>
      <c r="J92" s="292">
        <v>3</v>
      </c>
      <c r="K92" s="293">
        <f>G92/P92*60</f>
        <v>2477.1428571428546</v>
      </c>
      <c r="L92" s="294">
        <f t="shared" ref="L92:L94" si="26">K92/J92</f>
        <v>825.71428571428487</v>
      </c>
      <c r="M92" s="295">
        <v>0.72222222222222221</v>
      </c>
      <c r="N92" s="295">
        <v>0.74652777777777779</v>
      </c>
      <c r="O92" s="289">
        <v>20</v>
      </c>
      <c r="P92" s="480">
        <f>(N92-M92)*24*60</f>
        <v>35.000000000000036</v>
      </c>
      <c r="Q92" s="296"/>
      <c r="R92" s="296"/>
    </row>
    <row r="93" spans="1:18">
      <c r="A93" s="609"/>
      <c r="B93" s="397" t="s">
        <v>126</v>
      </c>
      <c r="C93" s="290"/>
      <c r="D93" s="309" t="s">
        <v>478</v>
      </c>
      <c r="E93" s="325"/>
      <c r="F93" s="398">
        <v>23.27</v>
      </c>
      <c r="G93" s="297">
        <v>812</v>
      </c>
      <c r="H93" s="291">
        <f t="shared" si="25"/>
        <v>18895.239999999998</v>
      </c>
      <c r="I93" s="477"/>
      <c r="J93" s="292">
        <v>4</v>
      </c>
      <c r="K93" s="293">
        <f t="shared" ref="K93:K94" si="27">G93/P93*60</f>
        <v>2435.9999999999891</v>
      </c>
      <c r="L93" s="294">
        <f t="shared" si="26"/>
        <v>608.99999999999727</v>
      </c>
      <c r="M93" s="295">
        <v>0.76388888888888884</v>
      </c>
      <c r="N93" s="295">
        <v>0.77777777777777779</v>
      </c>
      <c r="O93" s="289">
        <v>20</v>
      </c>
      <c r="P93" s="480">
        <f>(N93-M93)*24*60</f>
        <v>20.000000000000089</v>
      </c>
      <c r="Q93" s="296"/>
      <c r="R93" s="296"/>
    </row>
    <row r="94" spans="1:18">
      <c r="A94" s="609"/>
      <c r="B94" s="397" t="s">
        <v>126</v>
      </c>
      <c r="C94" s="290"/>
      <c r="D94" s="309" t="s">
        <v>479</v>
      </c>
      <c r="E94" s="325"/>
      <c r="F94" s="398">
        <v>24.33</v>
      </c>
      <c r="G94" s="297">
        <v>2137</v>
      </c>
      <c r="H94" s="291">
        <f t="shared" si="25"/>
        <v>51993.21</v>
      </c>
      <c r="I94" s="477"/>
      <c r="J94" s="292">
        <v>4</v>
      </c>
      <c r="K94" s="293">
        <f t="shared" si="27"/>
        <v>2331.272727272722</v>
      </c>
      <c r="L94" s="294">
        <f t="shared" si="26"/>
        <v>582.81818181818051</v>
      </c>
      <c r="M94" s="295">
        <v>0.79166666666666663</v>
      </c>
      <c r="N94" s="295">
        <v>0.82986111111111116</v>
      </c>
      <c r="O94" s="289">
        <v>20</v>
      </c>
      <c r="P94" s="480">
        <f>(N94-M94)*24*60</f>
        <v>55.000000000000128</v>
      </c>
      <c r="Q94" s="296"/>
      <c r="R94" s="296"/>
    </row>
    <row r="95" spans="1:18">
      <c r="A95" s="610"/>
      <c r="B95" s="397">
        <v>0</v>
      </c>
      <c r="C95" s="290"/>
      <c r="D95" s="309"/>
      <c r="E95" s="325"/>
      <c r="F95" s="398" t="s">
        <v>128</v>
      </c>
      <c r="G95" s="297"/>
      <c r="H95" s="291">
        <f t="shared" si="25"/>
        <v>0</v>
      </c>
      <c r="I95" s="477"/>
      <c r="J95" s="292"/>
      <c r="K95" s="293"/>
      <c r="L95" s="294"/>
      <c r="M95" s="295"/>
      <c r="N95" s="295"/>
      <c r="O95" s="289"/>
      <c r="P95" s="480"/>
      <c r="Q95" s="296"/>
      <c r="R95" s="296"/>
    </row>
    <row r="96" spans="1:18">
      <c r="A96" s="610"/>
      <c r="B96" s="397">
        <v>0</v>
      </c>
      <c r="C96" s="290"/>
      <c r="D96" s="309"/>
      <c r="E96" s="325"/>
      <c r="F96" s="398" t="s">
        <v>128</v>
      </c>
      <c r="G96" s="297"/>
      <c r="H96" s="291">
        <f t="shared" si="25"/>
        <v>0</v>
      </c>
      <c r="I96" s="477"/>
      <c r="J96" s="292"/>
      <c r="K96" s="293"/>
      <c r="L96" s="294"/>
      <c r="M96" s="295"/>
      <c r="N96" s="295"/>
      <c r="O96" s="289"/>
      <c r="P96" s="480"/>
      <c r="Q96" s="296"/>
      <c r="R96" s="296"/>
    </row>
    <row r="97" spans="1:18">
      <c r="A97" s="610"/>
      <c r="B97" s="397">
        <v>0</v>
      </c>
      <c r="C97" s="290"/>
      <c r="D97" s="309"/>
      <c r="E97" s="325"/>
      <c r="F97" s="398" t="s">
        <v>128</v>
      </c>
      <c r="G97" s="297"/>
      <c r="H97" s="291">
        <f t="shared" si="25"/>
        <v>0</v>
      </c>
      <c r="I97" s="477"/>
      <c r="J97" s="292"/>
      <c r="K97" s="293"/>
      <c r="L97" s="294"/>
      <c r="M97" s="295"/>
      <c r="N97" s="295"/>
      <c r="O97" s="289"/>
      <c r="P97" s="480"/>
      <c r="Q97" s="296"/>
      <c r="R97" s="296"/>
    </row>
    <row r="98" spans="1:18">
      <c r="A98" s="610"/>
      <c r="B98" s="397">
        <v>0</v>
      </c>
      <c r="C98" s="290"/>
      <c r="D98" s="309"/>
      <c r="E98" s="325"/>
      <c r="F98" s="398" t="s">
        <v>128</v>
      </c>
      <c r="G98" s="297"/>
      <c r="H98" s="291">
        <f t="shared" si="25"/>
        <v>0</v>
      </c>
      <c r="I98" s="477"/>
      <c r="J98" s="292"/>
      <c r="K98" s="293"/>
      <c r="L98" s="294"/>
      <c r="M98" s="295"/>
      <c r="N98" s="295"/>
      <c r="O98" s="289"/>
      <c r="P98" s="480"/>
      <c r="Q98" s="296"/>
      <c r="R98" s="296"/>
    </row>
    <row r="99" spans="1:18">
      <c r="A99" s="610"/>
      <c r="B99" s="397">
        <v>0</v>
      </c>
      <c r="C99" s="290"/>
      <c r="D99" s="309"/>
      <c r="E99" s="325"/>
      <c r="F99" s="398" t="s">
        <v>128</v>
      </c>
      <c r="G99" s="297"/>
      <c r="H99" s="291">
        <f t="shared" si="25"/>
        <v>0</v>
      </c>
      <c r="I99" s="477"/>
      <c r="J99" s="292"/>
      <c r="K99" s="293"/>
      <c r="L99" s="294"/>
      <c r="M99" s="295"/>
      <c r="N99" s="295"/>
      <c r="O99" s="289"/>
      <c r="P99" s="480"/>
      <c r="Q99" s="296"/>
      <c r="R99" s="296"/>
    </row>
    <row r="100" spans="1:18" ht="15.75" customHeight="1">
      <c r="A100" s="610"/>
      <c r="B100" s="397">
        <v>0</v>
      </c>
      <c r="C100" s="6" t="s">
        <v>480</v>
      </c>
      <c r="D100" s="611" t="s">
        <v>455</v>
      </c>
      <c r="E100" s="612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2414.8051948051889</v>
      </c>
      <c r="L100" s="303">
        <f>AVERAGE(L92:L99)</f>
        <v>672.51082251082096</v>
      </c>
      <c r="M100" s="295"/>
      <c r="N100" s="295"/>
      <c r="O100" s="293"/>
      <c r="P100" s="293"/>
      <c r="Q100" s="294"/>
      <c r="R100" s="294"/>
    </row>
    <row r="101" spans="1:18" ht="16.2" customHeight="1">
      <c r="A101" s="613" t="s">
        <v>481</v>
      </c>
      <c r="B101" s="397" t="s">
        <v>126</v>
      </c>
      <c r="C101" s="6"/>
      <c r="D101" s="325" t="s">
        <v>117</v>
      </c>
      <c r="E101" s="336"/>
      <c r="F101" s="398">
        <v>25.03</v>
      </c>
      <c r="G101" s="475">
        <v>946</v>
      </c>
      <c r="H101" s="291">
        <f t="shared" ref="H101:H110" si="28">F101*G101</f>
        <v>23678.38</v>
      </c>
      <c r="I101" s="477"/>
      <c r="J101" s="292">
        <v>4</v>
      </c>
      <c r="K101" s="293">
        <f>G101/P101*60</f>
        <v>2837.9999999999873</v>
      </c>
      <c r="L101" s="294">
        <f t="shared" ref="L101:L105" si="29">K101/J101</f>
        <v>709.49999999999682</v>
      </c>
      <c r="M101" s="295">
        <v>0.72222222222222221</v>
      </c>
      <c r="N101" s="295">
        <v>0.73611111111111116</v>
      </c>
      <c r="O101" s="289">
        <v>20</v>
      </c>
      <c r="P101" s="293">
        <f t="shared" ref="P101:P103" si="30">(N101-M101)*24*60</f>
        <v>20.000000000000089</v>
      </c>
      <c r="Q101" s="294"/>
      <c r="R101" s="296"/>
    </row>
    <row r="102" spans="1:18" ht="15.6" customHeight="1">
      <c r="A102" s="613"/>
      <c r="B102" s="397" t="s">
        <v>126</v>
      </c>
      <c r="C102" s="6"/>
      <c r="D102" s="323" t="s">
        <v>119</v>
      </c>
      <c r="E102" s="336"/>
      <c r="F102" s="398">
        <v>28.57</v>
      </c>
      <c r="G102" s="475">
        <v>3241</v>
      </c>
      <c r="H102" s="291">
        <f t="shared" si="28"/>
        <v>92595.37</v>
      </c>
      <c r="I102" s="477"/>
      <c r="J102" s="292">
        <v>3</v>
      </c>
      <c r="K102" s="293">
        <f t="shared" ref="K102:K105" si="31">G102/P102*60</f>
        <v>3535.6363636363553</v>
      </c>
      <c r="L102" s="294">
        <f t="shared" si="29"/>
        <v>1178.5454545454518</v>
      </c>
      <c r="M102" s="295">
        <v>0.75</v>
      </c>
      <c r="N102" s="295">
        <v>0.78819444444444453</v>
      </c>
      <c r="O102" s="289">
        <v>20</v>
      </c>
      <c r="P102" s="293">
        <f t="shared" si="30"/>
        <v>55.000000000000128</v>
      </c>
      <c r="Q102" s="296">
        <v>0.78819444444444453</v>
      </c>
      <c r="R102" s="296">
        <v>0.82986111111111116</v>
      </c>
    </row>
    <row r="103" spans="1:18">
      <c r="A103" s="613"/>
      <c r="B103" s="397" t="s">
        <v>126</v>
      </c>
      <c r="C103" s="6"/>
      <c r="D103" s="309" t="s">
        <v>118</v>
      </c>
      <c r="E103" s="309"/>
      <c r="F103" s="398">
        <v>24.82</v>
      </c>
      <c r="G103" s="475">
        <v>1681</v>
      </c>
      <c r="H103" s="291">
        <f t="shared" si="28"/>
        <v>41722.42</v>
      </c>
      <c r="I103" s="477"/>
      <c r="J103" s="292">
        <v>4</v>
      </c>
      <c r="K103" s="293">
        <f t="shared" si="31"/>
        <v>2881.7142857142962</v>
      </c>
      <c r="L103" s="294">
        <f t="shared" si="29"/>
        <v>720.42857142857406</v>
      </c>
      <c r="M103" s="295">
        <v>0.84375</v>
      </c>
      <c r="N103" s="295">
        <v>0.86805555555555547</v>
      </c>
      <c r="O103" s="289">
        <v>20</v>
      </c>
      <c r="P103" s="293">
        <f t="shared" si="30"/>
        <v>34.999999999999872</v>
      </c>
      <c r="Q103" s="296"/>
      <c r="R103" s="296"/>
    </row>
    <row r="104" spans="1:18">
      <c r="A104" s="613"/>
      <c r="B104" s="397" t="s">
        <v>126</v>
      </c>
      <c r="C104" s="6"/>
      <c r="D104" s="309" t="s">
        <v>482</v>
      </c>
      <c r="E104" s="325"/>
      <c r="F104" s="398">
        <v>30</v>
      </c>
      <c r="G104" s="475">
        <v>1777</v>
      </c>
      <c r="H104" s="291">
        <f t="shared" si="28"/>
        <v>53310</v>
      </c>
      <c r="I104" s="477"/>
      <c r="J104" s="292">
        <v>3</v>
      </c>
      <c r="K104" s="293">
        <f t="shared" si="31"/>
        <v>3046.2857142857256</v>
      </c>
      <c r="L104" s="294">
        <f t="shared" si="29"/>
        <v>1015.4285714285752</v>
      </c>
      <c r="M104" s="295">
        <v>0.88194444444444453</v>
      </c>
      <c r="N104" s="295">
        <v>0.90625</v>
      </c>
      <c r="O104" s="289">
        <v>20</v>
      </c>
      <c r="P104" s="293">
        <f>(N104-M104)*24*60</f>
        <v>34.999999999999872</v>
      </c>
      <c r="Q104" s="296"/>
      <c r="R104" s="296"/>
    </row>
    <row r="105" spans="1:18">
      <c r="A105" s="613"/>
      <c r="B105" s="397" t="s">
        <v>126</v>
      </c>
      <c r="C105" s="6"/>
      <c r="D105" s="309" t="s">
        <v>120</v>
      </c>
      <c r="E105" s="323"/>
      <c r="F105" s="398">
        <v>14.285714285714283</v>
      </c>
      <c r="G105" s="475">
        <v>9166</v>
      </c>
      <c r="H105" s="291">
        <f t="shared" si="28"/>
        <v>130942.85714285712</v>
      </c>
      <c r="I105" s="477"/>
      <c r="J105" s="292">
        <v>3</v>
      </c>
      <c r="K105" s="293">
        <f t="shared" si="31"/>
        <v>3055.3333333333335</v>
      </c>
      <c r="L105" s="294">
        <f t="shared" si="29"/>
        <v>1018.4444444444445</v>
      </c>
      <c r="M105" s="295">
        <v>46208.920138888891</v>
      </c>
      <c r="N105" s="295">
        <v>46209.045138888891</v>
      </c>
      <c r="O105" s="289">
        <v>20</v>
      </c>
      <c r="P105" s="293">
        <f>(N105-M105)*24*60</f>
        <v>180</v>
      </c>
      <c r="Q105" s="294"/>
      <c r="R105" s="296"/>
    </row>
    <row r="106" spans="1:18">
      <c r="A106" s="613"/>
      <c r="B106" s="397">
        <v>0</v>
      </c>
      <c r="C106" s="6"/>
      <c r="D106" s="325"/>
      <c r="E106" s="336"/>
      <c r="F106" s="398" t="s">
        <v>128</v>
      </c>
      <c r="G106" s="297"/>
      <c r="H106" s="291">
        <f t="shared" si="28"/>
        <v>0</v>
      </c>
      <c r="I106" s="477"/>
      <c r="J106" s="292"/>
      <c r="K106" s="293"/>
      <c r="L106" s="294"/>
      <c r="M106" s="295"/>
      <c r="N106" s="295"/>
      <c r="O106" s="293"/>
      <c r="P106" s="293"/>
      <c r="Q106" s="294"/>
      <c r="R106" s="296"/>
    </row>
    <row r="107" spans="1:18">
      <c r="A107" s="613"/>
      <c r="B107" s="397">
        <v>0</v>
      </c>
      <c r="C107" s="6"/>
      <c r="D107" s="309"/>
      <c r="E107" s="323"/>
      <c r="F107" s="398" t="s">
        <v>128</v>
      </c>
      <c r="G107" s="475"/>
      <c r="H107" s="291">
        <f t="shared" si="28"/>
        <v>0</v>
      </c>
      <c r="I107" s="477"/>
      <c r="J107" s="292"/>
      <c r="K107" s="293"/>
      <c r="L107" s="294"/>
      <c r="M107" s="295"/>
      <c r="N107" s="295"/>
      <c r="O107" s="293"/>
      <c r="P107" s="293"/>
      <c r="Q107" s="294"/>
      <c r="R107" s="296"/>
    </row>
    <row r="108" spans="1:18">
      <c r="A108" s="613"/>
      <c r="B108" s="397">
        <v>0</v>
      </c>
      <c r="C108" s="6"/>
      <c r="D108" s="309"/>
      <c r="E108" s="323"/>
      <c r="F108" s="398" t="s">
        <v>128</v>
      </c>
      <c r="G108" s="475"/>
      <c r="H108" s="291">
        <f t="shared" si="28"/>
        <v>0</v>
      </c>
      <c r="I108" s="477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613"/>
      <c r="B109" s="397">
        <v>0</v>
      </c>
      <c r="C109" s="290"/>
      <c r="D109" s="323"/>
      <c r="E109" s="323"/>
      <c r="F109" s="398" t="s">
        <v>128</v>
      </c>
      <c r="G109" s="475"/>
      <c r="H109" s="291">
        <f t="shared" si="28"/>
        <v>0</v>
      </c>
      <c r="I109" s="477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613"/>
      <c r="B110" s="397">
        <v>0</v>
      </c>
      <c r="C110" s="290"/>
      <c r="D110" s="309"/>
      <c r="E110" s="323"/>
      <c r="F110" s="398" t="s">
        <v>128</v>
      </c>
      <c r="G110" s="475"/>
      <c r="H110" s="291">
        <f t="shared" si="28"/>
        <v>0</v>
      </c>
      <c r="I110" s="477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613"/>
      <c r="B111" s="397">
        <v>0</v>
      </c>
      <c r="C111" s="6" t="s">
        <v>468</v>
      </c>
      <c r="D111" s="614" t="s">
        <v>455</v>
      </c>
      <c r="E111" s="615"/>
      <c r="F111" s="337"/>
      <c r="G111" s="338"/>
      <c r="H111" s="300"/>
      <c r="I111" s="301"/>
      <c r="J111" s="302">
        <f>AVERAGE(J101:J110)</f>
        <v>3.4</v>
      </c>
      <c r="K111" s="302">
        <f>AVERAGE(K101:K110)</f>
        <v>3071.3939393939395</v>
      </c>
      <c r="L111" s="303">
        <f>AVERAGE(L101:L110)</f>
        <v>928.46940836940848</v>
      </c>
      <c r="M111" s="295"/>
      <c r="N111" s="295"/>
      <c r="O111" s="293"/>
      <c r="P111" s="293"/>
      <c r="Q111" s="294"/>
      <c r="R111" s="289"/>
    </row>
    <row r="112" spans="1:18" ht="16.2" customHeight="1">
      <c r="A112" s="616" t="s">
        <v>483</v>
      </c>
      <c r="B112" s="397" t="s">
        <v>126</v>
      </c>
      <c r="C112" s="6"/>
      <c r="D112" s="323" t="s">
        <v>114</v>
      </c>
      <c r="E112" s="339"/>
      <c r="F112" s="398">
        <v>16.7</v>
      </c>
      <c r="G112" s="475">
        <v>1277</v>
      </c>
      <c r="H112" s="329">
        <f t="shared" si="13"/>
        <v>21325.899999999998</v>
      </c>
      <c r="I112" s="477"/>
      <c r="J112" s="292">
        <v>3</v>
      </c>
      <c r="K112" s="293">
        <f t="shared" ref="K112:K118" si="32">G112/P112*60</f>
        <v>3064.7999999999915</v>
      </c>
      <c r="L112" s="294">
        <f t="shared" ref="L112:L118" si="33">K112/J112</f>
        <v>1021.5999999999972</v>
      </c>
      <c r="M112" s="295">
        <v>0.72222222222222221</v>
      </c>
      <c r="N112" s="295">
        <v>0.73958333333333337</v>
      </c>
      <c r="O112" s="289">
        <v>20</v>
      </c>
      <c r="P112" s="480">
        <f t="shared" ref="P112:P118" si="34">(N112-M112)*24*60</f>
        <v>25.000000000000071</v>
      </c>
      <c r="Q112" s="289"/>
      <c r="R112" s="289"/>
    </row>
    <row r="113" spans="1:18">
      <c r="A113" s="616"/>
      <c r="B113" s="397" t="s">
        <v>126</v>
      </c>
      <c r="C113" s="308"/>
      <c r="D113" s="481" t="s">
        <v>121</v>
      </c>
      <c r="E113" s="481"/>
      <c r="F113" s="398">
        <v>18.18</v>
      </c>
      <c r="G113" s="475">
        <v>1070</v>
      </c>
      <c r="H113" s="329">
        <f t="shared" si="13"/>
        <v>19452.599999999999</v>
      </c>
      <c r="I113" s="477"/>
      <c r="J113" s="292">
        <v>4</v>
      </c>
      <c r="K113" s="293">
        <f t="shared" si="32"/>
        <v>2567.9999999999927</v>
      </c>
      <c r="L113" s="294">
        <f t="shared" si="33"/>
        <v>641.99999999999818</v>
      </c>
      <c r="M113" s="295">
        <v>0.75347222222222221</v>
      </c>
      <c r="N113" s="295">
        <v>0.77083333333333337</v>
      </c>
      <c r="O113" s="289">
        <v>20</v>
      </c>
      <c r="P113" s="480">
        <f t="shared" si="34"/>
        <v>25.000000000000071</v>
      </c>
      <c r="Q113" s="296"/>
      <c r="R113" s="296"/>
    </row>
    <row r="114" spans="1:18">
      <c r="A114" s="616"/>
      <c r="B114" s="397" t="s">
        <v>126</v>
      </c>
      <c r="C114" s="308"/>
      <c r="D114" s="481" t="s">
        <v>484</v>
      </c>
      <c r="E114" s="309"/>
      <c r="F114" s="398">
        <v>18.18</v>
      </c>
      <c r="G114" s="475">
        <v>1204</v>
      </c>
      <c r="H114" s="329">
        <f t="shared" si="13"/>
        <v>21888.720000000001</v>
      </c>
      <c r="I114" s="477"/>
      <c r="J114" s="292">
        <v>3</v>
      </c>
      <c r="K114" s="293">
        <f t="shared" si="32"/>
        <v>2889.5999999999917</v>
      </c>
      <c r="L114" s="294">
        <f t="shared" si="33"/>
        <v>963.1999999999972</v>
      </c>
      <c r="M114" s="295">
        <v>0.78472222222222221</v>
      </c>
      <c r="N114" s="295">
        <v>0.80208333333333337</v>
      </c>
      <c r="O114" s="289">
        <v>20</v>
      </c>
      <c r="P114" s="480">
        <f t="shared" si="34"/>
        <v>25.000000000000071</v>
      </c>
      <c r="Q114" s="296"/>
      <c r="R114" s="296"/>
    </row>
    <row r="115" spans="1:18">
      <c r="A115" s="616"/>
      <c r="B115" s="397" t="s">
        <v>126</v>
      </c>
      <c r="C115" s="308"/>
      <c r="D115" s="309" t="s">
        <v>113</v>
      </c>
      <c r="E115" s="325"/>
      <c r="F115" s="398">
        <v>16.66</v>
      </c>
      <c r="G115" s="475">
        <v>6029</v>
      </c>
      <c r="H115" s="329">
        <f t="shared" si="13"/>
        <v>100443.14</v>
      </c>
      <c r="I115" s="477"/>
      <c r="J115" s="292">
        <v>4</v>
      </c>
      <c r="K115" s="293">
        <f t="shared" si="32"/>
        <v>3014.5000000000032</v>
      </c>
      <c r="L115" s="294">
        <f t="shared" si="33"/>
        <v>753.6250000000008</v>
      </c>
      <c r="M115" s="295">
        <v>0.81597222222222221</v>
      </c>
      <c r="N115" s="295">
        <v>0.89930555555555547</v>
      </c>
      <c r="O115" s="289">
        <v>20</v>
      </c>
      <c r="P115" s="480">
        <f t="shared" si="34"/>
        <v>119.99999999999989</v>
      </c>
      <c r="Q115" s="296"/>
      <c r="R115" s="296"/>
    </row>
    <row r="116" spans="1:18">
      <c r="A116" s="616"/>
      <c r="B116" s="397" t="s">
        <v>126</v>
      </c>
      <c r="C116" s="308"/>
      <c r="D116" s="309" t="s">
        <v>115</v>
      </c>
      <c r="E116" s="323"/>
      <c r="F116" s="398">
        <v>22.281818181818181</v>
      </c>
      <c r="G116" s="475">
        <v>1108</v>
      </c>
      <c r="H116" s="329">
        <f t="shared" si="13"/>
        <v>24688.254545454543</v>
      </c>
      <c r="I116" s="477"/>
      <c r="J116" s="292">
        <v>4</v>
      </c>
      <c r="K116" s="293">
        <f t="shared" si="32"/>
        <v>2659.2000000000266</v>
      </c>
      <c r="L116" s="294">
        <f t="shared" si="33"/>
        <v>664.80000000000666</v>
      </c>
      <c r="M116" s="295">
        <v>0.91319444444444453</v>
      </c>
      <c r="N116" s="331">
        <v>0.93055555555555547</v>
      </c>
      <c r="O116" s="289">
        <v>20</v>
      </c>
      <c r="P116" s="480">
        <f t="shared" si="34"/>
        <v>24.999999999999751</v>
      </c>
      <c r="Q116" s="296">
        <v>0.93055555555555547</v>
      </c>
      <c r="R116" s="296">
        <v>0.97222222222222221</v>
      </c>
    </row>
    <row r="117" spans="1:18">
      <c r="A117" s="616"/>
      <c r="B117" s="397" t="s">
        <v>126</v>
      </c>
      <c r="C117" s="308"/>
      <c r="D117" s="309" t="s">
        <v>116</v>
      </c>
      <c r="E117" s="322"/>
      <c r="F117" s="398">
        <v>17.890909090909091</v>
      </c>
      <c r="G117" s="475">
        <v>4035</v>
      </c>
      <c r="H117" s="329">
        <f t="shared" ref="H117:H123" si="35">F117*G117</f>
        <v>72189.818181818177</v>
      </c>
      <c r="I117" s="477"/>
      <c r="J117" s="292">
        <v>3</v>
      </c>
      <c r="K117" s="293">
        <f t="shared" si="32"/>
        <v>3026.2500000440377</v>
      </c>
      <c r="L117" s="294">
        <f t="shared" si="33"/>
        <v>1008.7500000146792</v>
      </c>
      <c r="M117" s="295">
        <v>46208.986111111109</v>
      </c>
      <c r="N117" s="295">
        <v>46209.041666666664</v>
      </c>
      <c r="O117" s="293">
        <v>20</v>
      </c>
      <c r="P117" s="480">
        <f t="shared" si="34"/>
        <v>79.999999998835847</v>
      </c>
      <c r="Q117" s="296"/>
      <c r="R117" s="296"/>
    </row>
    <row r="118" spans="1:18">
      <c r="A118" s="616"/>
      <c r="B118" s="397" t="s">
        <v>126</v>
      </c>
      <c r="C118" s="308"/>
      <c r="D118" s="309" t="s">
        <v>485</v>
      </c>
      <c r="E118" s="322"/>
      <c r="F118" s="398">
        <v>14.03</v>
      </c>
      <c r="G118" s="475">
        <v>6699</v>
      </c>
      <c r="H118" s="329">
        <f t="shared" si="35"/>
        <v>93986.97</v>
      </c>
      <c r="I118" s="477"/>
      <c r="J118" s="292">
        <v>3</v>
      </c>
      <c r="K118" s="293">
        <f t="shared" si="32"/>
        <v>3091.8461538461529</v>
      </c>
      <c r="L118" s="294">
        <f t="shared" si="33"/>
        <v>1030.6153846153843</v>
      </c>
      <c r="M118" s="295">
        <v>5.5555555555555552E-2</v>
      </c>
      <c r="N118" s="295">
        <v>0.14583333333333334</v>
      </c>
      <c r="O118" s="293">
        <v>20</v>
      </c>
      <c r="P118" s="480">
        <f t="shared" si="34"/>
        <v>130.00000000000003</v>
      </c>
      <c r="Q118" s="296"/>
      <c r="R118" s="296"/>
    </row>
    <row r="119" spans="1:18">
      <c r="A119" s="616"/>
      <c r="B119" s="397">
        <v>0</v>
      </c>
      <c r="C119" s="308"/>
      <c r="D119" s="323"/>
      <c r="E119" s="322"/>
      <c r="F119" s="398" t="s">
        <v>128</v>
      </c>
      <c r="G119" s="475"/>
      <c r="H119" s="329">
        <f t="shared" si="35"/>
        <v>0</v>
      </c>
      <c r="I119" s="477"/>
      <c r="J119" s="292"/>
      <c r="K119" s="293"/>
      <c r="L119" s="294"/>
      <c r="M119" s="295"/>
      <c r="N119" s="295"/>
      <c r="O119" s="289"/>
      <c r="P119" s="480"/>
      <c r="Q119" s="296"/>
      <c r="R119" s="296"/>
    </row>
    <row r="120" spans="1:18">
      <c r="A120" s="616"/>
      <c r="B120" s="397">
        <v>0</v>
      </c>
      <c r="C120" s="308"/>
      <c r="D120" s="323"/>
      <c r="E120" s="322"/>
      <c r="F120" s="398" t="s">
        <v>128</v>
      </c>
      <c r="G120" s="475"/>
      <c r="H120" s="329">
        <f t="shared" si="35"/>
        <v>0</v>
      </c>
      <c r="I120" s="477"/>
      <c r="J120" s="292"/>
      <c r="K120" s="293"/>
      <c r="L120" s="294"/>
      <c r="M120" s="295"/>
      <c r="N120" s="295"/>
      <c r="O120" s="289"/>
      <c r="P120" s="480"/>
      <c r="Q120" s="296"/>
      <c r="R120" s="296"/>
    </row>
    <row r="121" spans="1:18">
      <c r="A121" s="616"/>
      <c r="B121" s="397">
        <v>0</v>
      </c>
      <c r="C121" s="308"/>
      <c r="D121" s="323"/>
      <c r="E121" s="322"/>
      <c r="F121" s="398" t="s">
        <v>128</v>
      </c>
      <c r="G121" s="475"/>
      <c r="H121" s="329">
        <f t="shared" si="35"/>
        <v>0</v>
      </c>
      <c r="I121" s="477"/>
      <c r="J121" s="292"/>
      <c r="K121" s="293"/>
      <c r="L121" s="294"/>
      <c r="M121" s="295"/>
      <c r="N121" s="295"/>
      <c r="O121" s="289"/>
      <c r="P121" s="480"/>
      <c r="Q121" s="296"/>
      <c r="R121" s="296"/>
    </row>
    <row r="122" spans="1:18" ht="15.6" customHeight="1">
      <c r="A122" s="616"/>
      <c r="B122" s="397">
        <v>0</v>
      </c>
      <c r="C122" s="308"/>
      <c r="D122" s="323"/>
      <c r="E122" s="322"/>
      <c r="F122" s="398" t="s">
        <v>128</v>
      </c>
      <c r="G122" s="475"/>
      <c r="H122" s="329">
        <f t="shared" si="35"/>
        <v>0</v>
      </c>
      <c r="I122" s="477"/>
      <c r="J122" s="292"/>
      <c r="K122" s="293"/>
      <c r="L122" s="294"/>
      <c r="M122" s="295"/>
      <c r="N122" s="295"/>
      <c r="O122" s="289"/>
      <c r="P122" s="480"/>
      <c r="Q122" s="296"/>
      <c r="R122" s="296"/>
    </row>
    <row r="123" spans="1:18">
      <c r="A123" s="616"/>
      <c r="B123" s="397">
        <v>0</v>
      </c>
      <c r="C123" s="308"/>
      <c r="D123" s="323"/>
      <c r="E123" s="322"/>
      <c r="F123" s="398" t="s">
        <v>128</v>
      </c>
      <c r="G123" s="475"/>
      <c r="H123" s="329">
        <f t="shared" si="35"/>
        <v>0</v>
      </c>
      <c r="I123" s="477"/>
      <c r="J123" s="292"/>
      <c r="K123" s="293"/>
      <c r="L123" s="294"/>
      <c r="M123" s="295"/>
      <c r="N123" s="295"/>
      <c r="O123" s="289"/>
      <c r="P123" s="480"/>
      <c r="Q123" s="296"/>
      <c r="R123" s="296"/>
    </row>
    <row r="124" spans="1:18" ht="17.399999999999999" customHeight="1">
      <c r="A124" s="616"/>
      <c r="B124" s="290">
        <v>0</v>
      </c>
      <c r="C124" s="6" t="s">
        <v>473</v>
      </c>
      <c r="D124" s="617" t="s">
        <v>455</v>
      </c>
      <c r="E124" s="617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2902.0280219843139</v>
      </c>
      <c r="L124" s="303">
        <f>AVERAGE(L112:L123)</f>
        <v>869.22719780429486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J36" sqref="J36"/>
      <selection pane="bottomLeft" activeCell="J36" sqref="J36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488</v>
      </c>
      <c r="B1" s="28"/>
      <c r="C1" s="28"/>
      <c r="D1" s="485" t="s">
        <v>434</v>
      </c>
      <c r="E1" s="29">
        <f>SUM(G5:G173)</f>
        <v>190625.99999999997</v>
      </c>
      <c r="F1" s="486" t="s">
        <v>3</v>
      </c>
      <c r="G1" s="30">
        <f>SUM(H5:H173)</f>
        <v>7567523.7901827563</v>
      </c>
      <c r="H1" s="482" t="s">
        <v>37</v>
      </c>
      <c r="I1" s="31">
        <f>M17+M30+M43+M56+M69+M82+M95+M108+M121+M134+M147+M160+M173</f>
        <v>193.093253968254</v>
      </c>
      <c r="J1" s="732" t="s">
        <v>38</v>
      </c>
      <c r="K1" s="732"/>
      <c r="L1" s="732"/>
      <c r="M1" s="732" t="s">
        <v>39</v>
      </c>
      <c r="N1" s="732"/>
      <c r="O1" s="732"/>
      <c r="P1" s="732" t="s">
        <v>489</v>
      </c>
      <c r="Q1" s="732"/>
      <c r="R1" s="732"/>
      <c r="S1" s="732"/>
      <c r="T1" s="732" t="s">
        <v>437</v>
      </c>
      <c r="U1" s="732"/>
      <c r="V1" s="732"/>
      <c r="W1" s="732"/>
      <c r="X1" s="732"/>
      <c r="Y1" s="732"/>
      <c r="Z1" s="32" t="s">
        <v>490</v>
      </c>
      <c r="AA1" s="32" t="s">
        <v>491</v>
      </c>
      <c r="AB1" s="739" t="s">
        <v>492</v>
      </c>
      <c r="AC1" s="740"/>
      <c r="AD1" s="32" t="s">
        <v>490</v>
      </c>
      <c r="AE1" s="32" t="s">
        <v>493</v>
      </c>
      <c r="AF1" s="732" t="s">
        <v>494</v>
      </c>
      <c r="AG1" s="733"/>
      <c r="AH1" s="733"/>
    </row>
    <row r="2" spans="1:34" ht="26.25" customHeight="1">
      <c r="A2" s="734" t="s">
        <v>555</v>
      </c>
      <c r="B2" s="734"/>
      <c r="C2" s="485"/>
      <c r="D2" s="485" t="s">
        <v>439</v>
      </c>
      <c r="E2" s="34">
        <f>AVERAGE(O17,O30,O43,O56,O69,O82,O95,O108,O121,O134,O147,O160,O173)</f>
        <v>130.49504019658579</v>
      </c>
      <c r="F2" s="35" t="s">
        <v>40</v>
      </c>
      <c r="G2" s="36">
        <f>G1/E1</f>
        <v>39.69827720343897</v>
      </c>
      <c r="H2" s="482" t="s">
        <v>41</v>
      </c>
      <c r="I2" s="482">
        <f>COUNT(I5:I173)</f>
        <v>8</v>
      </c>
      <c r="J2" s="732"/>
      <c r="K2" s="732"/>
      <c r="L2" s="732"/>
      <c r="M2" s="732"/>
      <c r="N2" s="732"/>
      <c r="O2" s="732"/>
      <c r="P2" s="732"/>
      <c r="Q2" s="732"/>
      <c r="R2" s="732"/>
      <c r="S2" s="732"/>
      <c r="T2" s="732"/>
      <c r="U2" s="732"/>
      <c r="V2" s="732"/>
      <c r="W2" s="732"/>
      <c r="X2" s="732"/>
      <c r="Y2" s="732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741"/>
      <c r="AC2" s="742"/>
      <c r="AD2" s="38">
        <f>AD17+AD30+AD43+AD56+AD69+AD82+AD95+AD108+AD121+AD134+AD147+AD160+AD173</f>
        <v>8</v>
      </c>
      <c r="AE2" s="38">
        <f>AE17+AE30+AE43+AE56+AE69+AE82+AE95+AE108+AE121+AE134+AE147+AE160+AE173</f>
        <v>6</v>
      </c>
      <c r="AF2" s="733"/>
      <c r="AG2" s="733"/>
      <c r="AH2" s="733"/>
    </row>
    <row r="3" spans="1:34" ht="30.6" customHeight="1">
      <c r="A3" s="673" t="s">
        <v>441</v>
      </c>
      <c r="B3" s="673" t="s">
        <v>42</v>
      </c>
      <c r="C3" s="730"/>
      <c r="D3" s="673" t="s">
        <v>443</v>
      </c>
      <c r="E3" s="673"/>
      <c r="F3" s="730" t="s">
        <v>43</v>
      </c>
      <c r="G3" s="722" t="s">
        <v>44</v>
      </c>
      <c r="H3" s="730" t="s">
        <v>45</v>
      </c>
      <c r="I3" s="724" t="s">
        <v>446</v>
      </c>
      <c r="J3" s="728" t="s">
        <v>46</v>
      </c>
      <c r="K3" s="727" t="s">
        <v>47</v>
      </c>
      <c r="L3" s="702" t="s">
        <v>35</v>
      </c>
      <c r="M3" s="722" t="s">
        <v>46</v>
      </c>
      <c r="N3" s="727" t="s">
        <v>448</v>
      </c>
      <c r="O3" s="702" t="s">
        <v>439</v>
      </c>
      <c r="P3" s="728" t="s">
        <v>447</v>
      </c>
      <c r="Q3" s="702" t="s">
        <v>439</v>
      </c>
      <c r="R3" s="729" t="s">
        <v>496</v>
      </c>
      <c r="S3" s="703" t="s">
        <v>497</v>
      </c>
      <c r="T3" s="722" t="s">
        <v>48</v>
      </c>
      <c r="U3" s="722"/>
      <c r="V3" s="723" t="s">
        <v>49</v>
      </c>
      <c r="W3" s="724" t="s">
        <v>449</v>
      </c>
      <c r="X3" s="722" t="s">
        <v>450</v>
      </c>
      <c r="Y3" s="722"/>
      <c r="Z3" s="725" t="s">
        <v>498</v>
      </c>
      <c r="AA3" s="726"/>
      <c r="AB3" s="735" t="s">
        <v>499</v>
      </c>
      <c r="AC3" s="736"/>
      <c r="AD3" s="737" t="s">
        <v>500</v>
      </c>
      <c r="AE3" s="738"/>
      <c r="AF3" s="727" t="s">
        <v>448</v>
      </c>
      <c r="AG3" s="729" t="s">
        <v>496</v>
      </c>
      <c r="AH3" s="703" t="s">
        <v>497</v>
      </c>
    </row>
    <row r="4" spans="1:34" ht="30.6" customHeight="1">
      <c r="A4" s="730"/>
      <c r="B4" s="673"/>
      <c r="C4" s="731"/>
      <c r="D4" s="673"/>
      <c r="E4" s="673"/>
      <c r="F4" s="731"/>
      <c r="G4" s="722"/>
      <c r="H4" s="731"/>
      <c r="I4" s="724"/>
      <c r="J4" s="728"/>
      <c r="K4" s="727"/>
      <c r="L4" s="702"/>
      <c r="M4" s="722"/>
      <c r="N4" s="727"/>
      <c r="O4" s="702"/>
      <c r="P4" s="728"/>
      <c r="Q4" s="702"/>
      <c r="R4" s="729"/>
      <c r="S4" s="703"/>
      <c r="T4" s="492" t="s">
        <v>50</v>
      </c>
      <c r="U4" s="492" t="s">
        <v>51</v>
      </c>
      <c r="V4" s="722"/>
      <c r="W4" s="724"/>
      <c r="X4" s="486" t="s">
        <v>451</v>
      </c>
      <c r="Y4" s="486" t="s">
        <v>36</v>
      </c>
      <c r="Z4" s="492" t="s">
        <v>501</v>
      </c>
      <c r="AA4" s="492" t="s">
        <v>502</v>
      </c>
      <c r="AB4" s="736"/>
      <c r="AC4" s="736"/>
      <c r="AD4" s="492" t="s">
        <v>503</v>
      </c>
      <c r="AE4" s="39" t="s">
        <v>504</v>
      </c>
      <c r="AF4" s="727"/>
      <c r="AG4" s="729"/>
      <c r="AH4" s="703"/>
    </row>
    <row r="5" spans="1:34" ht="18.75" customHeight="1">
      <c r="A5" s="719" t="s">
        <v>505</v>
      </c>
      <c r="B5" s="40" t="s">
        <v>122</v>
      </c>
      <c r="C5" s="41"/>
      <c r="D5" s="42" t="s">
        <v>52</v>
      </c>
      <c r="E5" s="43"/>
      <c r="F5" s="343">
        <v>37.83</v>
      </c>
      <c r="G5" s="44">
        <v>5131.96</v>
      </c>
      <c r="H5" s="45">
        <f t="shared" ref="H5:H16" si="0">F5*G5</f>
        <v>194142.04679999998</v>
      </c>
      <c r="I5" s="483"/>
      <c r="J5" s="46">
        <v>20</v>
      </c>
      <c r="K5" s="44">
        <v>2400</v>
      </c>
      <c r="L5" s="47">
        <v>120</v>
      </c>
      <c r="M5" s="484">
        <v>20</v>
      </c>
      <c r="N5" s="44">
        <f t="shared" ref="N5:N11" si="1">G5/W5*60</f>
        <v>2368.5969230769228</v>
      </c>
      <c r="O5" s="47">
        <f t="shared" ref="O5:O11" si="2">N5/M5</f>
        <v>118.42984615384614</v>
      </c>
      <c r="P5" s="48">
        <f t="shared" ref="P5:P11" si="3">M5-J5</f>
        <v>0</v>
      </c>
      <c r="Q5" s="49">
        <f t="shared" ref="Q5:Q11" si="4">O5-L5</f>
        <v>-1.5701538461538576</v>
      </c>
      <c r="R5" s="490">
        <f t="shared" ref="R5:R11" si="5">O5/L5</f>
        <v>0.98691538461538453</v>
      </c>
      <c r="S5" s="688">
        <f>R17</f>
        <v>0.93310832017738199</v>
      </c>
      <c r="T5" s="89">
        <v>0.25</v>
      </c>
      <c r="U5" s="89">
        <v>0.34027777777777779</v>
      </c>
      <c r="V5" s="486">
        <v>5</v>
      </c>
      <c r="W5" s="483">
        <f>(U5-T5)*24*60</f>
        <v>130.00000000000003</v>
      </c>
      <c r="X5" s="486"/>
      <c r="Y5" s="486"/>
      <c r="Z5" s="51"/>
      <c r="AA5" s="51"/>
      <c r="AB5" s="673"/>
      <c r="AC5" s="673"/>
      <c r="AD5" s="52">
        <v>1</v>
      </c>
      <c r="AE5" s="52"/>
      <c r="AF5" s="48">
        <f t="shared" ref="AF5:AF70" si="6">N5-K5</f>
        <v>-31.403076923077151</v>
      </c>
      <c r="AG5" s="490">
        <f t="shared" ref="AG5:AG70" si="7">N5/K5</f>
        <v>0.98691538461538453</v>
      </c>
      <c r="AH5" s="688">
        <f>AG17</f>
        <v>0.9341354207933239</v>
      </c>
    </row>
    <row r="6" spans="1:34" ht="19.2" customHeight="1">
      <c r="A6" s="720"/>
      <c r="B6" s="40" t="s">
        <v>122</v>
      </c>
      <c r="C6" s="41"/>
      <c r="D6" s="42" t="s">
        <v>52</v>
      </c>
      <c r="E6" s="43"/>
      <c r="F6" s="343">
        <v>37.83</v>
      </c>
      <c r="G6" s="44">
        <v>2415.04</v>
      </c>
      <c r="H6" s="45">
        <f t="shared" si="0"/>
        <v>91360.963199999998</v>
      </c>
      <c r="I6" s="483"/>
      <c r="J6" s="46">
        <v>20</v>
      </c>
      <c r="K6" s="44">
        <v>2400</v>
      </c>
      <c r="L6" s="47">
        <v>120</v>
      </c>
      <c r="M6" s="484">
        <v>20</v>
      </c>
      <c r="N6" s="44">
        <f t="shared" si="1"/>
        <v>2337.1354838709667</v>
      </c>
      <c r="O6" s="47">
        <f t="shared" si="2"/>
        <v>116.85677419354833</v>
      </c>
      <c r="P6" s="48">
        <f t="shared" si="3"/>
        <v>0</v>
      </c>
      <c r="Q6" s="49">
        <f t="shared" si="4"/>
        <v>-3.1432258064516674</v>
      </c>
      <c r="R6" s="490">
        <f t="shared" si="5"/>
        <v>0.9738064516129028</v>
      </c>
      <c r="S6" s="688"/>
      <c r="T6" s="89">
        <v>0.35555555555555557</v>
      </c>
      <c r="U6" s="89">
        <v>0.39861111111111114</v>
      </c>
      <c r="V6" s="486">
        <v>22</v>
      </c>
      <c r="W6" s="483">
        <f t="shared" ref="W6:W17" si="8">(U6-T6)*24*60</f>
        <v>62.000000000000021</v>
      </c>
      <c r="X6" s="53">
        <v>0.3444444444444445</v>
      </c>
      <c r="Y6" s="53">
        <v>0.35416666666666669</v>
      </c>
      <c r="Z6" s="54"/>
      <c r="AA6" s="54"/>
      <c r="AB6" s="673"/>
      <c r="AC6" s="673"/>
      <c r="AD6" s="500"/>
      <c r="AE6" s="500"/>
      <c r="AF6" s="48">
        <f t="shared" si="6"/>
        <v>-62.864516129033291</v>
      </c>
      <c r="AG6" s="490">
        <f t="shared" si="7"/>
        <v>0.9738064516129028</v>
      </c>
      <c r="AH6" s="688"/>
    </row>
    <row r="7" spans="1:34" ht="19.2" customHeight="1">
      <c r="A7" s="720"/>
      <c r="B7" s="40" t="s">
        <v>122</v>
      </c>
      <c r="C7" s="41"/>
      <c r="D7" s="42" t="s">
        <v>204</v>
      </c>
      <c r="E7" s="43"/>
      <c r="F7" s="343">
        <v>46.93</v>
      </c>
      <c r="G7" s="44">
        <v>3234</v>
      </c>
      <c r="H7" s="45">
        <f t="shared" si="0"/>
        <v>151771.62</v>
      </c>
      <c r="I7" s="483"/>
      <c r="J7" s="46">
        <v>21</v>
      </c>
      <c r="K7" s="44">
        <v>2400</v>
      </c>
      <c r="L7" s="47">
        <v>114.28571428571429</v>
      </c>
      <c r="M7" s="484">
        <v>21</v>
      </c>
      <c r="N7" s="44">
        <f t="shared" si="1"/>
        <v>2205</v>
      </c>
      <c r="O7" s="47">
        <f t="shared" si="2"/>
        <v>105</v>
      </c>
      <c r="P7" s="48">
        <f t="shared" si="3"/>
        <v>0</v>
      </c>
      <c r="Q7" s="49">
        <f t="shared" si="4"/>
        <v>-9.2857142857142918</v>
      </c>
      <c r="R7" s="490">
        <f t="shared" si="5"/>
        <v>0.91874999999999996</v>
      </c>
      <c r="S7" s="688"/>
      <c r="T7" s="89">
        <v>0.40416666666666667</v>
      </c>
      <c r="U7" s="89">
        <v>0.46527777777777779</v>
      </c>
      <c r="V7" s="486">
        <v>8</v>
      </c>
      <c r="W7" s="483">
        <f t="shared" si="8"/>
        <v>88</v>
      </c>
      <c r="X7" s="53"/>
      <c r="Y7" s="53"/>
      <c r="Z7" s="54"/>
      <c r="AA7" s="54"/>
      <c r="AB7" s="673"/>
      <c r="AC7" s="673"/>
      <c r="AD7" s="500"/>
      <c r="AE7" s="500"/>
      <c r="AF7" s="48">
        <f t="shared" si="6"/>
        <v>-195</v>
      </c>
      <c r="AG7" s="490">
        <f t="shared" si="7"/>
        <v>0.91874999999999996</v>
      </c>
      <c r="AH7" s="688"/>
    </row>
    <row r="8" spans="1:34" ht="19.2" customHeight="1">
      <c r="A8" s="720"/>
      <c r="B8" s="40" t="s">
        <v>122</v>
      </c>
      <c r="C8" s="41"/>
      <c r="D8" s="42" t="s">
        <v>178</v>
      </c>
      <c r="E8" s="43"/>
      <c r="F8" s="343">
        <v>28.86</v>
      </c>
      <c r="G8" s="44">
        <v>1834</v>
      </c>
      <c r="H8" s="45">
        <f t="shared" si="0"/>
        <v>52929.24</v>
      </c>
      <c r="I8" s="483"/>
      <c r="J8" s="46">
        <v>17</v>
      </c>
      <c r="K8" s="44">
        <v>2571</v>
      </c>
      <c r="L8" s="47">
        <v>151.23529411764707</v>
      </c>
      <c r="M8" s="484">
        <v>17</v>
      </c>
      <c r="N8" s="44">
        <f t="shared" si="1"/>
        <v>2392.1739130434785</v>
      </c>
      <c r="O8" s="47">
        <f t="shared" si="2"/>
        <v>140.71611253196932</v>
      </c>
      <c r="P8" s="48">
        <f t="shared" si="3"/>
        <v>0</v>
      </c>
      <c r="Q8" s="49">
        <f t="shared" si="4"/>
        <v>-10.519181585677757</v>
      </c>
      <c r="R8" s="490">
        <f t="shared" si="5"/>
        <v>0.9304449292273349</v>
      </c>
      <c r="S8" s="688"/>
      <c r="T8" s="89">
        <v>0.46944444444444444</v>
      </c>
      <c r="U8" s="89">
        <v>0.50138888888888888</v>
      </c>
      <c r="V8" s="486">
        <v>6</v>
      </c>
      <c r="W8" s="483">
        <f t="shared" si="8"/>
        <v>46</v>
      </c>
      <c r="X8" s="53"/>
      <c r="Y8" s="53"/>
      <c r="Z8" s="54"/>
      <c r="AA8" s="54"/>
      <c r="AB8" s="673"/>
      <c r="AC8" s="673"/>
      <c r="AD8" s="500"/>
      <c r="AE8" s="500"/>
      <c r="AF8" s="48">
        <f t="shared" si="6"/>
        <v>-178.82608695652152</v>
      </c>
      <c r="AG8" s="490">
        <f t="shared" si="7"/>
        <v>0.93044492922733513</v>
      </c>
      <c r="AH8" s="688"/>
    </row>
    <row r="9" spans="1:34" ht="19.2" customHeight="1">
      <c r="A9" s="720"/>
      <c r="B9" s="40" t="s">
        <v>122</v>
      </c>
      <c r="C9" s="55"/>
      <c r="D9" s="42" t="s">
        <v>180</v>
      </c>
      <c r="E9" s="56"/>
      <c r="F9" s="343">
        <v>38.99</v>
      </c>
      <c r="G9" s="57">
        <v>1092</v>
      </c>
      <c r="H9" s="45">
        <f t="shared" si="0"/>
        <v>42577.08</v>
      </c>
      <c r="I9" s="500"/>
      <c r="J9" s="46">
        <v>18</v>
      </c>
      <c r="K9" s="44">
        <v>2571</v>
      </c>
      <c r="L9" s="47">
        <v>142.83333333333334</v>
      </c>
      <c r="M9" s="484">
        <v>18</v>
      </c>
      <c r="N9" s="44">
        <f t="shared" si="1"/>
        <v>2339.999999999995</v>
      </c>
      <c r="O9" s="47">
        <f t="shared" si="2"/>
        <v>129.99999999999972</v>
      </c>
      <c r="P9" s="48">
        <f t="shared" si="3"/>
        <v>0</v>
      </c>
      <c r="Q9" s="49">
        <f t="shared" si="4"/>
        <v>-12.833333333333627</v>
      </c>
      <c r="R9" s="490">
        <f t="shared" si="5"/>
        <v>0.91015169194865608</v>
      </c>
      <c r="S9" s="688"/>
      <c r="T9" s="89">
        <v>0.54236111111111107</v>
      </c>
      <c r="U9" s="89">
        <v>0.56180555555555556</v>
      </c>
      <c r="V9" s="486">
        <v>6</v>
      </c>
      <c r="W9" s="483">
        <f t="shared" si="8"/>
        <v>28.00000000000006</v>
      </c>
      <c r="X9" s="53"/>
      <c r="Y9" s="53"/>
      <c r="Z9" s="54"/>
      <c r="AA9" s="54"/>
      <c r="AB9" s="673"/>
      <c r="AC9" s="673"/>
      <c r="AD9" s="500"/>
      <c r="AE9" s="500"/>
      <c r="AF9" s="48">
        <f t="shared" si="6"/>
        <v>-231.000000000005</v>
      </c>
      <c r="AG9" s="490">
        <f t="shared" si="7"/>
        <v>0.91015169194865619</v>
      </c>
      <c r="AH9" s="688"/>
    </row>
    <row r="10" spans="1:34" ht="19.2" customHeight="1">
      <c r="A10" s="721"/>
      <c r="B10" s="40" t="s">
        <v>122</v>
      </c>
      <c r="C10" s="41"/>
      <c r="D10" s="42" t="s">
        <v>198</v>
      </c>
      <c r="E10" s="43"/>
      <c r="F10" s="343">
        <v>35.89</v>
      </c>
      <c r="G10" s="44">
        <v>3506</v>
      </c>
      <c r="H10" s="45">
        <f t="shared" si="0"/>
        <v>125830.34</v>
      </c>
      <c r="I10" s="483"/>
      <c r="J10" s="46">
        <v>18</v>
      </c>
      <c r="K10" s="44">
        <v>2571</v>
      </c>
      <c r="L10" s="47">
        <v>142.83333333333334</v>
      </c>
      <c r="M10" s="484">
        <v>18</v>
      </c>
      <c r="N10" s="44">
        <f t="shared" si="1"/>
        <v>2337.3333333333335</v>
      </c>
      <c r="O10" s="47">
        <f t="shared" si="2"/>
        <v>129.85185185185185</v>
      </c>
      <c r="P10" s="48">
        <f t="shared" si="3"/>
        <v>0</v>
      </c>
      <c r="Q10" s="49">
        <f t="shared" si="4"/>
        <v>-12.981481481481495</v>
      </c>
      <c r="R10" s="490">
        <f t="shared" si="5"/>
        <v>0.90911448204330347</v>
      </c>
      <c r="S10" s="689"/>
      <c r="T10" s="89">
        <v>0.56666666666666665</v>
      </c>
      <c r="U10" s="89">
        <v>0.62916666666666665</v>
      </c>
      <c r="V10" s="486">
        <v>7</v>
      </c>
      <c r="W10" s="483">
        <f t="shared" si="8"/>
        <v>90</v>
      </c>
      <c r="X10" s="53"/>
      <c r="Y10" s="53"/>
      <c r="Z10" s="54"/>
      <c r="AA10" s="54"/>
      <c r="AB10" s="673"/>
      <c r="AC10" s="673"/>
      <c r="AD10" s="500"/>
      <c r="AE10" s="500"/>
      <c r="AF10" s="48">
        <f t="shared" si="6"/>
        <v>-233.66666666666652</v>
      </c>
      <c r="AG10" s="490">
        <f t="shared" si="7"/>
        <v>0.90911448204330358</v>
      </c>
      <c r="AH10" s="689"/>
    </row>
    <row r="11" spans="1:34" ht="19.2" customHeight="1">
      <c r="A11" s="721"/>
      <c r="B11" s="40" t="s">
        <v>122</v>
      </c>
      <c r="C11" s="41"/>
      <c r="D11" s="42" t="s">
        <v>53</v>
      </c>
      <c r="E11" s="43"/>
      <c r="F11" s="343">
        <v>31.11</v>
      </c>
      <c r="G11" s="44">
        <v>3256</v>
      </c>
      <c r="H11" s="45">
        <f t="shared" si="0"/>
        <v>101294.16</v>
      </c>
      <c r="I11" s="483"/>
      <c r="J11" s="46">
        <v>18</v>
      </c>
      <c r="K11" s="44">
        <v>2769</v>
      </c>
      <c r="L11" s="47">
        <v>153.83333333333334</v>
      </c>
      <c r="M11" s="484">
        <v>18</v>
      </c>
      <c r="N11" s="44">
        <f t="shared" si="1"/>
        <v>2537.142857142856</v>
      </c>
      <c r="O11" s="47">
        <f t="shared" si="2"/>
        <v>140.95238095238088</v>
      </c>
      <c r="P11" s="48">
        <f t="shared" si="3"/>
        <v>0</v>
      </c>
      <c r="Q11" s="49">
        <f t="shared" si="4"/>
        <v>-12.880952380952465</v>
      </c>
      <c r="R11" s="490">
        <f t="shared" si="5"/>
        <v>0.91626683175978896</v>
      </c>
      <c r="S11" s="689"/>
      <c r="T11" s="89">
        <v>0.64374999999999993</v>
      </c>
      <c r="U11" s="89">
        <v>0.69722222222222219</v>
      </c>
      <c r="V11" s="486">
        <v>21</v>
      </c>
      <c r="W11" s="483">
        <f t="shared" si="8"/>
        <v>77.000000000000043</v>
      </c>
      <c r="X11" s="53">
        <v>0.6333333333333333</v>
      </c>
      <c r="Y11" s="53">
        <v>0.6430555555555556</v>
      </c>
      <c r="Z11" s="54"/>
      <c r="AA11" s="54"/>
      <c r="AB11" s="673"/>
      <c r="AC11" s="673"/>
      <c r="AD11" s="500"/>
      <c r="AE11" s="500"/>
      <c r="AF11" s="48">
        <f t="shared" si="6"/>
        <v>-231.85714285714403</v>
      </c>
      <c r="AG11" s="490">
        <f t="shared" si="7"/>
        <v>0.91626683175978907</v>
      </c>
      <c r="AH11" s="689"/>
    </row>
    <row r="12" spans="1:34" ht="19.2" customHeight="1">
      <c r="A12" s="721"/>
      <c r="B12" s="40">
        <v>0</v>
      </c>
      <c r="C12" s="41"/>
      <c r="D12" s="59"/>
      <c r="E12" s="43"/>
      <c r="F12" s="343" t="s">
        <v>128</v>
      </c>
      <c r="G12" s="44"/>
      <c r="H12" s="45">
        <f t="shared" si="0"/>
        <v>0</v>
      </c>
      <c r="I12" s="483"/>
      <c r="J12" s="46"/>
      <c r="K12" s="44"/>
      <c r="L12" s="47"/>
      <c r="M12" s="484"/>
      <c r="N12" s="44"/>
      <c r="O12" s="47"/>
      <c r="P12" s="48"/>
      <c r="Q12" s="49"/>
      <c r="R12" s="490"/>
      <c r="S12" s="689"/>
      <c r="T12" s="89"/>
      <c r="U12" s="89"/>
      <c r="V12" s="486"/>
      <c r="W12" s="483">
        <f t="shared" si="8"/>
        <v>0</v>
      </c>
      <c r="X12" s="53"/>
      <c r="Y12" s="53"/>
      <c r="Z12" s="54"/>
      <c r="AA12" s="54"/>
      <c r="AB12" s="673"/>
      <c r="AC12" s="673"/>
      <c r="AD12" s="500"/>
      <c r="AE12" s="500"/>
      <c r="AF12" s="48">
        <f t="shared" si="6"/>
        <v>0</v>
      </c>
      <c r="AG12" s="490" t="e">
        <f t="shared" si="7"/>
        <v>#DIV/0!</v>
      </c>
      <c r="AH12" s="689"/>
    </row>
    <row r="13" spans="1:34" ht="19.2" customHeight="1">
      <c r="A13" s="721"/>
      <c r="B13" s="40">
        <v>0</v>
      </c>
      <c r="C13" s="58"/>
      <c r="D13" s="59"/>
      <c r="E13" s="60"/>
      <c r="F13" s="343" t="s">
        <v>128</v>
      </c>
      <c r="G13" s="61"/>
      <c r="H13" s="45">
        <f t="shared" si="0"/>
        <v>0</v>
      </c>
      <c r="I13" s="487"/>
      <c r="J13" s="46"/>
      <c r="K13" s="44"/>
      <c r="L13" s="47"/>
      <c r="M13" s="62"/>
      <c r="N13" s="44"/>
      <c r="O13" s="47"/>
      <c r="P13" s="48"/>
      <c r="Q13" s="49"/>
      <c r="R13" s="490"/>
      <c r="S13" s="689"/>
      <c r="T13" s="89"/>
      <c r="U13" s="89"/>
      <c r="V13" s="487"/>
      <c r="W13" s="483">
        <f t="shared" si="8"/>
        <v>0</v>
      </c>
      <c r="X13" s="64"/>
      <c r="Y13" s="64"/>
      <c r="Z13" s="54"/>
      <c r="AA13" s="54"/>
      <c r="AB13" s="673"/>
      <c r="AC13" s="673"/>
      <c r="AD13" s="500"/>
      <c r="AE13" s="500"/>
      <c r="AF13" s="48">
        <f t="shared" si="6"/>
        <v>0</v>
      </c>
      <c r="AG13" s="490" t="e">
        <f t="shared" si="7"/>
        <v>#DIV/0!</v>
      </c>
      <c r="AH13" s="689"/>
    </row>
    <row r="14" spans="1:34" ht="19.2" customHeight="1">
      <c r="A14" s="721"/>
      <c r="B14" s="40">
        <v>0</v>
      </c>
      <c r="C14" s="66"/>
      <c r="D14" s="42"/>
      <c r="E14" s="43"/>
      <c r="F14" s="343" t="s">
        <v>128</v>
      </c>
      <c r="G14" s="61"/>
      <c r="H14" s="45">
        <f t="shared" si="0"/>
        <v>0</v>
      </c>
      <c r="I14" s="487"/>
      <c r="J14" s="46"/>
      <c r="K14" s="44"/>
      <c r="L14" s="47"/>
      <c r="M14" s="62"/>
      <c r="N14" s="44"/>
      <c r="O14" s="47"/>
      <c r="P14" s="48"/>
      <c r="Q14" s="49"/>
      <c r="R14" s="490"/>
      <c r="S14" s="689"/>
      <c r="T14" s="89"/>
      <c r="U14" s="89"/>
      <c r="V14" s="487"/>
      <c r="W14" s="483">
        <f t="shared" si="8"/>
        <v>0</v>
      </c>
      <c r="X14" s="64"/>
      <c r="Y14" s="64"/>
      <c r="Z14" s="54"/>
      <c r="AA14" s="54"/>
      <c r="AB14" s="673"/>
      <c r="AC14" s="673"/>
      <c r="AD14" s="500"/>
      <c r="AE14" s="500"/>
      <c r="AF14" s="48">
        <f t="shared" si="6"/>
        <v>0</v>
      </c>
      <c r="AG14" s="490" t="e">
        <f t="shared" si="7"/>
        <v>#DIV/0!</v>
      </c>
      <c r="AH14" s="689"/>
    </row>
    <row r="15" spans="1:34" ht="19.2" customHeight="1">
      <c r="A15" s="721"/>
      <c r="B15" s="67">
        <v>0</v>
      </c>
      <c r="C15" s="58"/>
      <c r="D15" s="59"/>
      <c r="E15" s="60"/>
      <c r="F15" s="343" t="s">
        <v>128</v>
      </c>
      <c r="G15" s="61"/>
      <c r="H15" s="45">
        <f t="shared" si="0"/>
        <v>0</v>
      </c>
      <c r="I15" s="487"/>
      <c r="J15" s="46"/>
      <c r="K15" s="44"/>
      <c r="L15" s="47"/>
      <c r="M15" s="62"/>
      <c r="N15" s="68"/>
      <c r="O15" s="47"/>
      <c r="P15" s="48"/>
      <c r="Q15" s="49"/>
      <c r="R15" s="490"/>
      <c r="S15" s="689"/>
      <c r="T15" s="89"/>
      <c r="U15" s="89"/>
      <c r="V15" s="487"/>
      <c r="W15" s="483">
        <f t="shared" si="8"/>
        <v>0</v>
      </c>
      <c r="X15" s="64"/>
      <c r="Y15" s="64"/>
      <c r="Z15" s="54"/>
      <c r="AA15" s="54"/>
      <c r="AB15" s="673"/>
      <c r="AC15" s="673"/>
      <c r="AD15" s="500"/>
      <c r="AE15" s="500"/>
      <c r="AF15" s="48">
        <f t="shared" si="6"/>
        <v>0</v>
      </c>
      <c r="AG15" s="490" t="e">
        <f t="shared" si="7"/>
        <v>#DIV/0!</v>
      </c>
      <c r="AH15" s="689"/>
    </row>
    <row r="16" spans="1:34" ht="19.2" customHeight="1">
      <c r="A16" s="721"/>
      <c r="B16" s="67">
        <v>0</v>
      </c>
      <c r="C16" s="58"/>
      <c r="D16" s="59"/>
      <c r="E16" s="60"/>
      <c r="F16" s="343" t="s">
        <v>128</v>
      </c>
      <c r="G16" s="61"/>
      <c r="H16" s="45">
        <f t="shared" si="0"/>
        <v>0</v>
      </c>
      <c r="I16" s="487"/>
      <c r="J16" s="46"/>
      <c r="K16" s="44"/>
      <c r="L16" s="47"/>
      <c r="M16" s="62"/>
      <c r="N16" s="68"/>
      <c r="O16" s="47"/>
      <c r="P16" s="48"/>
      <c r="Q16" s="49"/>
      <c r="R16" s="490"/>
      <c r="S16" s="689"/>
      <c r="T16" s="89"/>
      <c r="U16" s="89"/>
      <c r="V16" s="487"/>
      <c r="W16" s="483">
        <f t="shared" si="8"/>
        <v>0</v>
      </c>
      <c r="X16" s="64"/>
      <c r="Y16" s="64"/>
      <c r="Z16" s="54"/>
      <c r="AA16" s="54"/>
      <c r="AB16" s="673"/>
      <c r="AC16" s="673"/>
      <c r="AD16" s="500"/>
      <c r="AE16" s="500"/>
      <c r="AF16" s="48">
        <f t="shared" si="6"/>
        <v>0</v>
      </c>
      <c r="AG16" s="490" t="e">
        <f t="shared" si="7"/>
        <v>#DIV/0!</v>
      </c>
      <c r="AH16" s="689"/>
    </row>
    <row r="17" spans="1:34" ht="19.2" customHeight="1">
      <c r="A17" s="721"/>
      <c r="B17" s="69">
        <v>0</v>
      </c>
      <c r="C17" s="69" t="s">
        <v>506</v>
      </c>
      <c r="D17" s="683" t="s">
        <v>455</v>
      </c>
      <c r="E17" s="683"/>
      <c r="F17" s="344"/>
      <c r="G17" s="70"/>
      <c r="H17" s="71"/>
      <c r="I17" s="72"/>
      <c r="J17" s="70">
        <v>18.857142857142858</v>
      </c>
      <c r="K17" s="70">
        <v>2526</v>
      </c>
      <c r="L17" s="73">
        <v>135.00300120048021</v>
      </c>
      <c r="M17" s="70">
        <f t="shared" ref="M17:O17" si="9">AVERAGE(M5:M16)</f>
        <v>18.857142857142858</v>
      </c>
      <c r="N17" s="70">
        <f t="shared" si="9"/>
        <v>2359.6260729239361</v>
      </c>
      <c r="O17" s="73">
        <f t="shared" si="9"/>
        <v>125.97242366908517</v>
      </c>
      <c r="P17" s="65">
        <f t="shared" ref="P17:P23" si="10">M17-J17</f>
        <v>0</v>
      </c>
      <c r="Q17" s="74">
        <f t="shared" ref="Q17:Q23" si="11">O17-L17</f>
        <v>-9.0305775313950392</v>
      </c>
      <c r="R17" s="75">
        <f>O17/L17</f>
        <v>0.93310832017738199</v>
      </c>
      <c r="S17" s="689"/>
      <c r="T17" s="89"/>
      <c r="U17" s="89"/>
      <c r="V17" s="487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673"/>
      <c r="AC17" s="673"/>
      <c r="AD17" s="79">
        <f>SUM(AD5:AD16)</f>
        <v>1</v>
      </c>
      <c r="AE17" s="79">
        <f>SUM(AE5:AE16)</f>
        <v>0</v>
      </c>
      <c r="AF17" s="65">
        <f t="shared" si="6"/>
        <v>-166.37392707606386</v>
      </c>
      <c r="AG17" s="491">
        <f t="shared" si="7"/>
        <v>0.9341354207933239</v>
      </c>
      <c r="AH17" s="689"/>
    </row>
    <row r="18" spans="1:34" ht="19.2" customHeight="1">
      <c r="A18" s="671" t="s">
        <v>507</v>
      </c>
      <c r="B18" s="80" t="s">
        <v>125</v>
      </c>
      <c r="C18" s="81"/>
      <c r="D18" s="82" t="s">
        <v>189</v>
      </c>
      <c r="E18" s="83"/>
      <c r="F18" s="345">
        <v>27.5</v>
      </c>
      <c r="G18" s="57">
        <v>668</v>
      </c>
      <c r="H18" s="84">
        <f t="shared" ref="H18:H29" si="12">F18*G18</f>
        <v>18370</v>
      </c>
      <c r="I18" s="500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1484.4444444444453</v>
      </c>
      <c r="O18" s="86">
        <f t="shared" ref="O18:O23" si="14">N18/M18</f>
        <v>123.70370370370377</v>
      </c>
      <c r="P18" s="54">
        <f t="shared" si="10"/>
        <v>0</v>
      </c>
      <c r="Q18" s="88">
        <f t="shared" si="11"/>
        <v>-42.962962962962891</v>
      </c>
      <c r="R18" s="493">
        <f t="shared" ref="R18:R23" si="15">O18/L18</f>
        <v>0.74222222222222267</v>
      </c>
      <c r="S18" s="672">
        <f>R30</f>
        <v>0.85871551829184856</v>
      </c>
      <c r="T18" s="89">
        <v>0.125</v>
      </c>
      <c r="U18" s="89">
        <v>0.14374999999999999</v>
      </c>
      <c r="V18" s="500">
        <v>5</v>
      </c>
      <c r="W18" s="90">
        <f>(U18-T18)*24*60</f>
        <v>26.999999999999986</v>
      </c>
      <c r="X18" s="86"/>
      <c r="Y18" s="86"/>
      <c r="Z18" s="54"/>
      <c r="AA18" s="54"/>
      <c r="AB18" s="673"/>
      <c r="AC18" s="673"/>
      <c r="AD18" s="500"/>
      <c r="AE18" s="500"/>
      <c r="AF18" s="91">
        <f t="shared" si="6"/>
        <v>-515.55555555555475</v>
      </c>
      <c r="AG18" s="92">
        <f t="shared" si="7"/>
        <v>0.74222222222222267</v>
      </c>
      <c r="AH18" s="714">
        <f>AG30</f>
        <v>0.86804957630959545</v>
      </c>
    </row>
    <row r="19" spans="1:34" ht="19.2" customHeight="1">
      <c r="A19" s="671"/>
      <c r="B19" s="497" t="s">
        <v>122</v>
      </c>
      <c r="C19" s="496"/>
      <c r="D19" s="82" t="s">
        <v>59</v>
      </c>
      <c r="E19" s="83"/>
      <c r="F19" s="343">
        <v>36.86</v>
      </c>
      <c r="G19" s="57">
        <v>4308.8500000000004</v>
      </c>
      <c r="H19" s="84">
        <f t="shared" si="12"/>
        <v>158824.21100000001</v>
      </c>
      <c r="I19" s="500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2136.6198347107438</v>
      </c>
      <c r="O19" s="95">
        <f t="shared" si="14"/>
        <v>118.70110192837465</v>
      </c>
      <c r="P19" s="54">
        <f t="shared" si="10"/>
        <v>0</v>
      </c>
      <c r="Q19" s="88">
        <f t="shared" si="11"/>
        <v>-14.632231404958688</v>
      </c>
      <c r="R19" s="493">
        <f t="shared" si="15"/>
        <v>0.89025826446280987</v>
      </c>
      <c r="S19" s="672"/>
      <c r="T19" s="89">
        <v>0.14861111111111111</v>
      </c>
      <c r="U19" s="89">
        <v>0.2326388888888889</v>
      </c>
      <c r="V19" s="500">
        <v>7</v>
      </c>
      <c r="W19" s="90">
        <f>(U19-T19)*24*60</f>
        <v>121</v>
      </c>
      <c r="X19" s="96"/>
      <c r="Y19" s="96"/>
      <c r="Z19" s="54"/>
      <c r="AA19" s="54"/>
      <c r="AB19" s="673"/>
      <c r="AC19" s="673"/>
      <c r="AD19" s="500">
        <v>1</v>
      </c>
      <c r="AE19" s="500"/>
      <c r="AF19" s="48">
        <f t="shared" si="6"/>
        <v>-263.38016528925618</v>
      </c>
      <c r="AG19" s="490">
        <f t="shared" si="7"/>
        <v>0.89025826446280998</v>
      </c>
      <c r="AH19" s="715"/>
    </row>
    <row r="20" spans="1:34" ht="19.2" customHeight="1">
      <c r="A20" s="671"/>
      <c r="B20" s="497" t="s">
        <v>125</v>
      </c>
      <c r="C20" s="55"/>
      <c r="D20" s="42" t="s">
        <v>60</v>
      </c>
      <c r="E20" s="83"/>
      <c r="F20" s="343">
        <v>43.14</v>
      </c>
      <c r="G20" s="57">
        <v>1846</v>
      </c>
      <c r="H20" s="84">
        <f t="shared" si="12"/>
        <v>79636.44</v>
      </c>
      <c r="I20" s="500"/>
      <c r="J20" s="93">
        <v>17</v>
      </c>
      <c r="K20" s="44">
        <v>1500</v>
      </c>
      <c r="L20" s="47">
        <v>88.235294117647058</v>
      </c>
      <c r="M20" s="93">
        <v>17</v>
      </c>
      <c r="N20" s="94">
        <f t="shared" si="13"/>
        <v>1367.4074074074069</v>
      </c>
      <c r="O20" s="95">
        <f t="shared" si="14"/>
        <v>80.435729847494528</v>
      </c>
      <c r="P20" s="54">
        <f t="shared" si="10"/>
        <v>0</v>
      </c>
      <c r="Q20" s="88">
        <f t="shared" si="11"/>
        <v>-7.7995642701525298</v>
      </c>
      <c r="R20" s="493">
        <f t="shared" si="15"/>
        <v>0.91160493827160471</v>
      </c>
      <c r="S20" s="672"/>
      <c r="T20" s="89">
        <v>0.24861111111111112</v>
      </c>
      <c r="U20" s="89">
        <v>0.30486111111111114</v>
      </c>
      <c r="V20" s="500">
        <v>23</v>
      </c>
      <c r="W20" s="90">
        <f t="shared" ref="W20:W29" si="16">(U20-T20)*24*60</f>
        <v>81.000000000000028</v>
      </c>
      <c r="X20" s="96">
        <v>0.23750000000000002</v>
      </c>
      <c r="Y20" s="96">
        <v>0.24722222222222223</v>
      </c>
      <c r="Z20" s="54"/>
      <c r="AA20" s="54"/>
      <c r="AB20" s="673"/>
      <c r="AC20" s="673"/>
      <c r="AD20" s="500"/>
      <c r="AE20" s="500"/>
      <c r="AF20" s="91">
        <f t="shared" si="6"/>
        <v>-132.59259259259306</v>
      </c>
      <c r="AG20" s="92">
        <f t="shared" si="7"/>
        <v>0.9116049382716046</v>
      </c>
      <c r="AH20" s="715"/>
    </row>
    <row r="21" spans="1:34" ht="19.2" customHeight="1">
      <c r="A21" s="671"/>
      <c r="B21" s="497" t="s">
        <v>124</v>
      </c>
      <c r="C21" s="97"/>
      <c r="D21" s="98" t="s">
        <v>199</v>
      </c>
      <c r="E21" s="43"/>
      <c r="F21" s="343">
        <v>44.3</v>
      </c>
      <c r="G21" s="44">
        <v>2730</v>
      </c>
      <c r="H21" s="84">
        <f t="shared" si="12"/>
        <v>120938.99999999999</v>
      </c>
      <c r="I21" s="486"/>
      <c r="J21" s="93">
        <v>18</v>
      </c>
      <c r="K21" s="44">
        <v>1565</v>
      </c>
      <c r="L21" s="47">
        <v>86.944444444444443</v>
      </c>
      <c r="M21" s="93">
        <v>18</v>
      </c>
      <c r="N21" s="94">
        <f t="shared" si="13"/>
        <v>1424.3478260869567</v>
      </c>
      <c r="O21" s="95">
        <f t="shared" si="14"/>
        <v>79.130434782608702</v>
      </c>
      <c r="P21" s="54">
        <f t="shared" si="10"/>
        <v>0</v>
      </c>
      <c r="Q21" s="88">
        <f t="shared" si="11"/>
        <v>-7.8140096618357404</v>
      </c>
      <c r="R21" s="493">
        <f t="shared" si="15"/>
        <v>0.91012640644533971</v>
      </c>
      <c r="S21" s="672"/>
      <c r="T21" s="89">
        <v>0.30902777777777779</v>
      </c>
      <c r="U21" s="89">
        <v>0.3888888888888889</v>
      </c>
      <c r="V21" s="500">
        <v>6</v>
      </c>
      <c r="W21" s="90">
        <f t="shared" si="16"/>
        <v>114.99999999999999</v>
      </c>
      <c r="X21" s="96"/>
      <c r="Y21" s="96"/>
      <c r="Z21" s="54"/>
      <c r="AA21" s="54"/>
      <c r="AB21" s="673"/>
      <c r="AC21" s="673"/>
      <c r="AD21" s="500"/>
      <c r="AE21" s="500"/>
      <c r="AF21" s="48">
        <f t="shared" si="6"/>
        <v>-140.65217391304327</v>
      </c>
      <c r="AG21" s="490">
        <f t="shared" si="7"/>
        <v>0.91012640644533971</v>
      </c>
      <c r="AH21" s="716"/>
    </row>
    <row r="22" spans="1:34" ht="19.2" customHeight="1">
      <c r="A22" s="671"/>
      <c r="B22" s="497" t="s">
        <v>124</v>
      </c>
      <c r="C22" s="97"/>
      <c r="D22" s="42" t="s">
        <v>205</v>
      </c>
      <c r="E22" s="43"/>
      <c r="F22" s="343">
        <v>49.91</v>
      </c>
      <c r="G22" s="44">
        <v>3268</v>
      </c>
      <c r="H22" s="84">
        <f t="shared" si="12"/>
        <v>163105.87999999998</v>
      </c>
      <c r="I22" s="486"/>
      <c r="J22" s="93">
        <v>17</v>
      </c>
      <c r="K22" s="44">
        <v>1565</v>
      </c>
      <c r="L22" s="47">
        <v>92.058823529411768</v>
      </c>
      <c r="M22" s="93">
        <v>17</v>
      </c>
      <c r="N22" s="94">
        <f t="shared" si="13"/>
        <v>1431.2408759124087</v>
      </c>
      <c r="O22" s="95">
        <f t="shared" si="14"/>
        <v>84.190639759553449</v>
      </c>
      <c r="P22" s="54">
        <f t="shared" si="10"/>
        <v>0</v>
      </c>
      <c r="Q22" s="88">
        <f t="shared" si="11"/>
        <v>-7.8681837698583195</v>
      </c>
      <c r="R22" s="493">
        <f t="shared" si="15"/>
        <v>0.91453091112613971</v>
      </c>
      <c r="S22" s="672"/>
      <c r="T22" s="89">
        <v>0.40416666666666667</v>
      </c>
      <c r="U22" s="89">
        <v>0.49930555555555556</v>
      </c>
      <c r="V22" s="500">
        <v>22</v>
      </c>
      <c r="W22" s="90">
        <f t="shared" si="16"/>
        <v>137</v>
      </c>
      <c r="X22" s="96">
        <v>0.39305555555555555</v>
      </c>
      <c r="Y22" s="96">
        <v>0.40277777777777773</v>
      </c>
      <c r="Z22" s="54"/>
      <c r="AA22" s="54"/>
      <c r="AB22" s="673"/>
      <c r="AC22" s="673"/>
      <c r="AD22" s="500"/>
      <c r="AE22" s="500">
        <v>1</v>
      </c>
      <c r="AF22" s="91">
        <f t="shared" si="6"/>
        <v>-133.75912408759132</v>
      </c>
      <c r="AG22" s="92">
        <f t="shared" si="7"/>
        <v>0.91453091112613971</v>
      </c>
      <c r="AH22" s="716"/>
    </row>
    <row r="23" spans="1:34" ht="19.2" customHeight="1">
      <c r="A23" s="671"/>
      <c r="B23" s="497" t="s">
        <v>122</v>
      </c>
      <c r="C23" s="97"/>
      <c r="D23" s="42" t="s">
        <v>59</v>
      </c>
      <c r="E23" s="43"/>
      <c r="F23" s="343">
        <v>36.86</v>
      </c>
      <c r="G23" s="44">
        <v>2320.1499999999996</v>
      </c>
      <c r="H23" s="84">
        <f t="shared" si="12"/>
        <v>85520.728999999992</v>
      </c>
      <c r="I23" s="486"/>
      <c r="J23" s="93">
        <v>18</v>
      </c>
      <c r="K23" s="44">
        <v>2400</v>
      </c>
      <c r="L23" s="47">
        <v>133.33333333333334</v>
      </c>
      <c r="M23" s="93">
        <v>18</v>
      </c>
      <c r="N23" s="94">
        <f t="shared" si="13"/>
        <v>2077.7462686567133</v>
      </c>
      <c r="O23" s="95">
        <f t="shared" si="14"/>
        <v>115.43034825870629</v>
      </c>
      <c r="P23" s="54">
        <f t="shared" si="10"/>
        <v>0</v>
      </c>
      <c r="Q23" s="88">
        <f t="shared" si="11"/>
        <v>-17.902985074627054</v>
      </c>
      <c r="R23" s="493">
        <f t="shared" si="15"/>
        <v>0.86572761194029713</v>
      </c>
      <c r="S23" s="672"/>
      <c r="T23" s="89">
        <v>0.54027777777777775</v>
      </c>
      <c r="U23" s="89">
        <v>0.58680555555555558</v>
      </c>
      <c r="V23" s="500">
        <v>6</v>
      </c>
      <c r="W23" s="90">
        <f t="shared" si="16"/>
        <v>67.000000000000085</v>
      </c>
      <c r="X23" s="96"/>
      <c r="Y23" s="96"/>
      <c r="Z23" s="54"/>
      <c r="AA23" s="54"/>
      <c r="AB23" s="673"/>
      <c r="AC23" s="673"/>
      <c r="AD23" s="500"/>
      <c r="AE23" s="500"/>
      <c r="AF23" s="48">
        <f t="shared" si="6"/>
        <v>-322.25373134328674</v>
      </c>
      <c r="AG23" s="490">
        <f t="shared" si="7"/>
        <v>0.86572761194029724</v>
      </c>
      <c r="AH23" s="716"/>
    </row>
    <row r="24" spans="1:34" ht="19.2" customHeight="1">
      <c r="A24" s="671"/>
      <c r="B24" s="497">
        <v>0</v>
      </c>
      <c r="C24" s="81"/>
      <c r="D24" s="82"/>
      <c r="E24" s="83"/>
      <c r="F24" s="343" t="s">
        <v>128</v>
      </c>
      <c r="G24" s="57"/>
      <c r="H24" s="84">
        <f t="shared" si="12"/>
        <v>0</v>
      </c>
      <c r="I24" s="486"/>
      <c r="J24" s="93"/>
      <c r="K24" s="44"/>
      <c r="L24" s="47"/>
      <c r="M24" s="93"/>
      <c r="N24" s="94"/>
      <c r="O24" s="95"/>
      <c r="P24" s="54"/>
      <c r="Q24" s="88"/>
      <c r="R24" s="493"/>
      <c r="S24" s="672"/>
      <c r="T24" s="89"/>
      <c r="U24" s="89"/>
      <c r="V24" s="500"/>
      <c r="W24" s="90">
        <f t="shared" si="16"/>
        <v>0</v>
      </c>
      <c r="X24" s="96"/>
      <c r="Y24" s="96"/>
      <c r="Z24" s="54"/>
      <c r="AA24" s="54"/>
      <c r="AB24" s="673"/>
      <c r="AC24" s="673"/>
      <c r="AD24" s="500"/>
      <c r="AE24" s="500"/>
      <c r="AF24" s="91">
        <f t="shared" si="6"/>
        <v>0</v>
      </c>
      <c r="AG24" s="92" t="e">
        <f t="shared" si="7"/>
        <v>#DIV/0!</v>
      </c>
      <c r="AH24" s="716"/>
    </row>
    <row r="25" spans="1:34" ht="19.2" customHeight="1">
      <c r="A25" s="671"/>
      <c r="B25" s="497">
        <v>0</v>
      </c>
      <c r="C25" s="81"/>
      <c r="D25" s="82"/>
      <c r="E25" s="83"/>
      <c r="F25" s="343" t="s">
        <v>128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493"/>
      <c r="S25" s="672"/>
      <c r="T25" s="89"/>
      <c r="U25" s="89"/>
      <c r="V25" s="500"/>
      <c r="W25" s="90">
        <f t="shared" si="16"/>
        <v>0</v>
      </c>
      <c r="X25" s="500"/>
      <c r="Y25" s="500"/>
      <c r="Z25" s="54"/>
      <c r="AA25" s="54"/>
      <c r="AB25" s="673"/>
      <c r="AC25" s="673"/>
      <c r="AD25" s="500"/>
      <c r="AE25" s="500"/>
      <c r="AF25" s="48">
        <f t="shared" si="6"/>
        <v>0</v>
      </c>
      <c r="AG25" s="490" t="e">
        <f t="shared" si="7"/>
        <v>#DIV/0!</v>
      </c>
      <c r="AH25" s="716"/>
    </row>
    <row r="26" spans="1:34" ht="19.2" customHeight="1">
      <c r="A26" s="671"/>
      <c r="B26" s="497">
        <v>0</v>
      </c>
      <c r="C26" s="81"/>
      <c r="D26" s="82"/>
      <c r="E26" s="83"/>
      <c r="F26" s="343" t="s">
        <v>128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93"/>
      <c r="S26" s="672"/>
      <c r="T26" s="89"/>
      <c r="U26" s="89"/>
      <c r="V26" s="500"/>
      <c r="W26" s="90">
        <f t="shared" si="16"/>
        <v>0</v>
      </c>
      <c r="X26" s="500"/>
      <c r="Y26" s="500"/>
      <c r="Z26" s="54"/>
      <c r="AA26" s="54"/>
      <c r="AB26" s="673"/>
      <c r="AC26" s="673"/>
      <c r="AD26" s="500"/>
      <c r="AE26" s="500"/>
      <c r="AF26" s="91">
        <f t="shared" si="6"/>
        <v>0</v>
      </c>
      <c r="AG26" s="92" t="e">
        <f t="shared" si="7"/>
        <v>#DIV/0!</v>
      </c>
      <c r="AH26" s="716"/>
    </row>
    <row r="27" spans="1:34" ht="19.2" customHeight="1">
      <c r="A27" s="671"/>
      <c r="B27" s="80">
        <v>0</v>
      </c>
      <c r="C27" s="81"/>
      <c r="D27" s="82"/>
      <c r="E27" s="83"/>
      <c r="F27" s="346" t="s">
        <v>128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93"/>
      <c r="S27" s="672"/>
      <c r="T27" s="89"/>
      <c r="U27" s="89"/>
      <c r="V27" s="500"/>
      <c r="W27" s="90">
        <f t="shared" si="16"/>
        <v>0</v>
      </c>
      <c r="X27" s="500"/>
      <c r="Y27" s="500"/>
      <c r="Z27" s="54"/>
      <c r="AA27" s="54"/>
      <c r="AB27" s="673"/>
      <c r="AC27" s="673"/>
      <c r="AD27" s="500"/>
      <c r="AE27" s="500"/>
      <c r="AF27" s="48">
        <f t="shared" si="6"/>
        <v>0</v>
      </c>
      <c r="AG27" s="490" t="e">
        <f t="shared" si="7"/>
        <v>#DIV/0!</v>
      </c>
      <c r="AH27" s="716"/>
    </row>
    <row r="28" spans="1:34" ht="19.2" customHeight="1">
      <c r="A28" s="671"/>
      <c r="B28" s="80">
        <v>0</v>
      </c>
      <c r="C28" s="81"/>
      <c r="D28" s="82"/>
      <c r="E28" s="83"/>
      <c r="F28" s="346" t="s">
        <v>128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93"/>
      <c r="S28" s="672"/>
      <c r="T28" s="89"/>
      <c r="U28" s="89"/>
      <c r="V28" s="500"/>
      <c r="W28" s="90">
        <f t="shared" si="16"/>
        <v>0</v>
      </c>
      <c r="X28" s="500"/>
      <c r="Y28" s="500"/>
      <c r="Z28" s="54"/>
      <c r="AA28" s="54"/>
      <c r="AB28" s="673"/>
      <c r="AC28" s="673"/>
      <c r="AD28" s="500"/>
      <c r="AE28" s="500"/>
      <c r="AF28" s="91">
        <f t="shared" si="6"/>
        <v>0</v>
      </c>
      <c r="AG28" s="92" t="e">
        <f t="shared" si="7"/>
        <v>#DIV/0!</v>
      </c>
      <c r="AH28" s="716"/>
    </row>
    <row r="29" spans="1:34" ht="19.2" customHeight="1">
      <c r="A29" s="671"/>
      <c r="B29" s="80">
        <v>0</v>
      </c>
      <c r="C29" s="81"/>
      <c r="D29" s="82"/>
      <c r="E29" s="83"/>
      <c r="F29" s="346" t="s">
        <v>128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93"/>
      <c r="S29" s="672"/>
      <c r="T29" s="89"/>
      <c r="U29" s="89"/>
      <c r="V29" s="500"/>
      <c r="W29" s="90">
        <f t="shared" si="16"/>
        <v>0</v>
      </c>
      <c r="X29" s="500"/>
      <c r="Y29" s="500"/>
      <c r="Z29" s="54"/>
      <c r="AA29" s="54"/>
      <c r="AB29" s="673"/>
      <c r="AC29" s="673"/>
      <c r="AD29" s="500"/>
      <c r="AE29" s="500"/>
      <c r="AF29" s="48">
        <f t="shared" si="6"/>
        <v>0</v>
      </c>
      <c r="AG29" s="490"/>
      <c r="AH29" s="716"/>
    </row>
    <row r="30" spans="1:34" ht="19.2" customHeight="1">
      <c r="A30" s="671"/>
      <c r="B30" s="99">
        <v>0</v>
      </c>
      <c r="C30" s="100" t="s">
        <v>508</v>
      </c>
      <c r="D30" s="718" t="s">
        <v>455</v>
      </c>
      <c r="E30" s="718"/>
      <c r="F30" s="347"/>
      <c r="G30" s="101"/>
      <c r="H30" s="102"/>
      <c r="I30" s="103"/>
      <c r="J30" s="101">
        <v>16.666666666666668</v>
      </c>
      <c r="K30" s="101">
        <v>1905</v>
      </c>
      <c r="L30" s="104">
        <v>116.76198257080613</v>
      </c>
      <c r="M30" s="101">
        <f t="shared" ref="M30:O30" si="17">AVERAGE(M18:M29)</f>
        <v>16.666666666666668</v>
      </c>
      <c r="N30" s="101">
        <f t="shared" si="17"/>
        <v>1653.6344428697794</v>
      </c>
      <c r="O30" s="104">
        <f t="shared" si="17"/>
        <v>100.26532638007357</v>
      </c>
      <c r="P30" s="54">
        <f t="shared" ref="P30:P38" si="18">M30-J30</f>
        <v>0</v>
      </c>
      <c r="Q30" s="88">
        <f t="shared" ref="Q30:Q38" si="19">O30-L30</f>
        <v>-16.496656190732551</v>
      </c>
      <c r="R30" s="105">
        <f t="shared" ref="R30:R38" si="20">O30/L30</f>
        <v>0.85871551829184856</v>
      </c>
      <c r="S30" s="672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673"/>
      <c r="AC30" s="673"/>
      <c r="AD30" s="107">
        <f>SUM(AD18:AD29)</f>
        <v>1</v>
      </c>
      <c r="AE30" s="107">
        <f>SUM(AE18:AE29)</f>
        <v>1</v>
      </c>
      <c r="AF30" s="108">
        <f t="shared" si="6"/>
        <v>-251.36555713022062</v>
      </c>
      <c r="AG30" s="109">
        <f t="shared" ref="AG30" si="21">N30/K30</f>
        <v>0.86804957630959545</v>
      </c>
      <c r="AH30" s="717"/>
    </row>
    <row r="31" spans="1:34" ht="19.2" customHeight="1">
      <c r="A31" s="708" t="s">
        <v>509</v>
      </c>
      <c r="B31" s="110" t="s">
        <v>125</v>
      </c>
      <c r="C31" s="66"/>
      <c r="D31" s="42" t="s">
        <v>190</v>
      </c>
      <c r="E31" s="111"/>
      <c r="F31" s="348">
        <v>26.5</v>
      </c>
      <c r="G31" s="134">
        <v>1794</v>
      </c>
      <c r="H31" s="112">
        <f t="shared" ref="H31:H40" si="22">F31*G31</f>
        <v>47541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1454.5945945945953</v>
      </c>
      <c r="O31" s="115">
        <f t="shared" ref="O31:O38" si="24">N31/M31</f>
        <v>121.21621621621627</v>
      </c>
      <c r="P31" s="116">
        <f t="shared" si="18"/>
        <v>0</v>
      </c>
      <c r="Q31" s="117">
        <f t="shared" si="19"/>
        <v>-45.45045045045039</v>
      </c>
      <c r="R31" s="494">
        <f t="shared" si="20"/>
        <v>0.72729729729729764</v>
      </c>
      <c r="S31" s="709">
        <f>R43</f>
        <v>0.85052927716347293</v>
      </c>
      <c r="T31" s="118">
        <v>0.125</v>
      </c>
      <c r="U31" s="118">
        <v>0.17638888888888887</v>
      </c>
      <c r="V31" s="142">
        <v>5</v>
      </c>
      <c r="W31" s="119">
        <f t="shared" ref="W31:W42" si="25">(U31-T31)*24*60</f>
        <v>73.999999999999972</v>
      </c>
      <c r="X31" s="52"/>
      <c r="Y31" s="52"/>
      <c r="Z31" s="51"/>
      <c r="AA31" s="51"/>
      <c r="AB31" s="673"/>
      <c r="AC31" s="673"/>
      <c r="AD31" s="52"/>
      <c r="AE31" s="52"/>
      <c r="AF31" s="116">
        <f t="shared" si="6"/>
        <v>-545.40540540540474</v>
      </c>
      <c r="AG31" s="120">
        <f t="shared" si="7"/>
        <v>0.72729729729729764</v>
      </c>
      <c r="AH31" s="687">
        <f>AG43</f>
        <v>0.84880987121325857</v>
      </c>
    </row>
    <row r="32" spans="1:34" ht="19.2" customHeight="1">
      <c r="A32" s="701"/>
      <c r="B32" s="121" t="s">
        <v>126</v>
      </c>
      <c r="C32" s="122"/>
      <c r="D32" s="42" t="s">
        <v>61</v>
      </c>
      <c r="E32" s="43"/>
      <c r="F32" s="343">
        <v>35.33</v>
      </c>
      <c r="G32" s="134">
        <v>2339</v>
      </c>
      <c r="H32" s="84">
        <f t="shared" si="22"/>
        <v>82636.87</v>
      </c>
      <c r="I32" s="483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1896.486486486486</v>
      </c>
      <c r="O32" s="47">
        <f t="shared" si="24"/>
        <v>158.04054054054049</v>
      </c>
      <c r="P32" s="116">
        <f t="shared" si="18"/>
        <v>0</v>
      </c>
      <c r="Q32" s="49">
        <f t="shared" si="19"/>
        <v>-18.459459459459509</v>
      </c>
      <c r="R32" s="490">
        <f t="shared" si="20"/>
        <v>0.89541382742515863</v>
      </c>
      <c r="S32" s="672"/>
      <c r="T32" s="89">
        <v>0.18124999999999999</v>
      </c>
      <c r="U32" s="89">
        <v>0.2326388888888889</v>
      </c>
      <c r="V32" s="142">
        <v>7</v>
      </c>
      <c r="W32" s="90">
        <f t="shared" si="25"/>
        <v>74.000000000000014</v>
      </c>
      <c r="X32" s="123"/>
      <c r="Y32" s="123"/>
      <c r="Z32" s="124"/>
      <c r="AA32" s="124"/>
      <c r="AB32" s="673"/>
      <c r="AC32" s="673"/>
      <c r="AD32" s="500"/>
      <c r="AE32" s="500"/>
      <c r="AF32" s="48">
        <f t="shared" si="6"/>
        <v>-221.513513513514</v>
      </c>
      <c r="AG32" s="490">
        <f t="shared" si="7"/>
        <v>0.89541382742515863</v>
      </c>
      <c r="AH32" s="688"/>
    </row>
    <row r="33" spans="1:34" ht="19.2" customHeight="1">
      <c r="A33" s="701"/>
      <c r="B33" s="121" t="s">
        <v>126</v>
      </c>
      <c r="C33" s="500"/>
      <c r="D33" s="42" t="s">
        <v>88</v>
      </c>
      <c r="E33" s="83"/>
      <c r="F33" s="343">
        <v>34.229999999999997</v>
      </c>
      <c r="G33" s="134">
        <v>3612</v>
      </c>
      <c r="H33" s="84">
        <f t="shared" si="22"/>
        <v>123638.76</v>
      </c>
      <c r="I33" s="500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2044.528301886792</v>
      </c>
      <c r="O33" s="47">
        <f t="shared" si="24"/>
        <v>157.27140783744554</v>
      </c>
      <c r="P33" s="116">
        <f t="shared" si="18"/>
        <v>0</v>
      </c>
      <c r="Q33" s="49">
        <f t="shared" si="19"/>
        <v>-15.805515239477529</v>
      </c>
      <c r="R33" s="490">
        <f t="shared" si="20"/>
        <v>0.90867924528301869</v>
      </c>
      <c r="S33" s="672"/>
      <c r="T33" s="89">
        <v>0.24791666666666667</v>
      </c>
      <c r="U33" s="89">
        <v>0.3215277777777778</v>
      </c>
      <c r="V33" s="142">
        <v>22</v>
      </c>
      <c r="W33" s="90">
        <f t="shared" si="25"/>
        <v>106.00000000000003</v>
      </c>
      <c r="X33" s="123">
        <v>0.23750000000000002</v>
      </c>
      <c r="Y33" s="123">
        <v>0.24722222222222223</v>
      </c>
      <c r="Z33" s="124"/>
      <c r="AA33" s="124"/>
      <c r="AB33" s="673"/>
      <c r="AC33" s="673"/>
      <c r="AD33" s="500"/>
      <c r="AE33" s="500"/>
      <c r="AF33" s="48">
        <f t="shared" si="6"/>
        <v>-205.47169811320805</v>
      </c>
      <c r="AG33" s="125">
        <f t="shared" si="7"/>
        <v>0.90867924528301869</v>
      </c>
      <c r="AH33" s="688"/>
    </row>
    <row r="34" spans="1:34" ht="19.2" customHeight="1">
      <c r="A34" s="701"/>
      <c r="B34" s="121" t="s">
        <v>126</v>
      </c>
      <c r="C34" s="126"/>
      <c r="D34" s="147" t="s">
        <v>90</v>
      </c>
      <c r="E34" s="83"/>
      <c r="F34" s="343">
        <v>35.83</v>
      </c>
      <c r="G34" s="137">
        <v>2325.6</v>
      </c>
      <c r="H34" s="84">
        <f t="shared" si="22"/>
        <v>83326.247999999992</v>
      </c>
      <c r="I34" s="500"/>
      <c r="J34" s="113">
        <v>11</v>
      </c>
      <c r="K34" s="94">
        <v>2250</v>
      </c>
      <c r="L34" s="95">
        <v>204.54545454545453</v>
      </c>
      <c r="M34" s="149">
        <v>11</v>
      </c>
      <c r="N34" s="44">
        <f t="shared" si="23"/>
        <v>1993.3714285714291</v>
      </c>
      <c r="O34" s="47">
        <f t="shared" si="24"/>
        <v>181.21558441558446</v>
      </c>
      <c r="P34" s="116">
        <f t="shared" si="18"/>
        <v>0</v>
      </c>
      <c r="Q34" s="49">
        <f t="shared" si="19"/>
        <v>-23.329870129870073</v>
      </c>
      <c r="R34" s="490">
        <f t="shared" si="20"/>
        <v>0.88594285714285737</v>
      </c>
      <c r="S34" s="672"/>
      <c r="T34" s="89">
        <v>0.32708333333333334</v>
      </c>
      <c r="U34" s="89">
        <v>0.37569444444444444</v>
      </c>
      <c r="V34" s="137">
        <v>8</v>
      </c>
      <c r="W34" s="90">
        <f t="shared" si="25"/>
        <v>69.999999999999986</v>
      </c>
      <c r="X34" s="123"/>
      <c r="Y34" s="123"/>
      <c r="Z34" s="124"/>
      <c r="AA34" s="124"/>
      <c r="AB34" s="673"/>
      <c r="AC34" s="673"/>
      <c r="AD34" s="500"/>
      <c r="AE34" s="500"/>
      <c r="AF34" s="48">
        <f t="shared" si="6"/>
        <v>-256.62857142857092</v>
      </c>
      <c r="AG34" s="125">
        <f t="shared" si="7"/>
        <v>0.88594285714285737</v>
      </c>
      <c r="AH34" s="688"/>
    </row>
    <row r="35" spans="1:34" ht="19.2" customHeight="1">
      <c r="A35" s="701"/>
      <c r="B35" s="121" t="s">
        <v>124</v>
      </c>
      <c r="C35" s="41"/>
      <c r="D35" s="150" t="s">
        <v>173</v>
      </c>
      <c r="E35" s="43"/>
      <c r="F35" s="343">
        <v>49.91</v>
      </c>
      <c r="G35" s="137">
        <v>4184.1000000000004</v>
      </c>
      <c r="H35" s="84">
        <f t="shared" si="22"/>
        <v>208828.43100000001</v>
      </c>
      <c r="I35" s="486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1335.3510638297871</v>
      </c>
      <c r="O35" s="47">
        <f t="shared" si="24"/>
        <v>78.550062578222764</v>
      </c>
      <c r="P35" s="116">
        <f t="shared" si="18"/>
        <v>0</v>
      </c>
      <c r="Q35" s="49">
        <f t="shared" si="19"/>
        <v>-13.508760951189004</v>
      </c>
      <c r="R35" s="490">
        <f t="shared" si="20"/>
        <v>0.85325946570593414</v>
      </c>
      <c r="S35" s="672"/>
      <c r="T35" s="89">
        <v>0.39166666666666666</v>
      </c>
      <c r="U35" s="89">
        <v>0.52222222222222225</v>
      </c>
      <c r="V35" s="134">
        <v>23</v>
      </c>
      <c r="W35" s="90">
        <f t="shared" si="25"/>
        <v>188.00000000000006</v>
      </c>
      <c r="X35" s="123">
        <v>0.38055555555555554</v>
      </c>
      <c r="Y35" s="123">
        <v>0.39027777777777778</v>
      </c>
      <c r="Z35" s="124"/>
      <c r="AA35" s="124"/>
      <c r="AB35" s="673"/>
      <c r="AC35" s="673"/>
      <c r="AD35" s="500">
        <v>1</v>
      </c>
      <c r="AE35" s="500"/>
      <c r="AF35" s="116">
        <f t="shared" si="6"/>
        <v>-229.64893617021289</v>
      </c>
      <c r="AG35" s="120">
        <f t="shared" si="7"/>
        <v>0.85325946570593425</v>
      </c>
      <c r="AH35" s="689"/>
    </row>
    <row r="36" spans="1:34" ht="19.2" customHeight="1">
      <c r="A36" s="701"/>
      <c r="B36" s="121" t="s">
        <v>122</v>
      </c>
      <c r="C36" s="128"/>
      <c r="D36" s="150" t="s">
        <v>194</v>
      </c>
      <c r="E36" s="83"/>
      <c r="F36" s="343">
        <v>46.93</v>
      </c>
      <c r="G36" s="134">
        <v>1172</v>
      </c>
      <c r="H36" s="84">
        <f t="shared" si="22"/>
        <v>55001.96</v>
      </c>
      <c r="I36" s="500"/>
      <c r="J36" s="113">
        <v>19</v>
      </c>
      <c r="K36" s="94">
        <v>2400</v>
      </c>
      <c r="L36" s="95">
        <v>126.31578947368421</v>
      </c>
      <c r="M36" s="149">
        <v>19</v>
      </c>
      <c r="N36" s="44">
        <f t="shared" si="23"/>
        <v>2009.1428571428551</v>
      </c>
      <c r="O36" s="47">
        <f t="shared" si="24"/>
        <v>105.74436090225554</v>
      </c>
      <c r="P36" s="116">
        <f t="shared" si="18"/>
        <v>0</v>
      </c>
      <c r="Q36" s="49">
        <f t="shared" si="19"/>
        <v>-20.571428571428669</v>
      </c>
      <c r="R36" s="490">
        <f t="shared" si="20"/>
        <v>0.83714285714285641</v>
      </c>
      <c r="S36" s="672"/>
      <c r="T36" s="89">
        <v>0.56319444444444444</v>
      </c>
      <c r="U36" s="89">
        <v>0.58750000000000002</v>
      </c>
      <c r="V36" s="134">
        <v>6</v>
      </c>
      <c r="W36" s="90">
        <f t="shared" si="25"/>
        <v>35.000000000000036</v>
      </c>
      <c r="X36" s="123"/>
      <c r="Y36" s="123"/>
      <c r="Z36" s="124"/>
      <c r="AA36" s="124"/>
      <c r="AB36" s="673"/>
      <c r="AC36" s="673"/>
      <c r="AD36" s="500"/>
      <c r="AE36" s="500"/>
      <c r="AF36" s="48">
        <f t="shared" si="6"/>
        <v>-390.85714285714494</v>
      </c>
      <c r="AG36" s="490">
        <f t="shared" si="7"/>
        <v>0.8371428571428563</v>
      </c>
      <c r="AH36" s="689"/>
    </row>
    <row r="37" spans="1:34" ht="19.2" customHeight="1">
      <c r="A37" s="701"/>
      <c r="B37" s="121" t="s">
        <v>122</v>
      </c>
      <c r="C37" s="128"/>
      <c r="D37" s="150" t="s">
        <v>201</v>
      </c>
      <c r="E37" s="83"/>
      <c r="F37" s="343">
        <v>43.96</v>
      </c>
      <c r="G37" s="134">
        <v>1615</v>
      </c>
      <c r="H37" s="84">
        <f t="shared" si="22"/>
        <v>70995.399999999994</v>
      </c>
      <c r="I37" s="500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2018.7500000000005</v>
      </c>
      <c r="O37" s="47">
        <f t="shared" si="24"/>
        <v>106.25000000000003</v>
      </c>
      <c r="P37" s="116">
        <f t="shared" si="18"/>
        <v>0</v>
      </c>
      <c r="Q37" s="49">
        <f t="shared" si="19"/>
        <v>-20.065789473684177</v>
      </c>
      <c r="R37" s="490">
        <f t="shared" si="20"/>
        <v>0.84114583333333359</v>
      </c>
      <c r="S37" s="672"/>
      <c r="T37" s="89">
        <v>0.59236111111111112</v>
      </c>
      <c r="U37" s="89">
        <v>0.62569444444444444</v>
      </c>
      <c r="V37" s="134">
        <v>7</v>
      </c>
      <c r="W37" s="90">
        <f t="shared" si="25"/>
        <v>47.999999999999986</v>
      </c>
      <c r="X37" s="123"/>
      <c r="Y37" s="123"/>
      <c r="Z37" s="124"/>
      <c r="AA37" s="124"/>
      <c r="AB37" s="673"/>
      <c r="AC37" s="673"/>
      <c r="AD37" s="500"/>
      <c r="AE37" s="500"/>
      <c r="AF37" s="48">
        <f t="shared" si="6"/>
        <v>-381.24999999999955</v>
      </c>
      <c r="AG37" s="125">
        <f t="shared" si="7"/>
        <v>0.84114583333333348</v>
      </c>
      <c r="AH37" s="689"/>
    </row>
    <row r="38" spans="1:34" ht="19.2" customHeight="1">
      <c r="A38" s="701"/>
      <c r="B38" s="121" t="s">
        <v>122</v>
      </c>
      <c r="C38" s="128"/>
      <c r="D38" s="150" t="s">
        <v>54</v>
      </c>
      <c r="E38" s="83"/>
      <c r="F38" s="343">
        <v>38.479999999999997</v>
      </c>
      <c r="G38" s="134">
        <v>3049.2</v>
      </c>
      <c r="H38" s="84">
        <f t="shared" si="22"/>
        <v>117333.21599999999</v>
      </c>
      <c r="I38" s="500"/>
      <c r="J38" s="46">
        <v>19</v>
      </c>
      <c r="K38" s="44">
        <v>2769</v>
      </c>
      <c r="L38" s="47">
        <v>145.73684210526315</v>
      </c>
      <c r="M38" s="149">
        <v>19</v>
      </c>
      <c r="N38" s="44">
        <f t="shared" si="23"/>
        <v>2315.8481012658212</v>
      </c>
      <c r="O38" s="47">
        <f t="shared" si="24"/>
        <v>121.88674217188533</v>
      </c>
      <c r="P38" s="116">
        <f t="shared" si="18"/>
        <v>0</v>
      </c>
      <c r="Q38" s="49">
        <f t="shared" si="19"/>
        <v>-23.85009993337782</v>
      </c>
      <c r="R38" s="490">
        <f t="shared" si="20"/>
        <v>0.83634817669404893</v>
      </c>
      <c r="S38" s="672"/>
      <c r="T38" s="151">
        <v>0.63124999999999998</v>
      </c>
      <c r="U38" s="151">
        <v>0.68611111111111112</v>
      </c>
      <c r="V38" s="134">
        <v>8</v>
      </c>
      <c r="W38" s="90">
        <f t="shared" si="25"/>
        <v>79.000000000000043</v>
      </c>
      <c r="X38" s="123"/>
      <c r="Y38" s="123"/>
      <c r="Z38" s="124"/>
      <c r="AA38" s="124"/>
      <c r="AB38" s="673"/>
      <c r="AC38" s="673"/>
      <c r="AD38" s="500"/>
      <c r="AE38" s="500"/>
      <c r="AF38" s="48">
        <f t="shared" si="6"/>
        <v>-453.15189873417876</v>
      </c>
      <c r="AG38" s="125">
        <f t="shared" si="7"/>
        <v>0.83634817669404882</v>
      </c>
      <c r="AH38" s="689"/>
    </row>
    <row r="39" spans="1:34" ht="19.2" customHeight="1">
      <c r="A39" s="701"/>
      <c r="B39" s="121">
        <v>0</v>
      </c>
      <c r="C39" s="126"/>
      <c r="D39" s="42"/>
      <c r="E39" s="43"/>
      <c r="F39" s="343" t="s">
        <v>128</v>
      </c>
      <c r="G39" s="57"/>
      <c r="H39" s="84">
        <f t="shared" si="22"/>
        <v>0</v>
      </c>
      <c r="I39" s="500"/>
      <c r="J39" s="113"/>
      <c r="K39" s="94"/>
      <c r="L39" s="95"/>
      <c r="M39" s="489"/>
      <c r="N39" s="44"/>
      <c r="O39" s="47"/>
      <c r="P39" s="116"/>
      <c r="Q39" s="49"/>
      <c r="R39" s="490"/>
      <c r="S39" s="672"/>
      <c r="T39" s="89"/>
      <c r="U39" s="89"/>
      <c r="V39" s="500" t="s">
        <v>15</v>
      </c>
      <c r="W39" s="90">
        <f t="shared" si="25"/>
        <v>0</v>
      </c>
      <c r="X39" s="123"/>
      <c r="Y39" s="123"/>
      <c r="Z39" s="124"/>
      <c r="AA39" s="124"/>
      <c r="AB39" s="673"/>
      <c r="AC39" s="673"/>
      <c r="AD39" s="500"/>
      <c r="AE39" s="500"/>
      <c r="AF39" s="116">
        <f t="shared" si="6"/>
        <v>0</v>
      </c>
      <c r="AG39" s="120" t="e">
        <f t="shared" si="7"/>
        <v>#DIV/0!</v>
      </c>
      <c r="AH39" s="689"/>
    </row>
    <row r="40" spans="1:34" ht="19.2" customHeight="1">
      <c r="A40" s="701"/>
      <c r="B40" s="130">
        <v>0</v>
      </c>
      <c r="C40" s="97"/>
      <c r="D40" s="42"/>
      <c r="E40" s="43"/>
      <c r="F40" s="343" t="s">
        <v>128</v>
      </c>
      <c r="G40" s="44"/>
      <c r="H40" s="84">
        <f t="shared" si="22"/>
        <v>0</v>
      </c>
      <c r="I40" s="486"/>
      <c r="J40" s="46"/>
      <c r="K40" s="44"/>
      <c r="L40" s="47"/>
      <c r="M40" s="484" t="s">
        <v>15</v>
      </c>
      <c r="N40" s="44"/>
      <c r="O40" s="47"/>
      <c r="P40" s="116"/>
      <c r="Q40" s="49"/>
      <c r="R40" s="490"/>
      <c r="S40" s="672"/>
      <c r="T40" s="89"/>
      <c r="U40" s="89"/>
      <c r="V40" s="500"/>
      <c r="W40" s="90">
        <f t="shared" si="25"/>
        <v>0</v>
      </c>
      <c r="X40" s="123"/>
      <c r="Y40" s="123"/>
      <c r="Z40" s="124"/>
      <c r="AA40" s="124"/>
      <c r="AB40" s="673"/>
      <c r="AC40" s="673"/>
      <c r="AD40" s="500"/>
      <c r="AE40" s="500"/>
      <c r="AF40" s="48">
        <f t="shared" si="6"/>
        <v>0</v>
      </c>
      <c r="AG40" s="490" t="e">
        <f t="shared" si="7"/>
        <v>#DIV/0!</v>
      </c>
      <c r="AH40" s="689"/>
    </row>
    <row r="41" spans="1:34" ht="19.2" customHeight="1">
      <c r="A41" s="701"/>
      <c r="B41" s="500">
        <v>0</v>
      </c>
      <c r="C41" s="55"/>
      <c r="D41" s="82"/>
      <c r="E41" s="83"/>
      <c r="F41" s="343" t="s">
        <v>128</v>
      </c>
      <c r="G41" s="57"/>
      <c r="H41" s="84"/>
      <c r="I41" s="500"/>
      <c r="J41" s="87"/>
      <c r="K41" s="57"/>
      <c r="L41" s="86"/>
      <c r="M41" s="489"/>
      <c r="N41" s="57"/>
      <c r="O41" s="86"/>
      <c r="P41" s="54"/>
      <c r="Q41" s="88"/>
      <c r="R41" s="493"/>
      <c r="S41" s="672"/>
      <c r="T41" s="89"/>
      <c r="U41" s="89"/>
      <c r="V41" s="500"/>
      <c r="W41" s="90">
        <f t="shared" si="25"/>
        <v>0</v>
      </c>
      <c r="X41" s="123"/>
      <c r="Y41" s="123"/>
      <c r="Z41" s="124"/>
      <c r="AA41" s="124"/>
      <c r="AB41" s="673"/>
      <c r="AC41" s="673"/>
      <c r="AD41" s="500"/>
      <c r="AE41" s="500"/>
      <c r="AF41" s="48"/>
      <c r="AG41" s="129"/>
      <c r="AH41" s="689"/>
    </row>
    <row r="42" spans="1:34" ht="19.2" customHeight="1">
      <c r="A42" s="701"/>
      <c r="B42" s="500">
        <v>0</v>
      </c>
      <c r="C42" s="55"/>
      <c r="D42" s="82"/>
      <c r="E42" s="83"/>
      <c r="F42" s="349" t="s">
        <v>128</v>
      </c>
      <c r="G42" s="57"/>
      <c r="H42" s="84">
        <f>F42*G42</f>
        <v>0</v>
      </c>
      <c r="I42" s="500"/>
      <c r="J42" s="87"/>
      <c r="K42" s="57"/>
      <c r="L42" s="86"/>
      <c r="M42" s="489"/>
      <c r="N42" s="57"/>
      <c r="O42" s="86"/>
      <c r="P42" s="54"/>
      <c r="Q42" s="88"/>
      <c r="R42" s="493"/>
      <c r="S42" s="672"/>
      <c r="T42" s="89"/>
      <c r="U42" s="89"/>
      <c r="V42" s="500"/>
      <c r="W42" s="90">
        <f t="shared" si="25"/>
        <v>0</v>
      </c>
      <c r="X42" s="123"/>
      <c r="Y42" s="123"/>
      <c r="Z42" s="124"/>
      <c r="AA42" s="124"/>
      <c r="AB42" s="673"/>
      <c r="AC42" s="673"/>
      <c r="AD42" s="500"/>
      <c r="AE42" s="500"/>
      <c r="AF42" s="48"/>
      <c r="AG42" s="129"/>
      <c r="AH42" s="689"/>
    </row>
    <row r="43" spans="1:34" ht="19.2" customHeight="1">
      <c r="A43" s="701"/>
      <c r="B43" s="121">
        <v>0</v>
      </c>
      <c r="C43" s="100" t="s">
        <v>539</v>
      </c>
      <c r="D43" s="669" t="s">
        <v>455</v>
      </c>
      <c r="E43" s="669"/>
      <c r="F43" s="347"/>
      <c r="G43" s="101"/>
      <c r="H43" s="102"/>
      <c r="I43" s="103"/>
      <c r="J43" s="101">
        <v>15.25</v>
      </c>
      <c r="K43" s="101">
        <v>2219</v>
      </c>
      <c r="L43" s="104">
        <v>151.40203610888594</v>
      </c>
      <c r="M43" s="101">
        <f t="shared" ref="M43:O43" si="26">AVERAGE(M31:M42)</f>
        <v>15.25</v>
      </c>
      <c r="N43" s="101">
        <f t="shared" si="26"/>
        <v>1883.5091042222207</v>
      </c>
      <c r="O43" s="104">
        <f t="shared" si="26"/>
        <v>128.77186433276879</v>
      </c>
      <c r="P43" s="54">
        <f>M43-J43</f>
        <v>0</v>
      </c>
      <c r="Q43" s="88">
        <f>N43-K43</f>
        <v>-335.49089577777931</v>
      </c>
      <c r="R43" s="105">
        <f t="shared" ref="R43:R50" si="27">O43/L43</f>
        <v>0.85052927716347293</v>
      </c>
      <c r="S43" s="672"/>
      <c r="T43" s="89"/>
      <c r="U43" s="89"/>
      <c r="V43" s="500"/>
      <c r="W43" s="500"/>
      <c r="X43" s="123"/>
      <c r="Y43" s="123"/>
      <c r="Z43" s="132">
        <f>SUM(Z31:Z42)</f>
        <v>0</v>
      </c>
      <c r="AA43" s="132">
        <f>SUM(AA31:AA42)</f>
        <v>0</v>
      </c>
      <c r="AB43" s="673"/>
      <c r="AC43" s="673"/>
      <c r="AD43" s="107">
        <f>SUM(AD31:AD42)</f>
        <v>1</v>
      </c>
      <c r="AE43" s="107">
        <f>SUM(AE31:AE42)</f>
        <v>0</v>
      </c>
      <c r="AF43" s="48">
        <f t="shared" ref="AF43:AF54" si="28">N43-K43</f>
        <v>-335.49089577777931</v>
      </c>
      <c r="AG43" s="491">
        <f t="shared" si="7"/>
        <v>0.84880987121325857</v>
      </c>
      <c r="AH43" s="689"/>
    </row>
    <row r="44" spans="1:34" s="145" customFormat="1" ht="19.2" customHeight="1">
      <c r="A44" s="711" t="s">
        <v>540</v>
      </c>
      <c r="B44" s="97" t="s">
        <v>126</v>
      </c>
      <c r="C44" s="133"/>
      <c r="D44" s="164" t="s">
        <v>73</v>
      </c>
      <c r="E44" s="43"/>
      <c r="F44" s="350">
        <v>24.73</v>
      </c>
      <c r="G44" s="134">
        <v>2031</v>
      </c>
      <c r="H44" s="45">
        <f>F44*G44</f>
        <v>50226.63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2101.0344827586209</v>
      </c>
      <c r="O44" s="138">
        <f t="shared" ref="O44:O50" si="30">N44/M44</f>
        <v>420.20689655172418</v>
      </c>
      <c r="P44" s="51">
        <f t="shared" ref="P44:P50" si="31">M44-J44</f>
        <v>1</v>
      </c>
      <c r="Q44" s="139">
        <f t="shared" ref="Q44:Q50" si="32">O44-L44</f>
        <v>-79.793103448275815</v>
      </c>
      <c r="R44" s="140">
        <f t="shared" si="27"/>
        <v>0.84041379310344833</v>
      </c>
      <c r="S44" s="688">
        <f>R56</f>
        <v>0.90009272881932212</v>
      </c>
      <c r="T44" s="118">
        <v>0.125</v>
      </c>
      <c r="U44" s="118">
        <v>0.16527777777777777</v>
      </c>
      <c r="V44" s="142">
        <v>5</v>
      </c>
      <c r="W44" s="143">
        <f t="shared" ref="W44:W56" si="33">(U44-T44)*24*60</f>
        <v>57.999999999999993</v>
      </c>
      <c r="X44" s="123"/>
      <c r="Y44" s="123"/>
      <c r="Z44" s="124"/>
      <c r="AA44" s="124"/>
      <c r="AB44" s="673"/>
      <c r="AC44" s="673"/>
      <c r="AD44" s="500"/>
      <c r="AE44" s="500"/>
      <c r="AF44" s="144">
        <f t="shared" si="28"/>
        <v>101.03448275862092</v>
      </c>
      <c r="AG44" s="495">
        <f t="shared" si="7"/>
        <v>1.0505172413793105</v>
      </c>
      <c r="AH44" s="705">
        <f>AG56</f>
        <v>0.98461845663611014</v>
      </c>
    </row>
    <row r="45" spans="1:34" s="145" customFormat="1" ht="19.2" customHeight="1">
      <c r="A45" s="712"/>
      <c r="B45" s="97" t="s">
        <v>126</v>
      </c>
      <c r="C45" s="133"/>
      <c r="D45" s="42" t="s">
        <v>74</v>
      </c>
      <c r="E45" s="43"/>
      <c r="F45" s="350">
        <v>24.73</v>
      </c>
      <c r="G45" s="134">
        <v>1723</v>
      </c>
      <c r="H45" s="45">
        <f>F45*G45</f>
        <v>42609.79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2109.7959183673479</v>
      </c>
      <c r="O45" s="138">
        <f t="shared" si="30"/>
        <v>421.95918367346957</v>
      </c>
      <c r="P45" s="51">
        <f t="shared" si="31"/>
        <v>1</v>
      </c>
      <c r="Q45" s="139">
        <f t="shared" si="32"/>
        <v>-78.040816326530432</v>
      </c>
      <c r="R45" s="140">
        <f t="shared" si="27"/>
        <v>0.84391836734693915</v>
      </c>
      <c r="S45" s="688"/>
      <c r="T45" s="89">
        <v>0.16874999999999998</v>
      </c>
      <c r="U45" s="89">
        <v>0.20277777777777775</v>
      </c>
      <c r="V45" s="142">
        <v>5</v>
      </c>
      <c r="W45" s="143">
        <f t="shared" si="33"/>
        <v>48.999999999999986</v>
      </c>
      <c r="X45" s="123"/>
      <c r="Y45" s="123"/>
      <c r="Z45" s="124"/>
      <c r="AA45" s="124"/>
      <c r="AB45" s="673"/>
      <c r="AC45" s="673"/>
      <c r="AD45" s="500"/>
      <c r="AE45" s="500"/>
      <c r="AF45" s="144">
        <f t="shared" si="28"/>
        <v>109.79591836734789</v>
      </c>
      <c r="AG45" s="495">
        <f t="shared" si="7"/>
        <v>1.054897959183674</v>
      </c>
      <c r="AH45" s="705"/>
    </row>
    <row r="46" spans="1:34" s="145" customFormat="1" ht="19.2" customHeight="1">
      <c r="A46" s="712"/>
      <c r="B46" s="97" t="s">
        <v>125</v>
      </c>
      <c r="C46" s="133"/>
      <c r="D46" s="42" t="s">
        <v>65</v>
      </c>
      <c r="E46" s="43"/>
      <c r="F46" s="350">
        <v>31.43</v>
      </c>
      <c r="G46" s="134">
        <v>1541</v>
      </c>
      <c r="H46" s="45">
        <f t="shared" ref="H46:H51" si="34">F46*G46</f>
        <v>48433.63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1422.4615384615381</v>
      </c>
      <c r="O46" s="138">
        <f t="shared" si="30"/>
        <v>203.20879120879115</v>
      </c>
      <c r="P46" s="51">
        <f t="shared" si="31"/>
        <v>0</v>
      </c>
      <c r="Q46" s="139">
        <f t="shared" si="32"/>
        <v>-11.076923076923123</v>
      </c>
      <c r="R46" s="140">
        <f t="shared" si="27"/>
        <v>0.94830769230769207</v>
      </c>
      <c r="S46" s="688"/>
      <c r="T46" s="89">
        <v>0.21319444444444441</v>
      </c>
      <c r="U46" s="89">
        <v>0.2583333333333333</v>
      </c>
      <c r="V46" s="142">
        <v>15</v>
      </c>
      <c r="W46" s="143">
        <f t="shared" si="33"/>
        <v>65.000000000000014</v>
      </c>
      <c r="X46" s="123"/>
      <c r="Y46" s="123"/>
      <c r="Z46" s="124"/>
      <c r="AA46" s="124"/>
      <c r="AB46" s="673"/>
      <c r="AC46" s="673"/>
      <c r="AD46" s="500"/>
      <c r="AE46" s="500"/>
      <c r="AF46" s="144">
        <f t="shared" si="28"/>
        <v>-77.538461538461888</v>
      </c>
      <c r="AG46" s="495">
        <f t="shared" si="7"/>
        <v>0.94830769230769207</v>
      </c>
      <c r="AH46" s="705"/>
    </row>
    <row r="47" spans="1:34" s="145" customFormat="1" ht="19.2" customHeight="1">
      <c r="A47" s="712"/>
      <c r="B47" s="97" t="s">
        <v>125</v>
      </c>
      <c r="C47" s="133"/>
      <c r="D47" s="42" t="s">
        <v>202</v>
      </c>
      <c r="E47" s="148"/>
      <c r="F47" s="350">
        <v>28.47</v>
      </c>
      <c r="G47" s="137">
        <v>1238</v>
      </c>
      <c r="H47" s="45">
        <f t="shared" si="34"/>
        <v>35245.86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1456.4705882352946</v>
      </c>
      <c r="O47" s="138">
        <f t="shared" si="30"/>
        <v>208.06722689075636</v>
      </c>
      <c r="P47" s="51">
        <f t="shared" si="31"/>
        <v>0</v>
      </c>
      <c r="Q47" s="139">
        <f t="shared" si="32"/>
        <v>-6.2184873949579185</v>
      </c>
      <c r="R47" s="140">
        <f t="shared" si="27"/>
        <v>0.97098039215686305</v>
      </c>
      <c r="S47" s="688"/>
      <c r="T47" s="89">
        <v>0.26874999999999999</v>
      </c>
      <c r="U47" s="89">
        <v>0.30416666666666664</v>
      </c>
      <c r="V47" s="137">
        <v>15</v>
      </c>
      <c r="W47" s="143">
        <f t="shared" si="33"/>
        <v>50.999999999999979</v>
      </c>
      <c r="X47" s="123"/>
      <c r="Y47" s="123"/>
      <c r="Z47" s="124"/>
      <c r="AA47" s="124"/>
      <c r="AB47" s="673"/>
      <c r="AC47" s="673"/>
      <c r="AD47" s="500"/>
      <c r="AE47" s="500"/>
      <c r="AF47" s="144">
        <f t="shared" si="28"/>
        <v>-43.529411764705401</v>
      </c>
      <c r="AG47" s="495">
        <f t="shared" si="7"/>
        <v>0.97098039215686305</v>
      </c>
      <c r="AH47" s="705"/>
    </row>
    <row r="48" spans="1:34" s="145" customFormat="1" ht="19.2" customHeight="1">
      <c r="A48" s="712"/>
      <c r="B48" s="97" t="s">
        <v>125</v>
      </c>
      <c r="C48" s="133"/>
      <c r="D48" s="42" t="s">
        <v>172</v>
      </c>
      <c r="E48" s="148"/>
      <c r="F48" s="350">
        <v>11.86</v>
      </c>
      <c r="G48" s="137">
        <v>1594</v>
      </c>
      <c r="H48" s="45">
        <f t="shared" si="34"/>
        <v>18904.84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1471.384615384615</v>
      </c>
      <c r="O48" s="138">
        <f t="shared" si="30"/>
        <v>245.23076923076917</v>
      </c>
      <c r="P48" s="51">
        <f t="shared" si="31"/>
        <v>0</v>
      </c>
      <c r="Q48" s="139">
        <f t="shared" si="32"/>
        <v>-27.435897435897516</v>
      </c>
      <c r="R48" s="140">
        <f t="shared" si="27"/>
        <v>0.89937934925709961</v>
      </c>
      <c r="S48" s="688"/>
      <c r="T48" s="89">
        <v>0.31458333333333333</v>
      </c>
      <c r="U48" s="89">
        <v>0.35972222222222222</v>
      </c>
      <c r="V48" s="134">
        <v>15</v>
      </c>
      <c r="W48" s="143">
        <f t="shared" si="33"/>
        <v>65.000000000000014</v>
      </c>
      <c r="X48" s="123"/>
      <c r="Y48" s="123"/>
      <c r="Z48" s="124"/>
      <c r="AA48" s="124"/>
      <c r="AB48" s="673"/>
      <c r="AC48" s="673"/>
      <c r="AD48" s="500"/>
      <c r="AE48" s="500"/>
      <c r="AF48" s="144">
        <f t="shared" si="28"/>
        <v>-164.61538461538498</v>
      </c>
      <c r="AG48" s="495">
        <f t="shared" si="7"/>
        <v>0.89937934925709961</v>
      </c>
      <c r="AH48" s="705"/>
    </row>
    <row r="49" spans="1:34" s="145" customFormat="1" ht="19.2" customHeight="1">
      <c r="A49" s="712"/>
      <c r="B49" s="97" t="s">
        <v>127</v>
      </c>
      <c r="C49" s="133"/>
      <c r="D49" s="42" t="s">
        <v>64</v>
      </c>
      <c r="E49" s="148"/>
      <c r="F49" s="350">
        <v>10.09</v>
      </c>
      <c r="G49" s="134">
        <v>3546.92</v>
      </c>
      <c r="H49" s="45">
        <f t="shared" si="34"/>
        <v>35788.4228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1447.7224489795924</v>
      </c>
      <c r="O49" s="138">
        <f t="shared" si="30"/>
        <v>241.28707482993207</v>
      </c>
      <c r="P49" s="51">
        <f t="shared" si="31"/>
        <v>0</v>
      </c>
      <c r="Q49" s="139">
        <f t="shared" si="32"/>
        <v>-8.7129251700679333</v>
      </c>
      <c r="R49" s="140">
        <f t="shared" si="27"/>
        <v>0.96514829931972823</v>
      </c>
      <c r="S49" s="688"/>
      <c r="T49" s="89">
        <v>0.37708333333333333</v>
      </c>
      <c r="U49" s="89">
        <v>0.47916666666666663</v>
      </c>
      <c r="V49" s="134">
        <v>25</v>
      </c>
      <c r="W49" s="143">
        <f t="shared" si="33"/>
        <v>146.99999999999994</v>
      </c>
      <c r="X49" s="152">
        <v>0.36388888888888887</v>
      </c>
      <c r="Y49" s="152">
        <v>0.37638888888888888</v>
      </c>
      <c r="Z49" s="153"/>
      <c r="AA49" s="124"/>
      <c r="AB49" s="673"/>
      <c r="AC49" s="673"/>
      <c r="AD49" s="500"/>
      <c r="AE49" s="500"/>
      <c r="AF49" s="144">
        <f t="shared" si="28"/>
        <v>-52.2775510204076</v>
      </c>
      <c r="AG49" s="495">
        <f t="shared" si="7"/>
        <v>0.96514829931972823</v>
      </c>
      <c r="AH49" s="705"/>
    </row>
    <row r="50" spans="1:34" s="145" customFormat="1" ht="19.2" customHeight="1">
      <c r="A50" s="712"/>
      <c r="B50" s="97" t="s">
        <v>127</v>
      </c>
      <c r="C50" s="133"/>
      <c r="D50" s="42" t="s">
        <v>64</v>
      </c>
      <c r="E50" s="148"/>
      <c r="F50" s="350">
        <v>10.09</v>
      </c>
      <c r="G50" s="134">
        <v>3137.6600000000003</v>
      </c>
      <c r="H50" s="45">
        <f t="shared" si="34"/>
        <v>31658.989400000002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1448.15076923077</v>
      </c>
      <c r="O50" s="138">
        <f t="shared" si="30"/>
        <v>241.35846153846168</v>
      </c>
      <c r="P50" s="51">
        <f t="shared" si="31"/>
        <v>0</v>
      </c>
      <c r="Q50" s="139">
        <f t="shared" si="32"/>
        <v>-8.6415384615383175</v>
      </c>
      <c r="R50" s="140">
        <f t="shared" si="27"/>
        <v>0.96543384615384675</v>
      </c>
      <c r="S50" s="688"/>
      <c r="T50" s="89">
        <v>0.49652777777777773</v>
      </c>
      <c r="U50" s="89">
        <v>0.58680555555555547</v>
      </c>
      <c r="V50" s="134">
        <v>25</v>
      </c>
      <c r="W50" s="143">
        <f t="shared" si="33"/>
        <v>129.99999999999994</v>
      </c>
      <c r="X50" s="152">
        <v>0.48333333333333334</v>
      </c>
      <c r="Y50" s="152">
        <v>0.49583333333333335</v>
      </c>
      <c r="Z50" s="153"/>
      <c r="AA50" s="153"/>
      <c r="AB50" s="673"/>
      <c r="AC50" s="673"/>
      <c r="AD50" s="500"/>
      <c r="AE50" s="500"/>
      <c r="AF50" s="144">
        <f t="shared" si="28"/>
        <v>-51.849230769229962</v>
      </c>
      <c r="AG50" s="495">
        <f t="shared" si="7"/>
        <v>0.96543384615384664</v>
      </c>
      <c r="AH50" s="705"/>
    </row>
    <row r="51" spans="1:34" s="145" customFormat="1" ht="19.2" customHeight="1">
      <c r="A51" s="712"/>
      <c r="B51" s="97">
        <v>0</v>
      </c>
      <c r="C51" s="133"/>
      <c r="D51" s="150"/>
      <c r="E51" s="148"/>
      <c r="F51" s="350" t="s">
        <v>128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688"/>
      <c r="T51" s="151"/>
      <c r="U51" s="151"/>
      <c r="V51" s="134" t="s">
        <v>15</v>
      </c>
      <c r="W51" s="143">
        <f t="shared" si="33"/>
        <v>0</v>
      </c>
      <c r="X51" s="152"/>
      <c r="Y51" s="152"/>
      <c r="Z51" s="153"/>
      <c r="AA51" s="153"/>
      <c r="AB51" s="673"/>
      <c r="AC51" s="673"/>
      <c r="AD51" s="500"/>
      <c r="AE51" s="500"/>
      <c r="AF51" s="144">
        <f t="shared" si="28"/>
        <v>0</v>
      </c>
      <c r="AG51" s="495" t="e">
        <f t="shared" si="7"/>
        <v>#DIV/0!</v>
      </c>
      <c r="AH51" s="705"/>
    </row>
    <row r="52" spans="1:34" s="145" customFormat="1" ht="19.2" customHeight="1">
      <c r="A52" s="712"/>
      <c r="B52" s="97">
        <v>0</v>
      </c>
      <c r="C52" s="133"/>
      <c r="D52" s="150"/>
      <c r="E52" s="148"/>
      <c r="F52" s="350" t="s">
        <v>128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688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673"/>
      <c r="AC52" s="673"/>
      <c r="AD52" s="500"/>
      <c r="AE52" s="500"/>
      <c r="AF52" s="144">
        <f t="shared" si="28"/>
        <v>0</v>
      </c>
      <c r="AG52" s="495" t="e">
        <f t="shared" si="7"/>
        <v>#DIV/0!</v>
      </c>
      <c r="AH52" s="705"/>
    </row>
    <row r="53" spans="1:34" s="145" customFormat="1" ht="19.2" customHeight="1">
      <c r="A53" s="712"/>
      <c r="B53" s="97">
        <v>0</v>
      </c>
      <c r="C53" s="133"/>
      <c r="D53" s="150"/>
      <c r="E53" s="148"/>
      <c r="F53" s="350" t="s">
        <v>128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93"/>
      <c r="S53" s="688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673"/>
      <c r="AC53" s="673"/>
      <c r="AD53" s="500"/>
      <c r="AE53" s="500"/>
      <c r="AF53" s="144">
        <f t="shared" si="28"/>
        <v>0</v>
      </c>
      <c r="AG53" s="495" t="e">
        <f t="shared" si="7"/>
        <v>#DIV/0!</v>
      </c>
      <c r="AH53" s="705"/>
    </row>
    <row r="54" spans="1:34" s="145" customFormat="1" ht="19.2" customHeight="1">
      <c r="A54" s="712"/>
      <c r="B54" s="156">
        <v>0</v>
      </c>
      <c r="C54" s="133"/>
      <c r="D54" s="150"/>
      <c r="E54" s="148"/>
      <c r="F54" s="351" t="s">
        <v>128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93"/>
      <c r="S54" s="688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673"/>
      <c r="AC54" s="673"/>
      <c r="AD54" s="500"/>
      <c r="AE54" s="500"/>
      <c r="AF54" s="144">
        <f t="shared" si="28"/>
        <v>0</v>
      </c>
      <c r="AG54" s="495" t="e">
        <f t="shared" si="7"/>
        <v>#DIV/0!</v>
      </c>
      <c r="AH54" s="705"/>
    </row>
    <row r="55" spans="1:34" s="145" customFormat="1" ht="19.2" customHeight="1">
      <c r="A55" s="712"/>
      <c r="B55" s="156">
        <v>0</v>
      </c>
      <c r="C55" s="133"/>
      <c r="D55" s="150"/>
      <c r="E55" s="148"/>
      <c r="F55" s="351" t="s">
        <v>128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93"/>
      <c r="S55" s="688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673"/>
      <c r="AC55" s="673"/>
      <c r="AD55" s="500"/>
      <c r="AE55" s="500"/>
      <c r="AF55" s="144"/>
      <c r="AG55" s="495"/>
      <c r="AH55" s="705"/>
    </row>
    <row r="56" spans="1:34" ht="19.2" customHeight="1">
      <c r="A56" s="713"/>
      <c r="B56" s="157">
        <v>0</v>
      </c>
      <c r="C56" s="268" t="s">
        <v>541</v>
      </c>
      <c r="D56" s="710" t="s">
        <v>455</v>
      </c>
      <c r="E56" s="669"/>
      <c r="F56" s="34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1636.7171944882539</v>
      </c>
      <c r="O56" s="104">
        <f t="shared" si="35"/>
        <v>283.04548627484343</v>
      </c>
      <c r="P56" s="158">
        <f>M56-J56</f>
        <v>0.28571428571428559</v>
      </c>
      <c r="Q56" s="117">
        <f>N56-K56</f>
        <v>-25.56851979746034</v>
      </c>
      <c r="R56" s="159">
        <f t="shared" ref="R56:R61" si="36">O56/L56</f>
        <v>0.90009272881932212</v>
      </c>
      <c r="S56" s="688"/>
      <c r="T56" s="160"/>
      <c r="U56" s="160"/>
      <c r="V56" s="488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673"/>
      <c r="AC56" s="673"/>
      <c r="AD56" s="107">
        <f>SUM(AD44:AD55)</f>
        <v>0</v>
      </c>
      <c r="AE56" s="107">
        <f>SUM(AE44:AE55)</f>
        <v>0</v>
      </c>
      <c r="AF56" s="162">
        <f>N56-K56</f>
        <v>-25.56851979746034</v>
      </c>
      <c r="AG56" s="493">
        <f>N56/K56</f>
        <v>0.98461845663611014</v>
      </c>
      <c r="AH56" s="705"/>
    </row>
    <row r="57" spans="1:34" ht="19.2" customHeight="1">
      <c r="A57" s="700" t="s">
        <v>542</v>
      </c>
      <c r="B57" s="121" t="s">
        <v>125</v>
      </c>
      <c r="C57" s="121"/>
      <c r="D57" s="42" t="s">
        <v>66</v>
      </c>
      <c r="E57" s="43"/>
      <c r="F57" s="343">
        <v>28.26</v>
      </c>
      <c r="G57" s="57">
        <v>1160</v>
      </c>
      <c r="H57" s="84">
        <f t="shared" ref="H57:H66" si="37">F57*G57</f>
        <v>32781.599999999999</v>
      </c>
      <c r="I57" s="500"/>
      <c r="J57" s="87">
        <v>7</v>
      </c>
      <c r="K57" s="57">
        <v>1500</v>
      </c>
      <c r="L57" s="86">
        <v>214.28571428571428</v>
      </c>
      <c r="M57" s="489">
        <v>7</v>
      </c>
      <c r="N57" s="57">
        <f t="shared" ref="N57:N61" si="38">G57/W57*60</f>
        <v>1480.8510638297876</v>
      </c>
      <c r="O57" s="86">
        <f t="shared" ref="O57:O61" si="39">N57/M57</f>
        <v>211.55015197568395</v>
      </c>
      <c r="P57" s="165">
        <f t="shared" ref="P57:P61" si="40">M57-J57</f>
        <v>0</v>
      </c>
      <c r="Q57" s="49">
        <f t="shared" ref="Q57:Q61" si="41">O57-L57</f>
        <v>-2.7355623100303319</v>
      </c>
      <c r="R57" s="490">
        <f t="shared" si="36"/>
        <v>0.9872340425531918</v>
      </c>
      <c r="S57" s="688">
        <f>R69</f>
        <v>0.97960156929877873</v>
      </c>
      <c r="T57" s="50">
        <v>0.125</v>
      </c>
      <c r="U57" s="50">
        <v>0.15763888888888888</v>
      </c>
      <c r="V57" s="486">
        <v>5</v>
      </c>
      <c r="W57" s="483">
        <f>(U57-T57)*24*60</f>
        <v>46.999999999999993</v>
      </c>
      <c r="X57" s="53"/>
      <c r="Y57" s="53"/>
      <c r="Z57" s="54"/>
      <c r="AA57" s="54"/>
      <c r="AB57" s="673"/>
      <c r="AC57" s="673"/>
      <c r="AD57" s="500"/>
      <c r="AE57" s="500"/>
      <c r="AF57" s="48">
        <f t="shared" si="6"/>
        <v>-19.148936170212437</v>
      </c>
      <c r="AG57" s="494">
        <f t="shared" si="7"/>
        <v>0.98723404255319169</v>
      </c>
      <c r="AH57" s="687">
        <f>AG69</f>
        <v>0.97980645662766908</v>
      </c>
    </row>
    <row r="58" spans="1:34" ht="19.2" customHeight="1">
      <c r="A58" s="701"/>
      <c r="B58" s="121" t="s">
        <v>125</v>
      </c>
      <c r="C58" s="500"/>
      <c r="D58" s="42" t="s">
        <v>67</v>
      </c>
      <c r="E58" s="43"/>
      <c r="F58" s="343">
        <v>27.88</v>
      </c>
      <c r="G58" s="44">
        <v>3657</v>
      </c>
      <c r="H58" s="45">
        <f t="shared" si="37"/>
        <v>101957.16</v>
      </c>
      <c r="I58" s="486"/>
      <c r="J58" s="46">
        <v>7</v>
      </c>
      <c r="K58" s="44">
        <v>1500</v>
      </c>
      <c r="L58" s="86">
        <v>214.28571428571428</v>
      </c>
      <c r="M58" s="484">
        <v>7</v>
      </c>
      <c r="N58" s="44">
        <f t="shared" si="38"/>
        <v>1453.1125827814569</v>
      </c>
      <c r="O58" s="47">
        <f t="shared" si="39"/>
        <v>207.58751182592241</v>
      </c>
      <c r="P58" s="165">
        <f t="shared" si="40"/>
        <v>0</v>
      </c>
      <c r="Q58" s="49">
        <f t="shared" si="41"/>
        <v>-6.6982024597918723</v>
      </c>
      <c r="R58" s="490">
        <f t="shared" si="36"/>
        <v>0.96874172185430463</v>
      </c>
      <c r="S58" s="688"/>
      <c r="T58" s="50">
        <v>0.16458333333333333</v>
      </c>
      <c r="U58" s="50">
        <v>0.26944444444444443</v>
      </c>
      <c r="V58" s="486">
        <v>10</v>
      </c>
      <c r="W58" s="483">
        <f>(U58-T58)*24*60</f>
        <v>151</v>
      </c>
      <c r="X58" s="53"/>
      <c r="Y58" s="53"/>
      <c r="Z58" s="54"/>
      <c r="AA58" s="54"/>
      <c r="AB58" s="706"/>
      <c r="AC58" s="707"/>
      <c r="AD58" s="500"/>
      <c r="AE58" s="500"/>
      <c r="AF58" s="48">
        <f t="shared" si="6"/>
        <v>-46.887417218543078</v>
      </c>
      <c r="AG58" s="490">
        <f t="shared" si="7"/>
        <v>0.96874172185430463</v>
      </c>
      <c r="AH58" s="688"/>
    </row>
    <row r="59" spans="1:34" ht="19.2" customHeight="1">
      <c r="A59" s="701"/>
      <c r="B59" s="121" t="s">
        <v>125</v>
      </c>
      <c r="C59" s="500"/>
      <c r="D59" s="42" t="s">
        <v>68</v>
      </c>
      <c r="E59" s="43"/>
      <c r="F59" s="343">
        <v>28</v>
      </c>
      <c r="G59" s="44">
        <v>3168</v>
      </c>
      <c r="H59" s="45">
        <f t="shared" si="37"/>
        <v>88704</v>
      </c>
      <c r="I59" s="486"/>
      <c r="J59" s="46">
        <v>7</v>
      </c>
      <c r="K59" s="44">
        <v>1500</v>
      </c>
      <c r="L59" s="86">
        <v>214.28571428571428</v>
      </c>
      <c r="M59" s="484">
        <v>7</v>
      </c>
      <c r="N59" s="44">
        <f t="shared" si="38"/>
        <v>1484.9999999999995</v>
      </c>
      <c r="O59" s="47">
        <f t="shared" si="39"/>
        <v>212.14285714285708</v>
      </c>
      <c r="P59" s="165">
        <f t="shared" si="40"/>
        <v>0</v>
      </c>
      <c r="Q59" s="49">
        <f t="shared" si="41"/>
        <v>-2.1428571428571956</v>
      </c>
      <c r="R59" s="490">
        <f t="shared" si="36"/>
        <v>0.98999999999999977</v>
      </c>
      <c r="S59" s="688"/>
      <c r="T59" s="50">
        <v>0.27986111111111112</v>
      </c>
      <c r="U59" s="50">
        <v>0.36875000000000002</v>
      </c>
      <c r="V59" s="142">
        <v>15</v>
      </c>
      <c r="W59" s="483">
        <f t="shared" ref="W59:W69" si="42">(U59-T59)*24*60</f>
        <v>128.00000000000003</v>
      </c>
      <c r="X59" s="53"/>
      <c r="Y59" s="53"/>
      <c r="Z59" s="54"/>
      <c r="AA59" s="54"/>
      <c r="AB59" s="673"/>
      <c r="AC59" s="673"/>
      <c r="AD59" s="500"/>
      <c r="AE59" s="500"/>
      <c r="AF59" s="48">
        <f t="shared" si="6"/>
        <v>-15.000000000000455</v>
      </c>
      <c r="AG59" s="490">
        <f t="shared" si="7"/>
        <v>0.98999999999999966</v>
      </c>
      <c r="AH59" s="688"/>
    </row>
    <row r="60" spans="1:34" ht="19.2" customHeight="1">
      <c r="A60" s="701"/>
      <c r="B60" s="121" t="s">
        <v>127</v>
      </c>
      <c r="C60" s="500"/>
      <c r="D60" s="42" t="s">
        <v>64</v>
      </c>
      <c r="E60" s="43"/>
      <c r="F60" s="343">
        <v>10.09</v>
      </c>
      <c r="G60" s="44">
        <v>3274.08</v>
      </c>
      <c r="H60" s="45">
        <f t="shared" si="37"/>
        <v>33035.467199999999</v>
      </c>
      <c r="I60" s="486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1466.0059701492537</v>
      </c>
      <c r="O60" s="47">
        <f t="shared" si="39"/>
        <v>244.33432835820895</v>
      </c>
      <c r="P60" s="165">
        <f t="shared" si="40"/>
        <v>0</v>
      </c>
      <c r="Q60" s="49">
        <f t="shared" si="41"/>
        <v>-5.6656716417910502</v>
      </c>
      <c r="R60" s="490">
        <f t="shared" si="36"/>
        <v>0.97733731343283581</v>
      </c>
      <c r="S60" s="688"/>
      <c r="T60" s="50">
        <v>0.38611111111111113</v>
      </c>
      <c r="U60" s="50">
        <v>0.47916666666666669</v>
      </c>
      <c r="V60" s="142">
        <v>25</v>
      </c>
      <c r="W60" s="483">
        <f t="shared" si="42"/>
        <v>134</v>
      </c>
      <c r="X60" s="53">
        <v>0.37361111111111112</v>
      </c>
      <c r="Y60" s="53">
        <v>0.38541666666666669</v>
      </c>
      <c r="Z60" s="54"/>
      <c r="AA60" s="54"/>
      <c r="AB60" s="673"/>
      <c r="AC60" s="673"/>
      <c r="AD60" s="500"/>
      <c r="AE60" s="500"/>
      <c r="AF60" s="48">
        <f t="shared" si="6"/>
        <v>-33.994029850746301</v>
      </c>
      <c r="AG60" s="494">
        <f t="shared" si="7"/>
        <v>0.97733731343283581</v>
      </c>
      <c r="AH60" s="688"/>
    </row>
    <row r="61" spans="1:34" ht="19.2" customHeight="1">
      <c r="A61" s="701"/>
      <c r="B61" s="121" t="s">
        <v>127</v>
      </c>
      <c r="C61" s="500"/>
      <c r="D61" s="42" t="s">
        <v>64</v>
      </c>
      <c r="E61" s="43"/>
      <c r="F61" s="343">
        <v>10.09</v>
      </c>
      <c r="G61" s="44">
        <v>3683.34</v>
      </c>
      <c r="H61" s="45">
        <f t="shared" si="37"/>
        <v>37164.900600000001</v>
      </c>
      <c r="I61" s="486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1463.5788079470203</v>
      </c>
      <c r="O61" s="47">
        <f t="shared" si="39"/>
        <v>243.92980132450339</v>
      </c>
      <c r="P61" s="165">
        <f t="shared" si="40"/>
        <v>0</v>
      </c>
      <c r="Q61" s="49">
        <f t="shared" si="41"/>
        <v>-6.0701986754966129</v>
      </c>
      <c r="R61" s="490">
        <f t="shared" si="36"/>
        <v>0.97571920529801359</v>
      </c>
      <c r="S61" s="688"/>
      <c r="T61" s="50">
        <v>0.49652777777777779</v>
      </c>
      <c r="U61" s="50">
        <v>0.60138888888888886</v>
      </c>
      <c r="V61" s="142">
        <v>25</v>
      </c>
      <c r="W61" s="483">
        <f t="shared" si="42"/>
        <v>150.99999999999994</v>
      </c>
      <c r="X61" s="53">
        <v>0.48333333333333334</v>
      </c>
      <c r="Y61" s="53">
        <v>0.49583333333333335</v>
      </c>
      <c r="Z61" s="54"/>
      <c r="AA61" s="54"/>
      <c r="AB61" s="673"/>
      <c r="AC61" s="673"/>
      <c r="AD61" s="500"/>
      <c r="AE61" s="500">
        <v>1</v>
      </c>
      <c r="AF61" s="48">
        <f t="shared" si="6"/>
        <v>-36.421192052979677</v>
      </c>
      <c r="AG61" s="490">
        <f t="shared" si="7"/>
        <v>0.97571920529801359</v>
      </c>
      <c r="AH61" s="688"/>
    </row>
    <row r="62" spans="1:34" ht="19.2" customHeight="1">
      <c r="A62" s="701"/>
      <c r="B62" s="121">
        <v>0</v>
      </c>
      <c r="C62" s="500"/>
      <c r="D62" s="42"/>
      <c r="E62" s="43"/>
      <c r="F62" s="343" t="s">
        <v>128</v>
      </c>
      <c r="G62" s="134"/>
      <c r="H62" s="45">
        <f t="shared" si="37"/>
        <v>0</v>
      </c>
      <c r="I62" s="486"/>
      <c r="J62" s="46"/>
      <c r="K62" s="44"/>
      <c r="L62" s="86"/>
      <c r="M62" s="62"/>
      <c r="N62" s="44"/>
      <c r="O62" s="47"/>
      <c r="P62" s="165"/>
      <c r="Q62" s="49"/>
      <c r="R62" s="490"/>
      <c r="S62" s="688"/>
      <c r="T62" s="166"/>
      <c r="U62" s="166"/>
      <c r="V62" s="142"/>
      <c r="W62" s="483">
        <f t="shared" si="42"/>
        <v>0</v>
      </c>
      <c r="X62" s="53"/>
      <c r="Y62" s="53"/>
      <c r="Z62" s="54"/>
      <c r="AA62" s="54"/>
      <c r="AB62" s="673"/>
      <c r="AC62" s="673"/>
      <c r="AD62" s="500"/>
      <c r="AE62" s="500"/>
      <c r="AF62" s="48">
        <f t="shared" si="6"/>
        <v>0</v>
      </c>
      <c r="AG62" s="490" t="e">
        <f t="shared" si="7"/>
        <v>#DIV/0!</v>
      </c>
      <c r="AH62" s="688"/>
    </row>
    <row r="63" spans="1:34" ht="19.2" customHeight="1">
      <c r="A63" s="701"/>
      <c r="B63" s="121">
        <v>0</v>
      </c>
      <c r="C63" s="500"/>
      <c r="D63" s="42"/>
      <c r="E63" s="43"/>
      <c r="F63" s="343" t="s">
        <v>128</v>
      </c>
      <c r="G63" s="134"/>
      <c r="H63" s="45">
        <f t="shared" si="37"/>
        <v>0</v>
      </c>
      <c r="I63" s="486"/>
      <c r="J63" s="46"/>
      <c r="K63" s="44"/>
      <c r="L63" s="86"/>
      <c r="M63" s="62" t="s">
        <v>15</v>
      </c>
      <c r="N63" s="44"/>
      <c r="O63" s="47"/>
      <c r="P63" s="165"/>
      <c r="Q63" s="49"/>
      <c r="R63" s="490"/>
      <c r="S63" s="688"/>
      <c r="T63" s="166"/>
      <c r="U63" s="166"/>
      <c r="V63" s="142"/>
      <c r="W63" s="483">
        <f t="shared" si="42"/>
        <v>0</v>
      </c>
      <c r="X63" s="53"/>
      <c r="Y63" s="53"/>
      <c r="Z63" s="54"/>
      <c r="AA63" s="54"/>
      <c r="AB63" s="673"/>
      <c r="AC63" s="673"/>
      <c r="AD63" s="500"/>
      <c r="AE63" s="500"/>
      <c r="AF63" s="48">
        <f t="shared" si="6"/>
        <v>0</v>
      </c>
      <c r="AG63" s="494" t="e">
        <f t="shared" si="7"/>
        <v>#DIV/0!</v>
      </c>
      <c r="AH63" s="688"/>
    </row>
    <row r="64" spans="1:34" ht="19.2" customHeight="1">
      <c r="A64" s="702"/>
      <c r="B64" s="163">
        <v>0</v>
      </c>
      <c r="C64" s="393"/>
      <c r="D64" s="42"/>
      <c r="E64" s="43"/>
      <c r="F64" s="343" t="s">
        <v>128</v>
      </c>
      <c r="G64" s="134"/>
      <c r="H64" s="45">
        <f t="shared" si="37"/>
        <v>0</v>
      </c>
      <c r="I64" s="486"/>
      <c r="J64" s="167"/>
      <c r="K64" s="61"/>
      <c r="L64" s="86"/>
      <c r="M64" s="62"/>
      <c r="N64" s="44"/>
      <c r="O64" s="47"/>
      <c r="P64" s="165"/>
      <c r="Q64" s="49"/>
      <c r="R64" s="490"/>
      <c r="S64" s="688"/>
      <c r="T64" s="166"/>
      <c r="U64" s="166"/>
      <c r="V64" s="142"/>
      <c r="W64" s="483">
        <f t="shared" si="42"/>
        <v>0</v>
      </c>
      <c r="X64" s="486"/>
      <c r="Y64" s="486"/>
      <c r="Z64" s="54"/>
      <c r="AA64" s="54"/>
      <c r="AB64" s="673"/>
      <c r="AC64" s="673"/>
      <c r="AD64" s="500"/>
      <c r="AE64" s="500"/>
      <c r="AF64" s="48">
        <f t="shared" si="6"/>
        <v>0</v>
      </c>
      <c r="AG64" s="490" t="e">
        <f t="shared" si="7"/>
        <v>#DIV/0!</v>
      </c>
      <c r="AH64" s="688"/>
    </row>
    <row r="65" spans="1:34" ht="19.2" customHeight="1">
      <c r="A65" s="702"/>
      <c r="B65" s="97">
        <v>0</v>
      </c>
      <c r="C65" s="496"/>
      <c r="D65" s="42"/>
      <c r="E65" s="43"/>
      <c r="F65" s="343" t="s">
        <v>128</v>
      </c>
      <c r="G65" s="134"/>
      <c r="H65" s="45">
        <f t="shared" si="37"/>
        <v>0</v>
      </c>
      <c r="I65" s="486"/>
      <c r="J65" s="167"/>
      <c r="K65" s="61"/>
      <c r="L65" s="86"/>
      <c r="M65" s="62"/>
      <c r="N65" s="61"/>
      <c r="O65" s="77"/>
      <c r="P65" s="48"/>
      <c r="Q65" s="49"/>
      <c r="R65" s="490"/>
      <c r="S65" s="688"/>
      <c r="T65" s="166"/>
      <c r="U65" s="166"/>
      <c r="V65" s="142"/>
      <c r="W65" s="483">
        <f t="shared" si="42"/>
        <v>0</v>
      </c>
      <c r="X65" s="486"/>
      <c r="Y65" s="486"/>
      <c r="Z65" s="54"/>
      <c r="AA65" s="54"/>
      <c r="AB65" s="673"/>
      <c r="AC65" s="673"/>
      <c r="AD65" s="500"/>
      <c r="AE65" s="500"/>
      <c r="AF65" s="48">
        <f t="shared" si="6"/>
        <v>0</v>
      </c>
      <c r="AG65" s="490" t="e">
        <f t="shared" si="7"/>
        <v>#DIV/0!</v>
      </c>
      <c r="AH65" s="688"/>
    </row>
    <row r="66" spans="1:34" ht="19.2" customHeight="1">
      <c r="A66" s="702"/>
      <c r="B66" s="97">
        <v>0</v>
      </c>
      <c r="C66" s="496"/>
      <c r="D66" s="42"/>
      <c r="E66" s="43"/>
      <c r="F66" s="343" t="s">
        <v>128</v>
      </c>
      <c r="G66" s="134"/>
      <c r="H66" s="45">
        <f t="shared" si="37"/>
        <v>0</v>
      </c>
      <c r="I66" s="486"/>
      <c r="J66" s="167"/>
      <c r="K66" s="61"/>
      <c r="L66" s="86"/>
      <c r="M66" s="62"/>
      <c r="N66" s="61"/>
      <c r="O66" s="77"/>
      <c r="P66" s="48"/>
      <c r="Q66" s="49"/>
      <c r="R66" s="490"/>
      <c r="S66" s="688"/>
      <c r="T66" s="166"/>
      <c r="U66" s="166"/>
      <c r="V66" s="142"/>
      <c r="W66" s="483">
        <f t="shared" si="42"/>
        <v>0</v>
      </c>
      <c r="X66" s="486"/>
      <c r="Y66" s="486"/>
      <c r="Z66" s="54"/>
      <c r="AA66" s="54"/>
      <c r="AB66" s="673"/>
      <c r="AC66" s="673"/>
      <c r="AD66" s="500"/>
      <c r="AE66" s="500"/>
      <c r="AF66" s="48">
        <f t="shared" si="6"/>
        <v>0</v>
      </c>
      <c r="AG66" s="494" t="e">
        <f t="shared" si="7"/>
        <v>#DIV/0!</v>
      </c>
      <c r="AH66" s="688"/>
    </row>
    <row r="67" spans="1:34" ht="19.2" customHeight="1">
      <c r="A67" s="702"/>
      <c r="B67" s="97">
        <v>0</v>
      </c>
      <c r="C67" s="496"/>
      <c r="D67" s="42"/>
      <c r="E67" s="43"/>
      <c r="F67" s="343" t="s">
        <v>128</v>
      </c>
      <c r="G67" s="134"/>
      <c r="H67" s="45">
        <f>F67*G67</f>
        <v>0</v>
      </c>
      <c r="I67" s="486"/>
      <c r="J67" s="167"/>
      <c r="K67" s="61"/>
      <c r="L67" s="86"/>
      <c r="M67" s="62"/>
      <c r="N67" s="61"/>
      <c r="O67" s="77"/>
      <c r="P67" s="48"/>
      <c r="Q67" s="49"/>
      <c r="R67" s="490"/>
      <c r="S67" s="688"/>
      <c r="T67" s="166"/>
      <c r="U67" s="166"/>
      <c r="V67" s="142"/>
      <c r="W67" s="483">
        <f t="shared" si="42"/>
        <v>0</v>
      </c>
      <c r="X67" s="486"/>
      <c r="Y67" s="486"/>
      <c r="Z67" s="54"/>
      <c r="AA67" s="54"/>
      <c r="AB67" s="673"/>
      <c r="AC67" s="673"/>
      <c r="AD67" s="500"/>
      <c r="AE67" s="500"/>
      <c r="AF67" s="48">
        <f t="shared" si="6"/>
        <v>0</v>
      </c>
      <c r="AG67" s="490" t="e">
        <f t="shared" si="7"/>
        <v>#DIV/0!</v>
      </c>
      <c r="AH67" s="688"/>
    </row>
    <row r="68" spans="1:34" ht="19.2" customHeight="1">
      <c r="A68" s="702"/>
      <c r="B68" s="486">
        <v>0</v>
      </c>
      <c r="C68" s="496"/>
      <c r="D68" s="42"/>
      <c r="E68" s="43"/>
      <c r="F68" s="350" t="s">
        <v>128</v>
      </c>
      <c r="G68" s="134"/>
      <c r="H68" s="45">
        <f>F68*G68</f>
        <v>0</v>
      </c>
      <c r="I68" s="486"/>
      <c r="J68" s="167"/>
      <c r="K68" s="61"/>
      <c r="L68" s="86"/>
      <c r="M68" s="62"/>
      <c r="N68" s="61"/>
      <c r="O68" s="77"/>
      <c r="P68" s="48"/>
      <c r="Q68" s="49"/>
      <c r="R68" s="490"/>
      <c r="S68" s="688"/>
      <c r="T68" s="166"/>
      <c r="U68" s="166"/>
      <c r="V68" s="142"/>
      <c r="W68" s="483">
        <f t="shared" si="42"/>
        <v>0</v>
      </c>
      <c r="X68" s="486"/>
      <c r="Y68" s="486"/>
      <c r="Z68" s="54"/>
      <c r="AA68" s="54"/>
      <c r="AB68" s="673"/>
      <c r="AC68" s="673"/>
      <c r="AD68" s="500"/>
      <c r="AE68" s="500"/>
      <c r="AF68" s="48"/>
      <c r="AG68" s="490"/>
      <c r="AH68" s="688"/>
    </row>
    <row r="69" spans="1:34" ht="19.2" customHeight="1">
      <c r="A69" s="702"/>
      <c r="B69" s="168">
        <v>0</v>
      </c>
      <c r="C69" s="6" t="s">
        <v>543</v>
      </c>
      <c r="D69" s="669" t="s">
        <v>455</v>
      </c>
      <c r="E69" s="669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1469.7096849415036</v>
      </c>
      <c r="O69" s="73">
        <f t="shared" si="43"/>
        <v>223.90893012543515</v>
      </c>
      <c r="P69" s="48">
        <f>M69-J69</f>
        <v>0</v>
      </c>
      <c r="Q69" s="49">
        <f>N69-K69</f>
        <v>-30.29031505849639</v>
      </c>
      <c r="R69" s="172">
        <f t="shared" ref="R69:R75" si="44">O69/L69</f>
        <v>0.97960156929877873</v>
      </c>
      <c r="S69" s="688"/>
      <c r="T69" s="141"/>
      <c r="U69" s="141"/>
      <c r="V69" s="44"/>
      <c r="W69" s="483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673"/>
      <c r="AC69" s="673"/>
      <c r="AD69" s="107">
        <f>SUM(AD57:AD68)</f>
        <v>0</v>
      </c>
      <c r="AE69" s="107">
        <f>SUM(AE57:AE68)</f>
        <v>1</v>
      </c>
      <c r="AF69" s="48">
        <f t="shared" si="6"/>
        <v>-30.29031505849639</v>
      </c>
      <c r="AG69" s="490">
        <f t="shared" si="7"/>
        <v>0.97980645662766908</v>
      </c>
      <c r="AH69" s="688"/>
    </row>
    <row r="70" spans="1:34" ht="19.2" customHeight="1">
      <c r="A70" s="703" t="s">
        <v>544</v>
      </c>
      <c r="B70" s="486" t="s">
        <v>127</v>
      </c>
      <c r="C70" s="97"/>
      <c r="D70" s="42" t="s">
        <v>138</v>
      </c>
      <c r="E70" s="43"/>
      <c r="F70" s="343">
        <v>54.09</v>
      </c>
      <c r="G70" s="57">
        <v>971.59999999999991</v>
      </c>
      <c r="H70" s="45">
        <f>F70*G70</f>
        <v>52553.843999999997</v>
      </c>
      <c r="I70" s="486"/>
      <c r="J70" s="46">
        <v>16</v>
      </c>
      <c r="K70" s="44">
        <v>1500</v>
      </c>
      <c r="L70" s="47">
        <v>93.75</v>
      </c>
      <c r="M70" s="484">
        <v>17</v>
      </c>
      <c r="N70" s="44">
        <f t="shared" ref="N70:N75" si="45">G70/W70*60</f>
        <v>1387.9999999999993</v>
      </c>
      <c r="O70" s="47">
        <f t="shared" ref="O70:O75" si="46">N70/M70</f>
        <v>81.647058823529377</v>
      </c>
      <c r="P70" s="48">
        <f t="shared" ref="P70:P75" si="47">M70-J70</f>
        <v>1</v>
      </c>
      <c r="Q70" s="49">
        <f t="shared" ref="Q70:Q75" si="48">O70-L70</f>
        <v>-12.102941176470623</v>
      </c>
      <c r="R70" s="490">
        <f t="shared" si="44"/>
        <v>0.87090196078431337</v>
      </c>
      <c r="S70" s="688">
        <f>R82</f>
        <v>0.88921820602814772</v>
      </c>
      <c r="T70" s="50">
        <v>0.25</v>
      </c>
      <c r="U70" s="50">
        <v>0.27916666666666667</v>
      </c>
      <c r="V70" s="486">
        <v>5</v>
      </c>
      <c r="W70" s="483">
        <f>(U70-T70)*24*60</f>
        <v>42.000000000000014</v>
      </c>
      <c r="X70" s="486"/>
      <c r="Y70" s="486"/>
      <c r="Z70" s="54"/>
      <c r="AA70" s="54"/>
      <c r="AB70" s="673"/>
      <c r="AC70" s="673"/>
      <c r="AD70" s="500"/>
      <c r="AE70" s="500"/>
      <c r="AF70" s="48">
        <f t="shared" si="6"/>
        <v>-112.00000000000068</v>
      </c>
      <c r="AG70" s="490">
        <f t="shared" si="7"/>
        <v>0.9253333333333329</v>
      </c>
      <c r="AH70" s="688">
        <f>AG82</f>
        <v>0.89710690149322303</v>
      </c>
    </row>
    <row r="71" spans="1:34" ht="19.2" customHeight="1">
      <c r="A71" s="703"/>
      <c r="B71" s="486" t="s">
        <v>123</v>
      </c>
      <c r="C71" s="41"/>
      <c r="D71" s="173" t="s">
        <v>69</v>
      </c>
      <c r="E71" s="43"/>
      <c r="F71" s="343">
        <v>53.36</v>
      </c>
      <c r="G71" s="44">
        <v>3683.91</v>
      </c>
      <c r="H71" s="45">
        <f>F71*G71</f>
        <v>196573.43759999998</v>
      </c>
      <c r="I71" s="486"/>
      <c r="J71" s="46">
        <v>19</v>
      </c>
      <c r="K71" s="174">
        <v>1636</v>
      </c>
      <c r="L71" s="47">
        <v>86.10526315789474</v>
      </c>
      <c r="M71" s="489">
        <v>19</v>
      </c>
      <c r="N71" s="44">
        <f t="shared" si="45"/>
        <v>1435.2896103896103</v>
      </c>
      <c r="O71" s="47">
        <f t="shared" si="46"/>
        <v>75.541558441558436</v>
      </c>
      <c r="P71" s="48">
        <f t="shared" si="47"/>
        <v>0</v>
      </c>
      <c r="Q71" s="49">
        <f t="shared" si="48"/>
        <v>-10.563704716336304</v>
      </c>
      <c r="R71" s="490">
        <f t="shared" si="44"/>
        <v>0.87731638776871046</v>
      </c>
      <c r="S71" s="688"/>
      <c r="T71" s="50">
        <v>0.28472222222222221</v>
      </c>
      <c r="U71" s="50">
        <v>0.39166666666666666</v>
      </c>
      <c r="V71" s="486">
        <v>8</v>
      </c>
      <c r="W71" s="483">
        <f t="shared" ref="W71:W81" si="49">(U71-T71)*24*60</f>
        <v>154</v>
      </c>
      <c r="X71" s="53"/>
      <c r="Y71" s="53"/>
      <c r="Z71" s="54"/>
      <c r="AA71" s="54"/>
      <c r="AB71" s="673"/>
      <c r="AC71" s="673"/>
      <c r="AD71" s="500"/>
      <c r="AE71" s="500"/>
      <c r="AF71" s="48">
        <f>N71-K71</f>
        <v>-200.71038961038971</v>
      </c>
      <c r="AG71" s="490">
        <f>N71/K71</f>
        <v>0.87731638776871046</v>
      </c>
      <c r="AH71" s="688"/>
    </row>
    <row r="72" spans="1:34" ht="19.2" customHeight="1">
      <c r="A72" s="703"/>
      <c r="B72" s="486" t="s">
        <v>123</v>
      </c>
      <c r="C72" s="66"/>
      <c r="D72" s="173" t="s">
        <v>69</v>
      </c>
      <c r="E72" s="43"/>
      <c r="F72" s="343">
        <v>53.36</v>
      </c>
      <c r="G72" s="44">
        <v>2779.09</v>
      </c>
      <c r="H72" s="45">
        <f t="shared" ref="H72:H80" si="50">F72*G72</f>
        <v>148292.24240000002</v>
      </c>
      <c r="I72" s="486"/>
      <c r="J72" s="87">
        <v>19</v>
      </c>
      <c r="K72" s="57">
        <v>1636</v>
      </c>
      <c r="L72" s="86">
        <v>86.10526315789474</v>
      </c>
      <c r="M72" s="484">
        <v>19</v>
      </c>
      <c r="N72" s="44">
        <f t="shared" si="45"/>
        <v>1413.0966101694917</v>
      </c>
      <c r="O72" s="47">
        <f t="shared" si="46"/>
        <v>74.373505798394305</v>
      </c>
      <c r="P72" s="48">
        <f t="shared" si="47"/>
        <v>0</v>
      </c>
      <c r="Q72" s="49">
        <f t="shared" si="48"/>
        <v>-11.731757359500435</v>
      </c>
      <c r="R72" s="490">
        <f t="shared" si="44"/>
        <v>0.86375098421118079</v>
      </c>
      <c r="S72" s="688"/>
      <c r="T72" s="50">
        <v>0.40763888888888888</v>
      </c>
      <c r="U72" s="50">
        <v>0.48958333333333331</v>
      </c>
      <c r="V72" s="486">
        <v>23</v>
      </c>
      <c r="W72" s="483">
        <f t="shared" si="49"/>
        <v>117.99999999999999</v>
      </c>
      <c r="X72" s="53">
        <v>0.39583333333333331</v>
      </c>
      <c r="Y72" s="53">
        <v>0.4069444444444445</v>
      </c>
      <c r="Z72" s="54"/>
      <c r="AA72" s="54"/>
      <c r="AB72" s="673"/>
      <c r="AC72" s="673"/>
      <c r="AD72" s="500"/>
      <c r="AE72" s="500"/>
      <c r="AF72" s="48">
        <f>N72-K72</f>
        <v>-222.90338983050833</v>
      </c>
      <c r="AG72" s="490">
        <f>N72/K72</f>
        <v>0.86375098421118068</v>
      </c>
      <c r="AH72" s="688"/>
    </row>
    <row r="73" spans="1:34" ht="19.2" customHeight="1">
      <c r="A73" s="703"/>
      <c r="B73" s="486" t="s">
        <v>127</v>
      </c>
      <c r="C73" s="175"/>
      <c r="D73" s="176" t="s">
        <v>76</v>
      </c>
      <c r="E73" s="177"/>
      <c r="F73" s="343">
        <v>56.43</v>
      </c>
      <c r="G73" s="44">
        <v>966</v>
      </c>
      <c r="H73" s="45">
        <f t="shared" si="50"/>
        <v>54511.38</v>
      </c>
      <c r="I73" s="500"/>
      <c r="J73" s="178">
        <v>18</v>
      </c>
      <c r="K73" s="179">
        <v>1500</v>
      </c>
      <c r="L73" s="86">
        <v>83.333333333333329</v>
      </c>
      <c r="M73" s="489">
        <v>18</v>
      </c>
      <c r="N73" s="44">
        <f t="shared" si="45"/>
        <v>1317.2727272727295</v>
      </c>
      <c r="O73" s="47">
        <f t="shared" si="46"/>
        <v>73.181818181818301</v>
      </c>
      <c r="P73" s="48">
        <f t="shared" si="47"/>
        <v>0</v>
      </c>
      <c r="Q73" s="49">
        <f t="shared" si="48"/>
        <v>-10.151515151515028</v>
      </c>
      <c r="R73" s="490">
        <f t="shared" si="44"/>
        <v>0.87818181818181962</v>
      </c>
      <c r="S73" s="688"/>
      <c r="T73" s="50">
        <v>0.49374999999999997</v>
      </c>
      <c r="U73" s="50">
        <v>0.52430555555555547</v>
      </c>
      <c r="V73" s="486">
        <v>6</v>
      </c>
      <c r="W73" s="483">
        <f t="shared" si="49"/>
        <v>43.999999999999922</v>
      </c>
      <c r="X73" s="180"/>
      <c r="Y73" s="180"/>
      <c r="Z73" s="124"/>
      <c r="AA73" s="124"/>
      <c r="AB73" s="673"/>
      <c r="AC73" s="673"/>
      <c r="AD73" s="500"/>
      <c r="AE73" s="500"/>
      <c r="AF73" s="48">
        <f>N73-K73</f>
        <v>-182.72727272727047</v>
      </c>
      <c r="AG73" s="490">
        <f>N73/K73</f>
        <v>0.87818181818181973</v>
      </c>
      <c r="AH73" s="688"/>
    </row>
    <row r="74" spans="1:34" ht="19.2" customHeight="1">
      <c r="A74" s="703"/>
      <c r="B74" s="486" t="s">
        <v>123</v>
      </c>
      <c r="C74" s="175"/>
      <c r="D74" s="176" t="s">
        <v>71</v>
      </c>
      <c r="E74" s="177"/>
      <c r="F74" s="343">
        <v>47.51</v>
      </c>
      <c r="G74" s="44">
        <v>2192</v>
      </c>
      <c r="H74" s="45">
        <f t="shared" si="50"/>
        <v>104141.92</v>
      </c>
      <c r="I74" s="486"/>
      <c r="J74" s="46">
        <v>17</v>
      </c>
      <c r="K74" s="174">
        <v>1440</v>
      </c>
      <c r="L74" s="47">
        <v>84.705882352941174</v>
      </c>
      <c r="M74" s="484">
        <v>17</v>
      </c>
      <c r="N74" s="44">
        <f t="shared" si="45"/>
        <v>1315.2000000000003</v>
      </c>
      <c r="O74" s="47">
        <f t="shared" si="46"/>
        <v>77.364705882352951</v>
      </c>
      <c r="P74" s="48">
        <f t="shared" si="47"/>
        <v>0</v>
      </c>
      <c r="Q74" s="49">
        <f t="shared" si="48"/>
        <v>-7.3411764705882234</v>
      </c>
      <c r="R74" s="490">
        <f t="shared" si="44"/>
        <v>0.91333333333333344</v>
      </c>
      <c r="S74" s="688"/>
      <c r="T74" s="50">
        <v>0.56527777777777766</v>
      </c>
      <c r="U74" s="50">
        <v>0.63472222222222208</v>
      </c>
      <c r="V74" s="486">
        <v>6</v>
      </c>
      <c r="W74" s="483">
        <f t="shared" si="49"/>
        <v>99.999999999999972</v>
      </c>
      <c r="X74" s="180"/>
      <c r="Y74" s="180"/>
      <c r="Z74" s="124"/>
      <c r="AA74" s="124"/>
      <c r="AB74" s="673"/>
      <c r="AC74" s="673"/>
      <c r="AD74" s="500"/>
      <c r="AE74" s="500"/>
      <c r="AF74" s="48">
        <f t="shared" ref="AF74:AF80" si="51">N74-K74</f>
        <v>-124.79999999999973</v>
      </c>
      <c r="AG74" s="490">
        <f t="shared" ref="AG74:AG80" si="52">N74/K74</f>
        <v>0.91333333333333355</v>
      </c>
      <c r="AH74" s="688"/>
    </row>
    <row r="75" spans="1:34" ht="19.2" customHeight="1">
      <c r="A75" s="703"/>
      <c r="B75" s="486" t="s">
        <v>123</v>
      </c>
      <c r="C75" s="66"/>
      <c r="D75" s="173" t="s">
        <v>70</v>
      </c>
      <c r="E75" s="43"/>
      <c r="F75" s="343">
        <v>53.76</v>
      </c>
      <c r="G75" s="57">
        <v>2750</v>
      </c>
      <c r="H75" s="45">
        <f t="shared" si="50"/>
        <v>147840</v>
      </c>
      <c r="I75" s="486"/>
      <c r="J75" s="87">
        <v>16</v>
      </c>
      <c r="K75" s="57">
        <v>1440</v>
      </c>
      <c r="L75" s="86">
        <v>90</v>
      </c>
      <c r="M75" s="484">
        <v>16</v>
      </c>
      <c r="N75" s="44">
        <f t="shared" si="45"/>
        <v>1341.4634146341457</v>
      </c>
      <c r="O75" s="47">
        <f t="shared" si="46"/>
        <v>83.841463414634106</v>
      </c>
      <c r="P75" s="48">
        <f t="shared" si="47"/>
        <v>0</v>
      </c>
      <c r="Q75" s="49">
        <f t="shared" si="48"/>
        <v>-6.1585365853658942</v>
      </c>
      <c r="R75" s="490">
        <f t="shared" si="44"/>
        <v>0.93157181571815673</v>
      </c>
      <c r="S75" s="688"/>
      <c r="T75" s="50">
        <v>0.65069444444444424</v>
      </c>
      <c r="U75" s="50">
        <v>0.73611111111111094</v>
      </c>
      <c r="V75" s="486">
        <v>23</v>
      </c>
      <c r="W75" s="483">
        <f t="shared" si="49"/>
        <v>123.00000000000004</v>
      </c>
      <c r="X75" s="180">
        <v>0.63888888888888895</v>
      </c>
      <c r="Y75" s="180">
        <v>0.65</v>
      </c>
      <c r="Z75" s="124"/>
      <c r="AA75" s="124"/>
      <c r="AB75" s="673"/>
      <c r="AC75" s="673"/>
      <c r="AD75" s="500">
        <v>1</v>
      </c>
      <c r="AE75" s="500"/>
      <c r="AF75" s="48">
        <f t="shared" si="51"/>
        <v>-98.536585365854307</v>
      </c>
      <c r="AG75" s="490">
        <f t="shared" si="52"/>
        <v>0.93157181571815673</v>
      </c>
      <c r="AH75" s="688"/>
    </row>
    <row r="76" spans="1:34" ht="19.2" customHeight="1">
      <c r="A76" s="703"/>
      <c r="B76" s="486">
        <v>0</v>
      </c>
      <c r="C76" s="175"/>
      <c r="D76" s="176"/>
      <c r="E76" s="177"/>
      <c r="F76" s="343" t="s">
        <v>128</v>
      </c>
      <c r="G76" s="174"/>
      <c r="H76" s="45">
        <f t="shared" si="50"/>
        <v>0</v>
      </c>
      <c r="I76" s="486"/>
      <c r="J76" s="87"/>
      <c r="K76" s="57"/>
      <c r="L76" s="86"/>
      <c r="M76" s="489"/>
      <c r="N76" s="44"/>
      <c r="O76" s="47"/>
      <c r="P76" s="48"/>
      <c r="Q76" s="49"/>
      <c r="R76" s="490"/>
      <c r="S76" s="688"/>
      <c r="T76" s="50"/>
      <c r="U76" s="50"/>
      <c r="V76" s="486"/>
      <c r="W76" s="483">
        <f t="shared" si="49"/>
        <v>0</v>
      </c>
      <c r="X76" s="180"/>
      <c r="Y76" s="180"/>
      <c r="Z76" s="124"/>
      <c r="AA76" s="124"/>
      <c r="AB76" s="673"/>
      <c r="AC76" s="673"/>
      <c r="AD76" s="500"/>
      <c r="AE76" s="500"/>
      <c r="AF76" s="48">
        <f t="shared" si="51"/>
        <v>0</v>
      </c>
      <c r="AG76" s="490" t="e">
        <f t="shared" si="52"/>
        <v>#DIV/0!</v>
      </c>
      <c r="AH76" s="688"/>
    </row>
    <row r="77" spans="1:34" ht="19.2" customHeight="1">
      <c r="A77" s="703"/>
      <c r="B77" s="486">
        <v>0</v>
      </c>
      <c r="C77" s="496"/>
      <c r="D77" s="42"/>
      <c r="E77" s="43"/>
      <c r="F77" s="343" t="s">
        <v>128</v>
      </c>
      <c r="G77" s="174"/>
      <c r="H77" s="45">
        <f t="shared" si="50"/>
        <v>0</v>
      </c>
      <c r="I77" s="500"/>
      <c r="J77" s="46"/>
      <c r="K77" s="174"/>
      <c r="L77" s="47"/>
      <c r="M77" s="489"/>
      <c r="N77" s="44"/>
      <c r="O77" s="47"/>
      <c r="P77" s="48"/>
      <c r="Q77" s="49"/>
      <c r="R77" s="490"/>
      <c r="S77" s="688"/>
      <c r="T77" s="50"/>
      <c r="U77" s="50"/>
      <c r="V77" s="486"/>
      <c r="W77" s="483">
        <f t="shared" si="49"/>
        <v>0</v>
      </c>
      <c r="X77" s="180"/>
      <c r="Y77" s="180"/>
      <c r="Z77" s="124"/>
      <c r="AA77" s="124"/>
      <c r="AB77" s="673"/>
      <c r="AC77" s="673"/>
      <c r="AD77" s="500"/>
      <c r="AE77" s="500"/>
      <c r="AF77" s="48">
        <f t="shared" si="51"/>
        <v>0</v>
      </c>
      <c r="AG77" s="490" t="e">
        <f t="shared" si="52"/>
        <v>#DIV/0!</v>
      </c>
      <c r="AH77" s="688"/>
    </row>
    <row r="78" spans="1:34" ht="19.2" customHeight="1">
      <c r="A78" s="703"/>
      <c r="B78" s="486">
        <v>0</v>
      </c>
      <c r="C78" s="496"/>
      <c r="D78" s="42"/>
      <c r="E78" s="43"/>
      <c r="F78" s="343" t="s">
        <v>128</v>
      </c>
      <c r="G78" s="57"/>
      <c r="H78" s="45">
        <f t="shared" si="50"/>
        <v>0</v>
      </c>
      <c r="I78" s="500"/>
      <c r="J78" s="87"/>
      <c r="K78" s="57"/>
      <c r="L78" s="86"/>
      <c r="M78" s="489"/>
      <c r="N78" s="44"/>
      <c r="O78" s="47"/>
      <c r="P78" s="48"/>
      <c r="Q78" s="49"/>
      <c r="R78" s="490"/>
      <c r="S78" s="688"/>
      <c r="T78" s="50"/>
      <c r="U78" s="50"/>
      <c r="V78" s="486"/>
      <c r="W78" s="483">
        <f t="shared" si="49"/>
        <v>0</v>
      </c>
      <c r="X78" s="180"/>
      <c r="Y78" s="180"/>
      <c r="Z78" s="124"/>
      <c r="AA78" s="124"/>
      <c r="AB78" s="673"/>
      <c r="AC78" s="673"/>
      <c r="AD78" s="500"/>
      <c r="AE78" s="500"/>
      <c r="AF78" s="48">
        <f t="shared" si="51"/>
        <v>0</v>
      </c>
      <c r="AG78" s="490" t="e">
        <f t="shared" si="52"/>
        <v>#DIV/0!</v>
      </c>
      <c r="AH78" s="688"/>
    </row>
    <row r="79" spans="1:34" ht="19.2" customHeight="1">
      <c r="A79" s="703"/>
      <c r="B79" s="486">
        <v>0</v>
      </c>
      <c r="C79" s="175"/>
      <c r="D79" s="176"/>
      <c r="E79" s="177"/>
      <c r="F79" s="343" t="s">
        <v>128</v>
      </c>
      <c r="G79" s="57"/>
      <c r="H79" s="45">
        <f t="shared" si="50"/>
        <v>0</v>
      </c>
      <c r="I79" s="500"/>
      <c r="J79" s="87"/>
      <c r="K79" s="57"/>
      <c r="L79" s="86"/>
      <c r="M79" s="489"/>
      <c r="N79" s="57"/>
      <c r="O79" s="181"/>
      <c r="P79" s="108"/>
      <c r="Q79" s="182"/>
      <c r="R79" s="109"/>
      <c r="S79" s="688"/>
      <c r="T79" s="50"/>
      <c r="U79" s="50"/>
      <c r="V79" s="486"/>
      <c r="W79" s="483">
        <f t="shared" si="49"/>
        <v>0</v>
      </c>
      <c r="X79" s="180"/>
      <c r="Y79" s="180"/>
      <c r="Z79" s="124"/>
      <c r="AA79" s="124"/>
      <c r="AB79" s="673"/>
      <c r="AC79" s="673"/>
      <c r="AD79" s="500"/>
      <c r="AE79" s="500"/>
      <c r="AF79" s="48">
        <f t="shared" si="51"/>
        <v>0</v>
      </c>
      <c r="AG79" s="490" t="e">
        <f t="shared" si="52"/>
        <v>#DIV/0!</v>
      </c>
      <c r="AH79" s="688"/>
    </row>
    <row r="80" spans="1:34" ht="19.2" customHeight="1">
      <c r="A80" s="703"/>
      <c r="B80" s="486">
        <v>0</v>
      </c>
      <c r="C80" s="496"/>
      <c r="D80" s="42"/>
      <c r="E80" s="43"/>
      <c r="F80" s="343"/>
      <c r="G80" s="57"/>
      <c r="H80" s="45">
        <f t="shared" si="50"/>
        <v>0</v>
      </c>
      <c r="I80" s="500"/>
      <c r="J80" s="87"/>
      <c r="K80" s="57"/>
      <c r="L80" s="86"/>
      <c r="M80" s="489"/>
      <c r="N80" s="57"/>
      <c r="O80" s="183"/>
      <c r="P80" s="54"/>
      <c r="Q80" s="88"/>
      <c r="R80" s="499"/>
      <c r="S80" s="688"/>
      <c r="T80" s="50"/>
      <c r="U80" s="50"/>
      <c r="V80" s="486"/>
      <c r="W80" s="483">
        <f t="shared" si="49"/>
        <v>0</v>
      </c>
      <c r="X80" s="180"/>
      <c r="Y80" s="180"/>
      <c r="Z80" s="124"/>
      <c r="AA80" s="124"/>
      <c r="AB80" s="673"/>
      <c r="AC80" s="673"/>
      <c r="AD80" s="500"/>
      <c r="AE80" s="500"/>
      <c r="AF80" s="48">
        <f t="shared" si="51"/>
        <v>0</v>
      </c>
      <c r="AG80" s="490" t="e">
        <f t="shared" si="52"/>
        <v>#DIV/0!</v>
      </c>
      <c r="AH80" s="688"/>
    </row>
    <row r="81" spans="1:34" ht="19.2" customHeight="1">
      <c r="A81" s="703"/>
      <c r="B81" s="486">
        <v>0</v>
      </c>
      <c r="C81" s="496"/>
      <c r="D81" s="42"/>
      <c r="E81" s="43"/>
      <c r="F81" s="350"/>
      <c r="G81" s="57"/>
      <c r="H81" s="84"/>
      <c r="I81" s="500"/>
      <c r="J81" s="87"/>
      <c r="K81" s="57"/>
      <c r="L81" s="86"/>
      <c r="M81" s="489"/>
      <c r="N81" s="57"/>
      <c r="O81" s="183"/>
      <c r="P81" s="54"/>
      <c r="Q81" s="88"/>
      <c r="R81" s="499"/>
      <c r="S81" s="688"/>
      <c r="T81" s="50"/>
      <c r="U81" s="50"/>
      <c r="V81" s="486"/>
      <c r="W81" s="483">
        <f t="shared" si="49"/>
        <v>0</v>
      </c>
      <c r="X81" s="180"/>
      <c r="Y81" s="180"/>
      <c r="Z81" s="124"/>
      <c r="AA81" s="124"/>
      <c r="AB81" s="673"/>
      <c r="AC81" s="673"/>
      <c r="AD81" s="500"/>
      <c r="AE81" s="500"/>
      <c r="AF81" s="48"/>
      <c r="AG81" s="125"/>
      <c r="AH81" s="688"/>
    </row>
    <row r="82" spans="1:34" ht="19.2" customHeight="1">
      <c r="A82" s="704"/>
      <c r="B82" s="168">
        <v>0</v>
      </c>
      <c r="C82" s="100" t="s">
        <v>545</v>
      </c>
      <c r="D82" s="669" t="s">
        <v>455</v>
      </c>
      <c r="E82" s="669"/>
      <c r="F82" s="353"/>
      <c r="G82" s="101"/>
      <c r="H82" s="102"/>
      <c r="I82" s="103"/>
      <c r="J82" s="101">
        <v>17.5</v>
      </c>
      <c r="K82" s="101">
        <v>1525.3333333333333</v>
      </c>
      <c r="L82" s="104">
        <v>87.333290333677326</v>
      </c>
      <c r="M82" s="101">
        <f t="shared" ref="M82:O82" si="53">AVERAGE(M70:M81)</f>
        <v>17.666666666666668</v>
      </c>
      <c r="N82" s="101">
        <f t="shared" si="53"/>
        <v>1368.3870604109961</v>
      </c>
      <c r="O82" s="184">
        <f t="shared" si="53"/>
        <v>77.658351757047924</v>
      </c>
      <c r="P82" s="116">
        <f>M82-J82</f>
        <v>0.16666666666666785</v>
      </c>
      <c r="Q82" s="117">
        <f>N82-K82</f>
        <v>-156.94627292233713</v>
      </c>
      <c r="R82" s="172">
        <f>O82/L82</f>
        <v>0.88921820602814772</v>
      </c>
      <c r="S82" s="688"/>
      <c r="T82" s="50"/>
      <c r="U82" s="50"/>
      <c r="V82" s="486"/>
      <c r="W82" s="44"/>
      <c r="X82" s="47"/>
      <c r="Y82" s="47"/>
      <c r="Z82" s="106">
        <f>SUM(Z70:Z81)</f>
        <v>0</v>
      </c>
      <c r="AA82" s="106">
        <f>SUM(AA70:AA81)</f>
        <v>0</v>
      </c>
      <c r="AB82" s="673"/>
      <c r="AC82" s="673"/>
      <c r="AD82" s="107">
        <f>SUM(AD70:AD81)</f>
        <v>1</v>
      </c>
      <c r="AE82" s="107">
        <f>SUM(AE70:AE81)</f>
        <v>0</v>
      </c>
      <c r="AF82" s="48">
        <f>N82-K82</f>
        <v>-156.94627292233713</v>
      </c>
      <c r="AG82" s="490">
        <f>N82/K82</f>
        <v>0.89710690149322303</v>
      </c>
      <c r="AH82" s="688"/>
    </row>
    <row r="83" spans="1:34" ht="19.2" customHeight="1">
      <c r="A83" s="696" t="s">
        <v>546</v>
      </c>
      <c r="B83" s="110" t="s">
        <v>123</v>
      </c>
      <c r="C83" s="66"/>
      <c r="D83" s="358" t="s">
        <v>179</v>
      </c>
      <c r="E83" s="43"/>
      <c r="F83" s="350">
        <v>61.02</v>
      </c>
      <c r="G83" s="57">
        <v>2223</v>
      </c>
      <c r="H83" s="84">
        <f t="shared" ref="H83:H94" si="54">F83*G83</f>
        <v>135647.46000000002</v>
      </c>
      <c r="I83" s="500"/>
      <c r="J83" s="87">
        <v>17</v>
      </c>
      <c r="K83" s="57">
        <v>1440</v>
      </c>
      <c r="L83" s="86">
        <v>84.705882352941174</v>
      </c>
      <c r="M83" s="489">
        <v>17</v>
      </c>
      <c r="N83" s="57">
        <f t="shared" ref="N83:N89" si="55">G83/W83*60</f>
        <v>1347.2727272727268</v>
      </c>
      <c r="O83" s="183">
        <f t="shared" ref="O83:O89" si="56">N83/M83</f>
        <v>79.251336898395692</v>
      </c>
      <c r="P83" s="54">
        <f t="shared" ref="P83:P89" si="57">M83-J83</f>
        <v>0</v>
      </c>
      <c r="Q83" s="88">
        <f t="shared" ref="Q83:Q89" si="58">O83-L83</f>
        <v>-5.4545454545454817</v>
      </c>
      <c r="R83" s="185">
        <f t="shared" ref="R83:R89" si="59">O83/L83</f>
        <v>0.93560606060606033</v>
      </c>
      <c r="S83" s="688">
        <f>R95</f>
        <v>0.87195462113911015</v>
      </c>
      <c r="T83" s="50">
        <v>0.33333333333333331</v>
      </c>
      <c r="U83" s="50">
        <v>0.40208333333333335</v>
      </c>
      <c r="V83" s="486">
        <v>5</v>
      </c>
      <c r="W83" s="483">
        <f t="shared" ref="W83:W93" si="60">(U83-T83)*24*60</f>
        <v>99.000000000000043</v>
      </c>
      <c r="X83" s="53"/>
      <c r="Y83" s="53"/>
      <c r="Z83" s="54"/>
      <c r="AA83" s="54"/>
      <c r="AB83" s="673"/>
      <c r="AC83" s="673"/>
      <c r="AD83" s="500"/>
      <c r="AE83" s="500"/>
      <c r="AF83" s="48">
        <f t="shared" ref="AF83:AF173" si="61">N83-K83</f>
        <v>-92.727272727273203</v>
      </c>
      <c r="AG83" s="490">
        <f t="shared" ref="AG83:AG173" si="62">N83/K83</f>
        <v>0.93560606060606033</v>
      </c>
      <c r="AH83" s="688">
        <f>AG95</f>
        <v>0.87018217040709034</v>
      </c>
    </row>
    <row r="84" spans="1:34" ht="19.2" customHeight="1">
      <c r="A84" s="697"/>
      <c r="B84" s="110" t="s">
        <v>124</v>
      </c>
      <c r="C84" s="496"/>
      <c r="D84" s="186" t="s">
        <v>195</v>
      </c>
      <c r="E84" s="43"/>
      <c r="F84" s="350">
        <v>50.67</v>
      </c>
      <c r="G84" s="44">
        <v>3622.08</v>
      </c>
      <c r="H84" s="84">
        <f t="shared" si="54"/>
        <v>183530.7936</v>
      </c>
      <c r="I84" s="486"/>
      <c r="J84" s="87">
        <v>19</v>
      </c>
      <c r="K84" s="57">
        <v>1500</v>
      </c>
      <c r="L84" s="86">
        <v>78.94736842105263</v>
      </c>
      <c r="M84" s="489">
        <v>19</v>
      </c>
      <c r="N84" s="57">
        <f t="shared" si="55"/>
        <v>1341.5111111111114</v>
      </c>
      <c r="O84" s="183">
        <f t="shared" si="56"/>
        <v>70.605847953216383</v>
      </c>
      <c r="P84" s="54">
        <f t="shared" si="57"/>
        <v>0</v>
      </c>
      <c r="Q84" s="88">
        <f t="shared" si="58"/>
        <v>-8.3415204678362471</v>
      </c>
      <c r="R84" s="185">
        <f t="shared" si="59"/>
        <v>0.89434074074074088</v>
      </c>
      <c r="S84" s="688"/>
      <c r="T84" s="50">
        <v>0.41805555555555557</v>
      </c>
      <c r="U84" s="50">
        <v>0.53055555555555556</v>
      </c>
      <c r="V84" s="486">
        <v>23</v>
      </c>
      <c r="W84" s="483">
        <f t="shared" si="60"/>
        <v>161.99999999999997</v>
      </c>
      <c r="X84" s="53">
        <v>0.40625</v>
      </c>
      <c r="Y84" s="53">
        <v>0.41666666666666669</v>
      </c>
      <c r="Z84" s="54"/>
      <c r="AA84" s="54"/>
      <c r="AB84" s="673"/>
      <c r="AC84" s="673"/>
      <c r="AD84" s="500"/>
      <c r="AE84" s="500"/>
      <c r="AF84" s="48">
        <f t="shared" si="61"/>
        <v>-158.4888888888886</v>
      </c>
      <c r="AG84" s="490">
        <f t="shared" si="62"/>
        <v>0.89434074074074099</v>
      </c>
      <c r="AH84" s="688"/>
    </row>
    <row r="85" spans="1:34" ht="19.2" customHeight="1">
      <c r="A85" s="697"/>
      <c r="B85" s="110" t="s">
        <v>123</v>
      </c>
      <c r="C85" s="122"/>
      <c r="D85" s="186" t="s">
        <v>192</v>
      </c>
      <c r="E85" s="43"/>
      <c r="F85" s="350">
        <v>61.09</v>
      </c>
      <c r="G85" s="44">
        <v>2098</v>
      </c>
      <c r="H85" s="84">
        <f t="shared" si="54"/>
        <v>128166.82</v>
      </c>
      <c r="I85" s="486"/>
      <c r="J85" s="87">
        <v>17</v>
      </c>
      <c r="K85" s="57">
        <v>1440</v>
      </c>
      <c r="L85" s="86">
        <v>84.705882352941174</v>
      </c>
      <c r="M85" s="489">
        <v>17</v>
      </c>
      <c r="N85" s="57">
        <f t="shared" si="55"/>
        <v>1271.515151515152</v>
      </c>
      <c r="O85" s="183">
        <f t="shared" si="56"/>
        <v>74.795008912656002</v>
      </c>
      <c r="P85" s="54">
        <f t="shared" si="57"/>
        <v>0</v>
      </c>
      <c r="Q85" s="88">
        <f t="shared" si="58"/>
        <v>-9.9108734402851724</v>
      </c>
      <c r="R85" s="185">
        <f t="shared" si="59"/>
        <v>0.88299663299663333</v>
      </c>
      <c r="S85" s="688"/>
      <c r="T85" s="50">
        <v>0.57152777777777775</v>
      </c>
      <c r="U85" s="50">
        <v>0.64027777777777772</v>
      </c>
      <c r="V85" s="486">
        <v>6</v>
      </c>
      <c r="W85" s="483">
        <f t="shared" si="60"/>
        <v>98.999999999999972</v>
      </c>
      <c r="X85" s="53"/>
      <c r="Y85" s="53"/>
      <c r="Z85" s="54"/>
      <c r="AA85" s="54"/>
      <c r="AB85" s="673"/>
      <c r="AC85" s="673"/>
      <c r="AD85" s="500"/>
      <c r="AE85" s="500"/>
      <c r="AF85" s="48">
        <f t="shared" si="61"/>
        <v>-168.48484848484804</v>
      </c>
      <c r="AG85" s="490">
        <f t="shared" si="62"/>
        <v>0.88299663299663333</v>
      </c>
      <c r="AH85" s="688"/>
    </row>
    <row r="86" spans="1:34" ht="19.2" customHeight="1">
      <c r="A86" s="697"/>
      <c r="B86" s="110" t="s">
        <v>122</v>
      </c>
      <c r="C86" s="97"/>
      <c r="D86" s="186" t="s">
        <v>55</v>
      </c>
      <c r="E86" s="43"/>
      <c r="F86" s="350">
        <v>37.799999999999997</v>
      </c>
      <c r="G86" s="44">
        <v>5961</v>
      </c>
      <c r="H86" s="84">
        <f t="shared" si="54"/>
        <v>225325.8</v>
      </c>
      <c r="I86" s="486"/>
      <c r="J86" s="87">
        <v>20</v>
      </c>
      <c r="K86" s="57">
        <v>2769</v>
      </c>
      <c r="L86" s="86">
        <v>138.44999999999999</v>
      </c>
      <c r="M86" s="489">
        <v>20</v>
      </c>
      <c r="N86" s="57">
        <f t="shared" si="55"/>
        <v>2278.0891719745209</v>
      </c>
      <c r="O86" s="183">
        <f t="shared" si="56"/>
        <v>113.90445859872605</v>
      </c>
      <c r="P86" s="54">
        <f t="shared" si="57"/>
        <v>0</v>
      </c>
      <c r="Q86" s="88">
        <f t="shared" si="58"/>
        <v>-24.545541401273937</v>
      </c>
      <c r="R86" s="185">
        <f t="shared" si="59"/>
        <v>0.82271187142452917</v>
      </c>
      <c r="S86" s="688"/>
      <c r="T86" s="50">
        <v>0.65486111111111101</v>
      </c>
      <c r="U86" s="50">
        <v>0.76388888888888884</v>
      </c>
      <c r="V86" s="486">
        <v>21</v>
      </c>
      <c r="W86" s="483">
        <f t="shared" si="60"/>
        <v>157.00000000000009</v>
      </c>
      <c r="X86" s="53">
        <v>0.64444444444444449</v>
      </c>
      <c r="Y86" s="53">
        <v>0.65416666666666667</v>
      </c>
      <c r="Z86" s="54"/>
      <c r="AA86" s="54"/>
      <c r="AB86" s="673"/>
      <c r="AC86" s="673"/>
      <c r="AD86" s="500">
        <v>1</v>
      </c>
      <c r="AE86" s="500"/>
      <c r="AF86" s="48">
        <f t="shared" si="61"/>
        <v>-490.91082802547908</v>
      </c>
      <c r="AG86" s="490">
        <f t="shared" si="62"/>
        <v>0.82271187142452906</v>
      </c>
      <c r="AH86" s="688"/>
    </row>
    <row r="87" spans="1:34" ht="19.2" customHeight="1">
      <c r="A87" s="697"/>
      <c r="B87" s="110" t="s">
        <v>122</v>
      </c>
      <c r="C87" s="97"/>
      <c r="D87" s="186" t="s">
        <v>54</v>
      </c>
      <c r="E87" s="43"/>
      <c r="F87" s="350">
        <v>38.479999999999997</v>
      </c>
      <c r="G87" s="44">
        <v>1306.8</v>
      </c>
      <c r="H87" s="84">
        <f t="shared" si="54"/>
        <v>50285.663999999997</v>
      </c>
      <c r="I87" s="486">
        <v>1</v>
      </c>
      <c r="J87" s="87">
        <v>19</v>
      </c>
      <c r="K87" s="57">
        <v>2769</v>
      </c>
      <c r="L87" s="86">
        <v>145.73684210526315</v>
      </c>
      <c r="M87" s="489">
        <v>19</v>
      </c>
      <c r="N87" s="57">
        <f t="shared" si="55"/>
        <v>2375.9999999999968</v>
      </c>
      <c r="O87" s="183">
        <f t="shared" si="56"/>
        <v>125.0526315789472</v>
      </c>
      <c r="P87" s="54">
        <f t="shared" si="57"/>
        <v>0</v>
      </c>
      <c r="Q87" s="88">
        <f t="shared" si="58"/>
        <v>-20.684210526315951</v>
      </c>
      <c r="R87" s="185">
        <f t="shared" si="59"/>
        <v>0.85807150595882875</v>
      </c>
      <c r="S87" s="688"/>
      <c r="T87" s="50">
        <v>0.76944444444444438</v>
      </c>
      <c r="U87" s="50">
        <v>0.79236111111111107</v>
      </c>
      <c r="V87" s="486">
        <v>8</v>
      </c>
      <c r="W87" s="483">
        <f t="shared" si="60"/>
        <v>33.000000000000043</v>
      </c>
      <c r="X87" s="53"/>
      <c r="Y87" s="53"/>
      <c r="Z87" s="54"/>
      <c r="AA87" s="54"/>
      <c r="AB87" s="673"/>
      <c r="AC87" s="673"/>
      <c r="AD87" s="500"/>
      <c r="AE87" s="500">
        <v>1</v>
      </c>
      <c r="AF87" s="48">
        <f t="shared" si="61"/>
        <v>-393.00000000000318</v>
      </c>
      <c r="AG87" s="490">
        <f t="shared" si="62"/>
        <v>0.85807150595882875</v>
      </c>
      <c r="AH87" s="688"/>
    </row>
    <row r="88" spans="1:34" ht="19.2" customHeight="1">
      <c r="A88" s="697"/>
      <c r="B88" s="110" t="s">
        <v>124</v>
      </c>
      <c r="C88" s="496"/>
      <c r="D88" s="186" t="s">
        <v>195</v>
      </c>
      <c r="E88" s="43"/>
      <c r="F88" s="350">
        <v>50.67</v>
      </c>
      <c r="G88" s="57">
        <v>493.91999999999996</v>
      </c>
      <c r="H88" s="84">
        <f t="shared" si="54"/>
        <v>25026.9264</v>
      </c>
      <c r="I88" s="486">
        <v>1</v>
      </c>
      <c r="J88" s="87">
        <v>19</v>
      </c>
      <c r="K88" s="57">
        <v>1500</v>
      </c>
      <c r="L88" s="86">
        <v>78.94736842105263</v>
      </c>
      <c r="M88" s="489">
        <v>19</v>
      </c>
      <c r="N88" s="57">
        <f t="shared" si="55"/>
        <v>1288.4869565217437</v>
      </c>
      <c r="O88" s="183">
        <f t="shared" si="56"/>
        <v>67.815102974828619</v>
      </c>
      <c r="P88" s="54">
        <f t="shared" si="57"/>
        <v>0</v>
      </c>
      <c r="Q88" s="88">
        <f t="shared" si="58"/>
        <v>-11.132265446224011</v>
      </c>
      <c r="R88" s="185">
        <f t="shared" si="59"/>
        <v>0.85899130434782922</v>
      </c>
      <c r="S88" s="688"/>
      <c r="T88" s="50">
        <v>0.79722222222222217</v>
      </c>
      <c r="U88" s="50">
        <v>0.81319444444444433</v>
      </c>
      <c r="V88" s="486">
        <v>7</v>
      </c>
      <c r="W88" s="483">
        <f t="shared" si="60"/>
        <v>22.999999999999918</v>
      </c>
      <c r="X88" s="53"/>
      <c r="Y88" s="53"/>
      <c r="Z88" s="54"/>
      <c r="AA88" s="54"/>
      <c r="AB88" s="673"/>
      <c r="AC88" s="673"/>
      <c r="AD88" s="500"/>
      <c r="AE88" s="500"/>
      <c r="AF88" s="48">
        <f t="shared" si="61"/>
        <v>-211.51304347825635</v>
      </c>
      <c r="AG88" s="490">
        <f t="shared" si="62"/>
        <v>0.85899130434782911</v>
      </c>
      <c r="AH88" s="688"/>
    </row>
    <row r="89" spans="1:34" ht="19.2" customHeight="1">
      <c r="A89" s="697"/>
      <c r="B89" s="110" t="s">
        <v>124</v>
      </c>
      <c r="C89" s="496"/>
      <c r="D89" s="42" t="s">
        <v>173</v>
      </c>
      <c r="E89" s="43"/>
      <c r="F89" s="350">
        <v>49.91</v>
      </c>
      <c r="G89" s="114">
        <v>464.90000000000003</v>
      </c>
      <c r="H89" s="84">
        <f t="shared" si="54"/>
        <v>23203.159</v>
      </c>
      <c r="I89" s="486">
        <v>1</v>
      </c>
      <c r="J89" s="87">
        <v>17</v>
      </c>
      <c r="K89" s="57">
        <v>1565</v>
      </c>
      <c r="L89" s="86">
        <v>92.058823529411768</v>
      </c>
      <c r="M89" s="489">
        <v>17</v>
      </c>
      <c r="N89" s="57">
        <f t="shared" si="55"/>
        <v>1394.700000000005</v>
      </c>
      <c r="O89" s="183">
        <f t="shared" si="56"/>
        <v>82.041176470588539</v>
      </c>
      <c r="P89" s="54">
        <f t="shared" si="57"/>
        <v>0</v>
      </c>
      <c r="Q89" s="88">
        <f t="shared" si="58"/>
        <v>-10.017647058823229</v>
      </c>
      <c r="R89" s="185">
        <f t="shared" si="59"/>
        <v>0.8911821086262014</v>
      </c>
      <c r="S89" s="688"/>
      <c r="T89" s="50">
        <v>0.81736111111111098</v>
      </c>
      <c r="U89" s="50">
        <v>0.83124999999999982</v>
      </c>
      <c r="V89" s="486">
        <v>6</v>
      </c>
      <c r="W89" s="483">
        <f t="shared" si="60"/>
        <v>19.999999999999929</v>
      </c>
      <c r="X89" s="53"/>
      <c r="Y89" s="53"/>
      <c r="Z89" s="54"/>
      <c r="AA89" s="54"/>
      <c r="AB89" s="673"/>
      <c r="AC89" s="673"/>
      <c r="AD89" s="500"/>
      <c r="AE89" s="500"/>
      <c r="AF89" s="48">
        <f t="shared" si="61"/>
        <v>-170.29999999999495</v>
      </c>
      <c r="AG89" s="490">
        <f t="shared" si="62"/>
        <v>0.89118210862620129</v>
      </c>
      <c r="AH89" s="688"/>
    </row>
    <row r="90" spans="1:34" ht="19.2" customHeight="1">
      <c r="A90" s="697"/>
      <c r="B90" s="110">
        <v>0</v>
      </c>
      <c r="C90" s="496"/>
      <c r="D90" s="42"/>
      <c r="E90" s="43"/>
      <c r="F90" s="350" t="s">
        <v>128</v>
      </c>
      <c r="G90" s="127"/>
      <c r="H90" s="84">
        <f t="shared" si="54"/>
        <v>0</v>
      </c>
      <c r="I90" s="187"/>
      <c r="J90" s="87"/>
      <c r="K90" s="57"/>
      <c r="L90" s="86"/>
      <c r="M90" s="489"/>
      <c r="N90" s="57"/>
      <c r="O90" s="183"/>
      <c r="P90" s="54"/>
      <c r="Q90" s="88"/>
      <c r="R90" s="185"/>
      <c r="S90" s="688"/>
      <c r="T90" s="50"/>
      <c r="U90" s="50"/>
      <c r="V90" s="486"/>
      <c r="W90" s="483">
        <f t="shared" si="60"/>
        <v>0</v>
      </c>
      <c r="X90" s="188"/>
      <c r="Y90" s="188"/>
      <c r="Z90" s="54"/>
      <c r="AA90" s="54"/>
      <c r="AB90" s="673"/>
      <c r="AC90" s="673"/>
      <c r="AD90" s="500"/>
      <c r="AE90" s="500"/>
      <c r="AF90" s="48">
        <f t="shared" si="61"/>
        <v>0</v>
      </c>
      <c r="AG90" s="490" t="e">
        <f t="shared" si="62"/>
        <v>#DIV/0!</v>
      </c>
      <c r="AH90" s="688"/>
    </row>
    <row r="91" spans="1:34" ht="19.2" customHeight="1">
      <c r="A91" s="697"/>
      <c r="B91" s="110">
        <v>0</v>
      </c>
      <c r="C91" s="496"/>
      <c r="D91" s="42"/>
      <c r="E91" s="43"/>
      <c r="F91" s="350" t="s">
        <v>128</v>
      </c>
      <c r="G91" s="44"/>
      <c r="H91" s="84">
        <f t="shared" si="54"/>
        <v>0</v>
      </c>
      <c r="I91" s="189"/>
      <c r="J91" s="87"/>
      <c r="K91" s="57"/>
      <c r="L91" s="86"/>
      <c r="M91" s="489"/>
      <c r="N91" s="57"/>
      <c r="O91" s="183"/>
      <c r="P91" s="54"/>
      <c r="Q91" s="88"/>
      <c r="R91" s="185"/>
      <c r="S91" s="689"/>
      <c r="T91" s="50"/>
      <c r="U91" s="50"/>
      <c r="V91" s="486"/>
      <c r="W91" s="483">
        <f t="shared" si="60"/>
        <v>0</v>
      </c>
      <c r="X91" s="115"/>
      <c r="Y91" s="115"/>
      <c r="Z91" s="54"/>
      <c r="AA91" s="54"/>
      <c r="AB91" s="673"/>
      <c r="AC91" s="673"/>
      <c r="AD91" s="500"/>
      <c r="AE91" s="500"/>
      <c r="AF91" s="48">
        <f t="shared" si="61"/>
        <v>0</v>
      </c>
      <c r="AG91" s="490" t="e">
        <f t="shared" si="62"/>
        <v>#DIV/0!</v>
      </c>
      <c r="AH91" s="689"/>
    </row>
    <row r="92" spans="1:34" ht="19.2" customHeight="1">
      <c r="A92" s="697"/>
      <c r="B92" s="110">
        <v>0</v>
      </c>
      <c r="C92" s="496"/>
      <c r="D92" s="42"/>
      <c r="E92" s="43"/>
      <c r="F92" s="350" t="s">
        <v>128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98"/>
      <c r="S92" s="689"/>
      <c r="T92" s="50"/>
      <c r="U92" s="50"/>
      <c r="V92" s="486"/>
      <c r="W92" s="483">
        <f t="shared" si="60"/>
        <v>0</v>
      </c>
      <c r="X92" s="180"/>
      <c r="Y92" s="180"/>
      <c r="Z92" s="124"/>
      <c r="AA92" s="124"/>
      <c r="AB92" s="673"/>
      <c r="AC92" s="673"/>
      <c r="AD92" s="500"/>
      <c r="AE92" s="500"/>
      <c r="AF92" s="48">
        <f t="shared" si="61"/>
        <v>0</v>
      </c>
      <c r="AG92" s="490" t="e">
        <f t="shared" si="62"/>
        <v>#DIV/0!</v>
      </c>
      <c r="AH92" s="689"/>
    </row>
    <row r="93" spans="1:34" ht="19.2" customHeight="1">
      <c r="A93" s="697"/>
      <c r="B93" s="487">
        <v>0</v>
      </c>
      <c r="C93" s="195"/>
      <c r="D93" s="59"/>
      <c r="E93" s="60"/>
      <c r="F93" s="350" t="s">
        <v>128</v>
      </c>
      <c r="G93" s="44"/>
      <c r="H93" s="84">
        <f t="shared" si="54"/>
        <v>0</v>
      </c>
      <c r="I93" s="196"/>
      <c r="J93" s="87"/>
      <c r="K93" s="57"/>
      <c r="L93" s="192"/>
      <c r="M93" s="489"/>
      <c r="N93" s="57"/>
      <c r="O93" s="86"/>
      <c r="P93" s="54"/>
      <c r="Q93" s="88"/>
      <c r="R93" s="493"/>
      <c r="S93" s="698"/>
      <c r="T93" s="63"/>
      <c r="U93" s="63"/>
      <c r="V93" s="487"/>
      <c r="W93" s="483">
        <f t="shared" si="60"/>
        <v>0</v>
      </c>
      <c r="X93" s="197"/>
      <c r="Y93" s="197"/>
      <c r="Z93" s="124"/>
      <c r="AA93" s="124"/>
      <c r="AB93" s="673"/>
      <c r="AC93" s="673"/>
      <c r="AD93" s="500"/>
      <c r="AE93" s="500"/>
      <c r="AF93" s="48">
        <f t="shared" si="61"/>
        <v>0</v>
      </c>
      <c r="AG93" s="490" t="e">
        <f t="shared" si="62"/>
        <v>#DIV/0!</v>
      </c>
      <c r="AH93" s="689"/>
    </row>
    <row r="94" spans="1:34" ht="19.2" customHeight="1">
      <c r="A94" s="697"/>
      <c r="B94" s="487">
        <v>0</v>
      </c>
      <c r="C94" s="195"/>
      <c r="D94" s="42"/>
      <c r="E94" s="43"/>
      <c r="F94" s="350" t="s">
        <v>128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93"/>
      <c r="S94" s="698"/>
      <c r="T94" s="63"/>
      <c r="U94" s="63"/>
      <c r="V94" s="487"/>
      <c r="W94" s="483">
        <f>(U94-T94)*24*60</f>
        <v>0</v>
      </c>
      <c r="X94" s="197"/>
      <c r="Y94" s="197"/>
      <c r="Z94" s="124"/>
      <c r="AA94" s="124"/>
      <c r="AB94" s="673"/>
      <c r="AC94" s="673"/>
      <c r="AD94" s="500"/>
      <c r="AE94" s="500"/>
      <c r="AF94" s="48">
        <f t="shared" si="61"/>
        <v>0</v>
      </c>
      <c r="AG94" s="490" t="e">
        <f t="shared" si="62"/>
        <v>#DIV/0!</v>
      </c>
      <c r="AH94" s="689"/>
    </row>
    <row r="95" spans="1:34" ht="19.2" customHeight="1">
      <c r="A95" s="697"/>
      <c r="B95" s="200">
        <v>0</v>
      </c>
      <c r="C95" s="100" t="s">
        <v>522</v>
      </c>
      <c r="D95" s="669" t="s">
        <v>455</v>
      </c>
      <c r="E95" s="669"/>
      <c r="F95" s="344"/>
      <c r="G95" s="70"/>
      <c r="H95" s="201"/>
      <c r="I95" s="103"/>
      <c r="J95" s="202">
        <v>18.285714285714285</v>
      </c>
      <c r="K95" s="202">
        <v>1854.7142857142858</v>
      </c>
      <c r="L95" s="203">
        <v>100.50745245466608</v>
      </c>
      <c r="M95" s="202">
        <f t="shared" ref="M95:O95" si="63">AVERAGE(M83:M94)</f>
        <v>18.285714285714285</v>
      </c>
      <c r="N95" s="202">
        <f t="shared" si="63"/>
        <v>1613.9393026278935</v>
      </c>
      <c r="O95" s="203">
        <f t="shared" si="63"/>
        <v>87.637937626765492</v>
      </c>
      <c r="P95" s="204">
        <f>M95-J95</f>
        <v>0</v>
      </c>
      <c r="Q95" s="205">
        <f t="shared" ref="Q95:Q103" si="64">O95-L95</f>
        <v>-12.869514827900588</v>
      </c>
      <c r="R95" s="206">
        <f>O95/L95</f>
        <v>0.87195462113911015</v>
      </c>
      <c r="S95" s="689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673"/>
      <c r="AC95" s="673"/>
      <c r="AD95" s="107">
        <f>SUM(AD83:AD94)</f>
        <v>1</v>
      </c>
      <c r="AE95" s="107">
        <f>SUM(AE83:AE94)</f>
        <v>1</v>
      </c>
      <c r="AF95" s="65">
        <f t="shared" si="61"/>
        <v>-240.77498308639224</v>
      </c>
      <c r="AG95" s="491">
        <f t="shared" si="62"/>
        <v>0.87018217040709034</v>
      </c>
      <c r="AH95" s="689"/>
    </row>
    <row r="96" spans="1:34" ht="19.2" customHeight="1">
      <c r="A96" s="699" t="s">
        <v>523</v>
      </c>
      <c r="B96" s="486" t="s">
        <v>125</v>
      </c>
      <c r="C96" s="97"/>
      <c r="D96" s="42" t="s">
        <v>200</v>
      </c>
      <c r="E96" s="43"/>
      <c r="F96" s="343">
        <v>29.46</v>
      </c>
      <c r="G96" s="44">
        <v>1615</v>
      </c>
      <c r="H96" s="45">
        <f t="shared" ref="H96:H105" si="65">F96*G96</f>
        <v>47577.9</v>
      </c>
      <c r="I96" s="486"/>
      <c r="J96" s="46">
        <v>16</v>
      </c>
      <c r="K96" s="44">
        <v>1385</v>
      </c>
      <c r="L96" s="47">
        <v>86.5625</v>
      </c>
      <c r="M96" s="484">
        <v>16</v>
      </c>
      <c r="N96" s="44">
        <f t="shared" ref="N96:N103" si="66">G96/W96*60</f>
        <v>1113.7931034482756</v>
      </c>
      <c r="O96" s="47">
        <f t="shared" ref="O96:O103" si="67">N96/M96</f>
        <v>69.612068965517224</v>
      </c>
      <c r="P96" s="48">
        <f t="shared" ref="P96:P103" si="68">M96-J96</f>
        <v>0</v>
      </c>
      <c r="Q96" s="49">
        <f t="shared" si="64"/>
        <v>-16.950431034482776</v>
      </c>
      <c r="R96" s="490">
        <f t="shared" ref="R96:R103" si="69">O96/L96</f>
        <v>0.80418274617204011</v>
      </c>
      <c r="S96" s="688">
        <f>R108</f>
        <v>0.88069949982703999</v>
      </c>
      <c r="T96" s="89">
        <v>0.33333333333333331</v>
      </c>
      <c r="U96" s="89">
        <v>0.39374999999999999</v>
      </c>
      <c r="V96" s="500">
        <v>5</v>
      </c>
      <c r="W96" s="90">
        <f t="shared" ref="W96:W133" si="70">(U96-T96)*24*60</f>
        <v>87.000000000000014</v>
      </c>
      <c r="X96" s="96"/>
      <c r="Y96" s="96"/>
      <c r="Z96" s="54"/>
      <c r="AA96" s="54"/>
      <c r="AB96" s="673"/>
      <c r="AC96" s="673"/>
      <c r="AD96" s="500"/>
      <c r="AE96" s="500"/>
      <c r="AF96" s="54">
        <f t="shared" si="61"/>
        <v>-271.20689655172441</v>
      </c>
      <c r="AG96" s="493">
        <f t="shared" si="62"/>
        <v>0.80418274617204011</v>
      </c>
      <c r="AH96" s="672">
        <f>AG108</f>
        <v>0.87217332412709758</v>
      </c>
    </row>
    <row r="97" spans="1:34" s="215" customFormat="1" ht="19.2" customHeight="1">
      <c r="A97" s="699"/>
      <c r="B97" s="486" t="s">
        <v>125</v>
      </c>
      <c r="C97" s="207"/>
      <c r="D97" s="208" t="s">
        <v>63</v>
      </c>
      <c r="E97" s="56"/>
      <c r="F97" s="354">
        <v>29.113149847094796</v>
      </c>
      <c r="G97" s="209">
        <v>2864</v>
      </c>
      <c r="H97" s="210">
        <f t="shared" si="65"/>
        <v>83380.061162079495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1311.7557251908397</v>
      </c>
      <c r="O97" s="47">
        <f t="shared" si="67"/>
        <v>65.587786259541986</v>
      </c>
      <c r="P97" s="48">
        <f t="shared" si="68"/>
        <v>0</v>
      </c>
      <c r="Q97" s="49">
        <f t="shared" si="64"/>
        <v>-3.6622137404580144</v>
      </c>
      <c r="R97" s="490">
        <f t="shared" si="69"/>
        <v>0.94711604706919839</v>
      </c>
      <c r="S97" s="688"/>
      <c r="T97" s="211">
        <v>0.40972222222222221</v>
      </c>
      <c r="U97" s="211">
        <v>0.50069444444444444</v>
      </c>
      <c r="V97" s="212">
        <v>23</v>
      </c>
      <c r="W97" s="90">
        <f t="shared" si="70"/>
        <v>131</v>
      </c>
      <c r="X97" s="53">
        <v>0.39861111111111108</v>
      </c>
      <c r="Y97" s="53">
        <v>0.40833333333333338</v>
      </c>
      <c r="Z97" s="54"/>
      <c r="AA97" s="54"/>
      <c r="AB97" s="673"/>
      <c r="AC97" s="673"/>
      <c r="AD97" s="212"/>
      <c r="AE97" s="212"/>
      <c r="AF97" s="213">
        <f t="shared" si="61"/>
        <v>-73.244274809160288</v>
      </c>
      <c r="AG97" s="214">
        <f t="shared" si="62"/>
        <v>0.94711604706919839</v>
      </c>
      <c r="AH97" s="672"/>
    </row>
    <row r="98" spans="1:34" s="218" customFormat="1" ht="19.2" customHeight="1">
      <c r="A98" s="699"/>
      <c r="B98" s="486" t="s">
        <v>123</v>
      </c>
      <c r="C98" s="55"/>
      <c r="D98" s="42" t="s">
        <v>171</v>
      </c>
      <c r="E98" s="83"/>
      <c r="F98" s="354">
        <v>77.349999999999994</v>
      </c>
      <c r="G98" s="57">
        <v>269</v>
      </c>
      <c r="H98" s="210">
        <f t="shared" si="65"/>
        <v>20807.149999999998</v>
      </c>
      <c r="I98" s="500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1076.0000000000039</v>
      </c>
      <c r="O98" s="47">
        <f t="shared" si="67"/>
        <v>59.777777777777992</v>
      </c>
      <c r="P98" s="48">
        <f t="shared" si="68"/>
        <v>-1</v>
      </c>
      <c r="Q98" s="49">
        <f t="shared" si="64"/>
        <v>-16.011695906432529</v>
      </c>
      <c r="R98" s="490">
        <f t="shared" si="69"/>
        <v>0.78873456790123742</v>
      </c>
      <c r="S98" s="688"/>
      <c r="T98" s="89">
        <v>0.54166666666666663</v>
      </c>
      <c r="U98" s="89">
        <v>0.55208333333333326</v>
      </c>
      <c r="V98" s="500">
        <v>6</v>
      </c>
      <c r="W98" s="90">
        <f t="shared" si="70"/>
        <v>14.999999999999947</v>
      </c>
      <c r="X98" s="216"/>
      <c r="Y98" s="216"/>
      <c r="Z98" s="217"/>
      <c r="AA98" s="217"/>
      <c r="AB98" s="673"/>
      <c r="AC98" s="673"/>
      <c r="AD98" s="500"/>
      <c r="AE98" s="500"/>
      <c r="AF98" s="54">
        <f t="shared" si="61"/>
        <v>-363.99999999999613</v>
      </c>
      <c r="AG98" s="493">
        <f t="shared" si="62"/>
        <v>0.7472222222222249</v>
      </c>
      <c r="AH98" s="672"/>
    </row>
    <row r="99" spans="1:34" ht="19.2" customHeight="1">
      <c r="A99" s="699"/>
      <c r="B99" s="486" t="s">
        <v>123</v>
      </c>
      <c r="C99" s="81"/>
      <c r="D99" s="82" t="s">
        <v>57</v>
      </c>
      <c r="E99" s="83"/>
      <c r="F99" s="354">
        <v>77.34</v>
      </c>
      <c r="G99" s="57">
        <v>799</v>
      </c>
      <c r="H99" s="210">
        <f t="shared" si="65"/>
        <v>61794.66</v>
      </c>
      <c r="I99" s="500"/>
      <c r="J99" s="46">
        <v>18</v>
      </c>
      <c r="K99" s="44">
        <v>1440</v>
      </c>
      <c r="L99" s="47">
        <v>80</v>
      </c>
      <c r="M99" s="484">
        <v>18</v>
      </c>
      <c r="N99" s="44">
        <f t="shared" si="66"/>
        <v>1261.5789473684201</v>
      </c>
      <c r="O99" s="47">
        <f t="shared" si="67"/>
        <v>70.08771929824556</v>
      </c>
      <c r="P99" s="48">
        <f t="shared" si="68"/>
        <v>0</v>
      </c>
      <c r="Q99" s="49">
        <f t="shared" si="64"/>
        <v>-9.9122807017544403</v>
      </c>
      <c r="R99" s="490">
        <f t="shared" si="69"/>
        <v>0.87609649122806954</v>
      </c>
      <c r="S99" s="688"/>
      <c r="T99" s="89">
        <v>0.55694444444444435</v>
      </c>
      <c r="U99" s="89">
        <v>0.58333333333333326</v>
      </c>
      <c r="V99" s="500">
        <v>7</v>
      </c>
      <c r="W99" s="90">
        <f t="shared" si="70"/>
        <v>38.000000000000028</v>
      </c>
      <c r="X99" s="180"/>
      <c r="Y99" s="180"/>
      <c r="Z99" s="124"/>
      <c r="AA99" s="124"/>
      <c r="AB99" s="673"/>
      <c r="AC99" s="673"/>
      <c r="AD99" s="500"/>
      <c r="AE99" s="500"/>
      <c r="AF99" s="213">
        <f t="shared" si="61"/>
        <v>-178.42105263157987</v>
      </c>
      <c r="AG99" s="214">
        <f t="shared" si="62"/>
        <v>0.87609649122806954</v>
      </c>
      <c r="AH99" s="672"/>
    </row>
    <row r="100" spans="1:34" s="218" customFormat="1" ht="19.2" customHeight="1">
      <c r="A100" s="699"/>
      <c r="B100" s="486" t="s">
        <v>127</v>
      </c>
      <c r="C100" s="55"/>
      <c r="D100" s="42" t="s">
        <v>209</v>
      </c>
      <c r="E100" s="83"/>
      <c r="F100" s="354">
        <v>51.44</v>
      </c>
      <c r="G100" s="57">
        <v>1663</v>
      </c>
      <c r="H100" s="210">
        <f t="shared" si="65"/>
        <v>85544.72</v>
      </c>
      <c r="I100" s="500"/>
      <c r="J100" s="46">
        <v>20</v>
      </c>
      <c r="K100" s="44">
        <v>1440</v>
      </c>
      <c r="L100" s="47">
        <v>72</v>
      </c>
      <c r="M100" s="87">
        <v>20</v>
      </c>
      <c r="N100" s="44">
        <f t="shared" si="66"/>
        <v>1279.2307692307686</v>
      </c>
      <c r="O100" s="47">
        <f t="shared" si="67"/>
        <v>63.961538461538431</v>
      </c>
      <c r="P100" s="48">
        <f t="shared" si="68"/>
        <v>0</v>
      </c>
      <c r="Q100" s="49">
        <f t="shared" si="64"/>
        <v>-8.0384615384615685</v>
      </c>
      <c r="R100" s="490">
        <f t="shared" si="69"/>
        <v>0.88835470085470047</v>
      </c>
      <c r="S100" s="688"/>
      <c r="T100" s="211">
        <v>0.5888888888888888</v>
      </c>
      <c r="U100" s="211">
        <v>0.64305555555555549</v>
      </c>
      <c r="V100" s="212">
        <v>8</v>
      </c>
      <c r="W100" s="90">
        <f t="shared" si="70"/>
        <v>78.000000000000043</v>
      </c>
      <c r="X100" s="219"/>
      <c r="Y100" s="219"/>
      <c r="Z100" s="217"/>
      <c r="AA100" s="217"/>
      <c r="AB100" s="673"/>
      <c r="AC100" s="673"/>
      <c r="AD100" s="500">
        <v>1</v>
      </c>
      <c r="AE100" s="500"/>
      <c r="AF100" s="54">
        <f t="shared" si="61"/>
        <v>-160.7692307692314</v>
      </c>
      <c r="AG100" s="493">
        <f t="shared" si="62"/>
        <v>0.88835470085470036</v>
      </c>
      <c r="AH100" s="672"/>
    </row>
    <row r="101" spans="1:34" s="218" customFormat="1" ht="19.2" customHeight="1">
      <c r="A101" s="699"/>
      <c r="B101" s="486" t="s">
        <v>125</v>
      </c>
      <c r="C101" s="55"/>
      <c r="D101" s="82" t="s">
        <v>63</v>
      </c>
      <c r="E101" s="83"/>
      <c r="F101" s="354">
        <v>29.113149847094796</v>
      </c>
      <c r="G101" s="57">
        <v>716</v>
      </c>
      <c r="H101" s="210">
        <f t="shared" si="65"/>
        <v>20845.015290519874</v>
      </c>
      <c r="I101" s="500">
        <v>1</v>
      </c>
      <c r="J101" s="46">
        <v>20</v>
      </c>
      <c r="K101" s="44">
        <v>1385</v>
      </c>
      <c r="L101" s="47">
        <v>69.25</v>
      </c>
      <c r="M101" s="87">
        <v>19</v>
      </c>
      <c r="N101" s="44">
        <f t="shared" si="66"/>
        <v>1263.5294117647045</v>
      </c>
      <c r="O101" s="47">
        <f t="shared" si="67"/>
        <v>66.501547987616021</v>
      </c>
      <c r="P101" s="48">
        <f t="shared" si="68"/>
        <v>-1</v>
      </c>
      <c r="Q101" s="49">
        <f t="shared" si="64"/>
        <v>-2.7484520123839786</v>
      </c>
      <c r="R101" s="490">
        <f t="shared" si="69"/>
        <v>0.96031116227604363</v>
      </c>
      <c r="S101" s="688"/>
      <c r="T101" s="211">
        <v>0.65833333333333321</v>
      </c>
      <c r="U101" s="89">
        <v>0.68194444444444435</v>
      </c>
      <c r="V101" s="212">
        <v>22</v>
      </c>
      <c r="W101" s="90">
        <f t="shared" si="70"/>
        <v>34.000000000000043</v>
      </c>
      <c r="X101" s="220">
        <v>0.64722222222222225</v>
      </c>
      <c r="Y101" s="220">
        <v>0.65694444444444444</v>
      </c>
      <c r="Z101" s="217"/>
      <c r="AA101" s="217"/>
      <c r="AB101" s="673"/>
      <c r="AC101" s="673"/>
      <c r="AD101" s="500"/>
      <c r="AE101" s="500"/>
      <c r="AF101" s="213">
        <f t="shared" si="61"/>
        <v>-121.47058823529551</v>
      </c>
      <c r="AG101" s="214">
        <f t="shared" si="62"/>
        <v>0.91229560416224154</v>
      </c>
      <c r="AH101" s="672"/>
    </row>
    <row r="102" spans="1:34" s="218" customFormat="1" ht="19.2" customHeight="1">
      <c r="A102" s="699"/>
      <c r="B102" s="486" t="s">
        <v>126</v>
      </c>
      <c r="C102" s="175"/>
      <c r="D102" s="176" t="s">
        <v>206</v>
      </c>
      <c r="E102" s="177"/>
      <c r="F102" s="354">
        <v>30.13</v>
      </c>
      <c r="G102" s="57">
        <v>1887.1999999999998</v>
      </c>
      <c r="H102" s="210">
        <f t="shared" si="65"/>
        <v>56861.335999999996</v>
      </c>
      <c r="I102" s="486">
        <v>1</v>
      </c>
      <c r="J102" s="46">
        <v>18</v>
      </c>
      <c r="K102" s="44">
        <v>1200</v>
      </c>
      <c r="L102" s="47">
        <v>66.666666666666671</v>
      </c>
      <c r="M102" s="87">
        <v>18</v>
      </c>
      <c r="N102" s="44">
        <f t="shared" si="66"/>
        <v>1167.3402061855672</v>
      </c>
      <c r="O102" s="47">
        <f t="shared" si="67"/>
        <v>64.852233676975956</v>
      </c>
      <c r="P102" s="48">
        <f t="shared" si="68"/>
        <v>0</v>
      </c>
      <c r="Q102" s="49">
        <f t="shared" si="64"/>
        <v>-1.8144329896907152</v>
      </c>
      <c r="R102" s="490">
        <f t="shared" si="69"/>
        <v>0.97278350515463929</v>
      </c>
      <c r="S102" s="688"/>
      <c r="T102" s="211">
        <v>0.68749999999999989</v>
      </c>
      <c r="U102" s="211">
        <v>0.75486111111111098</v>
      </c>
      <c r="V102" s="212">
        <v>8</v>
      </c>
      <c r="W102" s="90">
        <f t="shared" si="70"/>
        <v>96.999999999999972</v>
      </c>
      <c r="X102" s="220"/>
      <c r="Y102" s="220"/>
      <c r="Z102" s="217"/>
      <c r="AA102" s="217"/>
      <c r="AB102" s="673"/>
      <c r="AC102" s="673"/>
      <c r="AD102" s="500"/>
      <c r="AE102" s="500"/>
      <c r="AF102" s="54">
        <f t="shared" si="61"/>
        <v>-32.65979381443276</v>
      </c>
      <c r="AG102" s="493">
        <f t="shared" si="62"/>
        <v>0.97278350515463941</v>
      </c>
      <c r="AH102" s="672"/>
    </row>
    <row r="103" spans="1:34" s="218" customFormat="1" ht="19.2" customHeight="1">
      <c r="A103" s="699"/>
      <c r="B103" s="486" t="s">
        <v>124</v>
      </c>
      <c r="C103" s="221"/>
      <c r="D103" s="82" t="s">
        <v>205</v>
      </c>
      <c r="E103" s="83"/>
      <c r="F103" s="354">
        <v>49.91</v>
      </c>
      <c r="G103" s="57">
        <v>532</v>
      </c>
      <c r="H103" s="210">
        <f t="shared" si="65"/>
        <v>26552.12</v>
      </c>
      <c r="I103" s="222">
        <v>1</v>
      </c>
      <c r="J103" s="46">
        <v>17</v>
      </c>
      <c r="K103" s="44">
        <v>1565</v>
      </c>
      <c r="L103" s="47">
        <v>92.058823529411768</v>
      </c>
      <c r="M103" s="87">
        <v>17</v>
      </c>
      <c r="N103" s="44">
        <f t="shared" si="66"/>
        <v>1329.9999999999959</v>
      </c>
      <c r="O103" s="47">
        <f t="shared" si="67"/>
        <v>78.235294117646816</v>
      </c>
      <c r="P103" s="48">
        <f t="shared" si="68"/>
        <v>0</v>
      </c>
      <c r="Q103" s="49">
        <f t="shared" si="64"/>
        <v>-13.823529411764952</v>
      </c>
      <c r="R103" s="490">
        <f t="shared" si="69"/>
        <v>0.8498402555910517</v>
      </c>
      <c r="S103" s="688"/>
      <c r="T103" s="211">
        <v>0.75972222222222208</v>
      </c>
      <c r="U103" s="211">
        <v>0.7763888888888888</v>
      </c>
      <c r="V103" s="212">
        <v>7</v>
      </c>
      <c r="W103" s="90">
        <f t="shared" si="70"/>
        <v>24.000000000000075</v>
      </c>
      <c r="X103" s="220"/>
      <c r="Y103" s="220"/>
      <c r="Z103" s="217"/>
      <c r="AA103" s="217"/>
      <c r="AB103" s="673"/>
      <c r="AC103" s="673"/>
      <c r="AD103" s="500"/>
      <c r="AE103" s="500"/>
      <c r="AF103" s="54">
        <f t="shared" si="61"/>
        <v>-235.00000000000409</v>
      </c>
      <c r="AG103" s="493">
        <f t="shared" si="62"/>
        <v>0.8498402555910517</v>
      </c>
      <c r="AH103" s="672"/>
    </row>
    <row r="104" spans="1:34" s="218" customFormat="1" ht="19.2" customHeight="1">
      <c r="A104" s="699"/>
      <c r="B104" s="486">
        <v>0</v>
      </c>
      <c r="C104" s="223"/>
      <c r="D104" s="82"/>
      <c r="E104" s="83"/>
      <c r="F104" s="354" t="s">
        <v>128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490"/>
      <c r="S104" s="689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673"/>
      <c r="AC104" s="673"/>
      <c r="AD104" s="500"/>
      <c r="AE104" s="500"/>
      <c r="AF104" s="213">
        <f t="shared" si="61"/>
        <v>0</v>
      </c>
      <c r="AG104" s="214" t="e">
        <f t="shared" si="62"/>
        <v>#DIV/0!</v>
      </c>
      <c r="AH104" s="672"/>
    </row>
    <row r="105" spans="1:34" s="218" customFormat="1" ht="19.2" customHeight="1">
      <c r="A105" s="699"/>
      <c r="B105" s="486">
        <v>0</v>
      </c>
      <c r="C105" s="223"/>
      <c r="D105" s="82"/>
      <c r="E105" s="83"/>
      <c r="F105" s="354" t="s">
        <v>128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90"/>
      <c r="S105" s="689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673"/>
      <c r="AC105" s="673"/>
      <c r="AD105" s="500"/>
      <c r="AE105" s="500"/>
      <c r="AF105" s="54">
        <f t="shared" si="61"/>
        <v>0</v>
      </c>
      <c r="AG105" s="493" t="e">
        <f t="shared" si="62"/>
        <v>#DIV/0!</v>
      </c>
      <c r="AH105" s="672"/>
    </row>
    <row r="106" spans="1:34" s="218" customFormat="1" ht="19.2" customHeight="1">
      <c r="A106" s="699"/>
      <c r="B106" s="221">
        <v>0</v>
      </c>
      <c r="C106" s="223"/>
      <c r="D106" s="82"/>
      <c r="E106" s="83"/>
      <c r="F106" s="343" t="s">
        <v>128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490"/>
      <c r="S106" s="698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673"/>
      <c r="AC106" s="673"/>
      <c r="AD106" s="500"/>
      <c r="AE106" s="500"/>
      <c r="AF106" s="54">
        <f t="shared" si="61"/>
        <v>0</v>
      </c>
      <c r="AG106" s="493" t="e">
        <f t="shared" si="62"/>
        <v>#DIV/0!</v>
      </c>
      <c r="AH106" s="672"/>
    </row>
    <row r="107" spans="1:34" s="218" customFormat="1" ht="19.2" customHeight="1">
      <c r="A107" s="699"/>
      <c r="B107" s="221">
        <v>0</v>
      </c>
      <c r="C107" s="223"/>
      <c r="D107" s="82"/>
      <c r="E107" s="83"/>
      <c r="F107" s="343" t="s">
        <v>128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93"/>
      <c r="S107" s="698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673"/>
      <c r="AC107" s="673"/>
      <c r="AD107" s="500"/>
      <c r="AE107" s="500"/>
      <c r="AF107" s="217"/>
      <c r="AG107" s="493"/>
      <c r="AH107" s="672"/>
    </row>
    <row r="108" spans="1:34" ht="19.2" customHeight="1">
      <c r="A108" s="699"/>
      <c r="B108" s="110">
        <v>0</v>
      </c>
      <c r="C108" s="100" t="s">
        <v>524</v>
      </c>
      <c r="D108" s="669" t="s">
        <v>455</v>
      </c>
      <c r="E108" s="669"/>
      <c r="F108" s="355"/>
      <c r="G108" s="101"/>
      <c r="H108" s="102"/>
      <c r="I108" s="103"/>
      <c r="J108" s="101">
        <v>18.5</v>
      </c>
      <c r="K108" s="101">
        <v>1405</v>
      </c>
      <c r="L108" s="104">
        <v>76.447182985036108</v>
      </c>
      <c r="M108" s="101">
        <f t="shared" ref="M108:O108" si="71">AVERAGE(M96:M107)</f>
        <v>18.25</v>
      </c>
      <c r="N108" s="101">
        <f t="shared" si="71"/>
        <v>1225.403520398572</v>
      </c>
      <c r="O108" s="104">
        <f t="shared" si="71"/>
        <v>67.326995818107505</v>
      </c>
      <c r="P108" s="54">
        <f t="shared" ref="P108:P117" si="72">M108-J108</f>
        <v>-0.25</v>
      </c>
      <c r="Q108" s="88">
        <f t="shared" ref="Q108:Q117" si="73">O108-L108</f>
        <v>-9.1201871669286021</v>
      </c>
      <c r="R108" s="105">
        <f t="shared" ref="R108:R117" si="74">O108/L108</f>
        <v>0.88069949982703999</v>
      </c>
      <c r="S108" s="689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673"/>
      <c r="AC108" s="673"/>
      <c r="AD108" s="107">
        <f>SUM(AD96:AD107)</f>
        <v>1</v>
      </c>
      <c r="AE108" s="107">
        <f>SUM(AE96:AE107)</f>
        <v>0</v>
      </c>
      <c r="AF108" s="54">
        <f t="shared" si="61"/>
        <v>-179.59647960142797</v>
      </c>
      <c r="AG108" s="493">
        <f t="shared" si="62"/>
        <v>0.87217332412709758</v>
      </c>
      <c r="AH108" s="672"/>
    </row>
    <row r="109" spans="1:34" ht="19.2" customHeight="1">
      <c r="A109" s="690" t="s">
        <v>525</v>
      </c>
      <c r="B109" s="486" t="s">
        <v>126</v>
      </c>
      <c r="C109" s="496"/>
      <c r="D109" s="390" t="s">
        <v>207</v>
      </c>
      <c r="E109" s="43"/>
      <c r="F109" s="343">
        <v>29.965493443754308</v>
      </c>
      <c r="G109" s="44">
        <v>2024</v>
      </c>
      <c r="H109" s="45">
        <f t="shared" ref="H109:H119" si="75">F109*G109</f>
        <v>60650.158730158721</v>
      </c>
      <c r="I109" s="486"/>
      <c r="J109" s="46">
        <v>18</v>
      </c>
      <c r="K109" s="44">
        <v>1200</v>
      </c>
      <c r="L109" s="47">
        <v>66.666666666666671</v>
      </c>
      <c r="M109" s="484">
        <v>20</v>
      </c>
      <c r="N109" s="44">
        <f t="shared" ref="N109:N117" si="76">G109/W109*60</f>
        <v>1226.666666666667</v>
      </c>
      <c r="O109" s="47">
        <f t="shared" ref="O109:O117" si="77">N109/M109</f>
        <v>61.33333333333335</v>
      </c>
      <c r="P109" s="48">
        <f t="shared" si="72"/>
        <v>2</v>
      </c>
      <c r="Q109" s="49">
        <f t="shared" si="73"/>
        <v>-5.3333333333333215</v>
      </c>
      <c r="R109" s="490">
        <f t="shared" si="74"/>
        <v>0.92000000000000015</v>
      </c>
      <c r="S109" s="693">
        <f>R121</f>
        <v>0.89806857299307141</v>
      </c>
      <c r="T109" s="226">
        <v>0.5</v>
      </c>
      <c r="U109" s="226">
        <v>0.56874999999999998</v>
      </c>
      <c r="V109" s="227">
        <v>5</v>
      </c>
      <c r="W109" s="483">
        <f t="shared" si="70"/>
        <v>98.999999999999972</v>
      </c>
      <c r="X109" s="53"/>
      <c r="Y109" s="53"/>
      <c r="Z109" s="54"/>
      <c r="AA109" s="54"/>
      <c r="AB109" s="673"/>
      <c r="AC109" s="673"/>
      <c r="AD109" s="500"/>
      <c r="AE109" s="500"/>
      <c r="AF109" s="48">
        <f t="shared" si="61"/>
        <v>26.66666666666697</v>
      </c>
      <c r="AG109" s="125">
        <f t="shared" si="62"/>
        <v>1.0222222222222224</v>
      </c>
      <c r="AH109" s="672">
        <f>AG121</f>
        <v>0.92038943080425595</v>
      </c>
    </row>
    <row r="110" spans="1:34" ht="19.2" customHeight="1">
      <c r="A110" s="691"/>
      <c r="B110" s="486" t="s">
        <v>123</v>
      </c>
      <c r="C110" s="175"/>
      <c r="D110" s="42" t="s">
        <v>56</v>
      </c>
      <c r="E110" s="177"/>
      <c r="F110" s="343">
        <v>71.55</v>
      </c>
      <c r="G110" s="174">
        <v>797</v>
      </c>
      <c r="H110" s="45">
        <f t="shared" si="75"/>
        <v>57025.35</v>
      </c>
      <c r="I110" s="486"/>
      <c r="J110" s="46">
        <v>18</v>
      </c>
      <c r="K110" s="44">
        <v>1385</v>
      </c>
      <c r="L110" s="47">
        <v>76.944444444444443</v>
      </c>
      <c r="M110" s="484">
        <v>19</v>
      </c>
      <c r="N110" s="44">
        <f t="shared" si="76"/>
        <v>1292.4324324324314</v>
      </c>
      <c r="O110" s="47">
        <f t="shared" si="77"/>
        <v>68.022759601706909</v>
      </c>
      <c r="P110" s="48">
        <f t="shared" si="72"/>
        <v>1</v>
      </c>
      <c r="Q110" s="49">
        <f t="shared" si="73"/>
        <v>-8.9216848427375339</v>
      </c>
      <c r="R110" s="490">
        <f t="shared" si="74"/>
        <v>0.88405030529294182</v>
      </c>
      <c r="S110" s="679"/>
      <c r="T110" s="226">
        <v>0.57430555555555551</v>
      </c>
      <c r="U110" s="226">
        <v>0.6</v>
      </c>
      <c r="V110" s="227">
        <v>8</v>
      </c>
      <c r="W110" s="483">
        <f t="shared" si="70"/>
        <v>37.000000000000028</v>
      </c>
      <c r="X110" s="188"/>
      <c r="Y110" s="188"/>
      <c r="Z110" s="54"/>
      <c r="AA110" s="54"/>
      <c r="AB110" s="673"/>
      <c r="AC110" s="673"/>
      <c r="AD110" s="500"/>
      <c r="AE110" s="500"/>
      <c r="AF110" s="48">
        <f t="shared" si="61"/>
        <v>-92.567567567568631</v>
      </c>
      <c r="AG110" s="125">
        <f t="shared" si="62"/>
        <v>0.93316421114254977</v>
      </c>
      <c r="AH110" s="672"/>
    </row>
    <row r="111" spans="1:34" ht="19.2" customHeight="1">
      <c r="A111" s="691"/>
      <c r="B111" s="486" t="s">
        <v>123</v>
      </c>
      <c r="C111" s="175"/>
      <c r="D111" s="176" t="s">
        <v>58</v>
      </c>
      <c r="E111" s="177"/>
      <c r="F111" s="343">
        <v>59.54</v>
      </c>
      <c r="G111" s="57">
        <v>1408</v>
      </c>
      <c r="H111" s="45">
        <f t="shared" si="75"/>
        <v>83832.319999999992</v>
      </c>
      <c r="I111" s="500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1280.0000000000014</v>
      </c>
      <c r="O111" s="47">
        <f t="shared" si="77"/>
        <v>71.111111111111185</v>
      </c>
      <c r="P111" s="48">
        <f t="shared" si="72"/>
        <v>0</v>
      </c>
      <c r="Q111" s="49">
        <f t="shared" si="73"/>
        <v>-5.8333333333332575</v>
      </c>
      <c r="R111" s="490">
        <f t="shared" si="74"/>
        <v>0.92418772563176999</v>
      </c>
      <c r="S111" s="679"/>
      <c r="T111" s="226">
        <v>0.61597222222222214</v>
      </c>
      <c r="U111" s="226">
        <v>0.66180555555555542</v>
      </c>
      <c r="V111" s="227">
        <v>23</v>
      </c>
      <c r="W111" s="483">
        <f t="shared" si="70"/>
        <v>65.999999999999929</v>
      </c>
      <c r="X111" s="53">
        <v>0.60416666666666663</v>
      </c>
      <c r="Y111" s="53">
        <v>0.61527777777777781</v>
      </c>
      <c r="Z111" s="54"/>
      <c r="AA111" s="54"/>
      <c r="AB111" s="673"/>
      <c r="AC111" s="673"/>
      <c r="AD111" s="500"/>
      <c r="AE111" s="500"/>
      <c r="AF111" s="48">
        <f t="shared" si="61"/>
        <v>-104.99999999999864</v>
      </c>
      <c r="AG111" s="125">
        <f t="shared" si="62"/>
        <v>0.92418772563176999</v>
      </c>
      <c r="AH111" s="672"/>
    </row>
    <row r="112" spans="1:34" ht="19.2" customHeight="1">
      <c r="A112" s="691"/>
      <c r="B112" s="486" t="s">
        <v>127</v>
      </c>
      <c r="C112" s="175"/>
      <c r="D112" s="176" t="s">
        <v>77</v>
      </c>
      <c r="E112" s="83"/>
      <c r="F112" s="343">
        <v>55.56</v>
      </c>
      <c r="G112" s="57">
        <v>1158</v>
      </c>
      <c r="H112" s="45">
        <f t="shared" si="75"/>
        <v>64338.48</v>
      </c>
      <c r="I112" s="500"/>
      <c r="J112" s="46">
        <v>16</v>
      </c>
      <c r="K112" s="44">
        <v>1440</v>
      </c>
      <c r="L112" s="47">
        <v>90</v>
      </c>
      <c r="M112" s="484">
        <v>16</v>
      </c>
      <c r="N112" s="44">
        <f t="shared" si="76"/>
        <v>1336.1538461538469</v>
      </c>
      <c r="O112" s="47">
        <f t="shared" si="77"/>
        <v>83.509615384615429</v>
      </c>
      <c r="P112" s="48">
        <f t="shared" si="72"/>
        <v>0</v>
      </c>
      <c r="Q112" s="49">
        <f t="shared" si="73"/>
        <v>-6.4903846153845706</v>
      </c>
      <c r="R112" s="490">
        <f t="shared" si="74"/>
        <v>0.92788461538461586</v>
      </c>
      <c r="S112" s="679"/>
      <c r="T112" s="226">
        <v>0.70833333333333337</v>
      </c>
      <c r="U112" s="226">
        <v>0.74444444444444446</v>
      </c>
      <c r="V112" s="227">
        <v>5</v>
      </c>
      <c r="W112" s="483">
        <f t="shared" si="70"/>
        <v>51.999999999999972</v>
      </c>
      <c r="X112" s="216"/>
      <c r="Y112" s="216"/>
      <c r="Z112" s="54"/>
      <c r="AA112" s="54"/>
      <c r="AB112" s="673"/>
      <c r="AC112" s="673"/>
      <c r="AD112" s="500"/>
      <c r="AE112" s="500"/>
      <c r="AF112" s="48">
        <f t="shared" si="61"/>
        <v>-103.84615384615313</v>
      </c>
      <c r="AG112" s="125">
        <f t="shared" si="62"/>
        <v>0.92788461538461586</v>
      </c>
      <c r="AH112" s="672"/>
    </row>
    <row r="113" spans="1:34" s="218" customFormat="1" ht="19.2" customHeight="1">
      <c r="A113" s="691"/>
      <c r="B113" s="486" t="s">
        <v>127</v>
      </c>
      <c r="C113" s="175"/>
      <c r="D113" s="176" t="s">
        <v>203</v>
      </c>
      <c r="E113" s="83"/>
      <c r="F113" s="343">
        <v>54.09</v>
      </c>
      <c r="G113" s="57">
        <v>938</v>
      </c>
      <c r="H113" s="45">
        <f t="shared" si="75"/>
        <v>50736.420000000006</v>
      </c>
      <c r="I113" s="500"/>
      <c r="J113" s="46">
        <v>16</v>
      </c>
      <c r="K113" s="44">
        <v>1440</v>
      </c>
      <c r="L113" s="47">
        <v>90</v>
      </c>
      <c r="M113" s="489">
        <v>16</v>
      </c>
      <c r="N113" s="44">
        <f t="shared" si="76"/>
        <v>1308.8372093023254</v>
      </c>
      <c r="O113" s="47">
        <f t="shared" si="77"/>
        <v>81.802325581395337</v>
      </c>
      <c r="P113" s="48">
        <f t="shared" si="72"/>
        <v>0</v>
      </c>
      <c r="Q113" s="49">
        <f t="shared" si="73"/>
        <v>-8.1976744186046631</v>
      </c>
      <c r="R113" s="490">
        <f t="shared" si="74"/>
        <v>0.90891472868217038</v>
      </c>
      <c r="S113" s="679"/>
      <c r="T113" s="226">
        <v>0.74861111111111112</v>
      </c>
      <c r="U113" s="226">
        <v>0.77847222222222223</v>
      </c>
      <c r="V113" s="227">
        <v>6</v>
      </c>
      <c r="W113" s="483">
        <f t="shared" si="70"/>
        <v>43.000000000000007</v>
      </c>
      <c r="X113" s="216"/>
      <c r="Y113" s="216"/>
      <c r="Z113" s="217"/>
      <c r="AA113" s="217"/>
      <c r="AB113" s="673"/>
      <c r="AC113" s="673"/>
      <c r="AD113" s="221"/>
      <c r="AE113" s="221"/>
      <c r="AF113" s="48">
        <f t="shared" si="61"/>
        <v>-131.16279069767461</v>
      </c>
      <c r="AG113" s="125">
        <f t="shared" si="62"/>
        <v>0.90891472868217038</v>
      </c>
      <c r="AH113" s="672"/>
    </row>
    <row r="114" spans="1:34" s="218" customFormat="1" ht="19.2" customHeight="1">
      <c r="A114" s="691"/>
      <c r="B114" s="486" t="s">
        <v>127</v>
      </c>
      <c r="C114" s="175"/>
      <c r="D114" s="176" t="s">
        <v>208</v>
      </c>
      <c r="E114" s="43"/>
      <c r="F114" s="343">
        <v>52.21</v>
      </c>
      <c r="G114" s="44">
        <v>1007</v>
      </c>
      <c r="H114" s="45">
        <f t="shared" si="75"/>
        <v>52575.47</v>
      </c>
      <c r="I114" s="500"/>
      <c r="J114" s="46">
        <v>17</v>
      </c>
      <c r="K114" s="44">
        <v>1440</v>
      </c>
      <c r="L114" s="47">
        <v>84.705882352941174</v>
      </c>
      <c r="M114" s="489">
        <v>17</v>
      </c>
      <c r="N114" s="44">
        <f t="shared" si="76"/>
        <v>1342.6666666666665</v>
      </c>
      <c r="O114" s="47">
        <f t="shared" si="77"/>
        <v>78.980392156862735</v>
      </c>
      <c r="P114" s="48">
        <f t="shared" si="72"/>
        <v>0</v>
      </c>
      <c r="Q114" s="49">
        <f t="shared" si="73"/>
        <v>-5.7254901960784395</v>
      </c>
      <c r="R114" s="490">
        <f t="shared" si="74"/>
        <v>0.93240740740740735</v>
      </c>
      <c r="S114" s="679"/>
      <c r="T114" s="226">
        <v>0.78333333333333333</v>
      </c>
      <c r="U114" s="226">
        <v>0.81458333333333333</v>
      </c>
      <c r="V114" s="227">
        <v>7</v>
      </c>
      <c r="W114" s="483">
        <f t="shared" si="70"/>
        <v>45</v>
      </c>
      <c r="X114" s="216"/>
      <c r="Y114" s="216"/>
      <c r="Z114" s="217"/>
      <c r="AA114" s="217"/>
      <c r="AB114" s="673"/>
      <c r="AC114" s="673"/>
      <c r="AD114" s="221"/>
      <c r="AE114" s="221"/>
      <c r="AF114" s="48">
        <f t="shared" si="61"/>
        <v>-97.333333333333485</v>
      </c>
      <c r="AG114" s="125">
        <f t="shared" si="62"/>
        <v>0.93240740740740735</v>
      </c>
      <c r="AH114" s="672"/>
    </row>
    <row r="115" spans="1:34" s="218" customFormat="1" ht="19.2" customHeight="1">
      <c r="A115" s="691"/>
      <c r="B115" s="486" t="s">
        <v>127</v>
      </c>
      <c r="C115" s="175"/>
      <c r="D115" s="82" t="s">
        <v>188</v>
      </c>
      <c r="E115" s="83"/>
      <c r="F115" s="343">
        <v>58.17</v>
      </c>
      <c r="G115" s="229">
        <v>1193</v>
      </c>
      <c r="H115" s="45">
        <f t="shared" si="75"/>
        <v>69396.81</v>
      </c>
      <c r="I115" s="500"/>
      <c r="J115" s="46">
        <v>16</v>
      </c>
      <c r="K115" s="44">
        <v>1636</v>
      </c>
      <c r="L115" s="47">
        <v>102.25</v>
      </c>
      <c r="M115" s="489">
        <v>17</v>
      </c>
      <c r="N115" s="44">
        <f t="shared" si="76"/>
        <v>1431.6000000000004</v>
      </c>
      <c r="O115" s="47">
        <f t="shared" si="77"/>
        <v>84.211764705882374</v>
      </c>
      <c r="P115" s="48">
        <f t="shared" si="72"/>
        <v>1</v>
      </c>
      <c r="Q115" s="49">
        <f t="shared" si="73"/>
        <v>-18.038235294117626</v>
      </c>
      <c r="R115" s="490">
        <f t="shared" si="74"/>
        <v>0.82358694088882511</v>
      </c>
      <c r="S115" s="679"/>
      <c r="T115" s="226">
        <v>0.82013888888888886</v>
      </c>
      <c r="U115" s="226">
        <v>0.85486111111111107</v>
      </c>
      <c r="V115" s="227">
        <v>8</v>
      </c>
      <c r="W115" s="483">
        <f t="shared" si="70"/>
        <v>49.999999999999986</v>
      </c>
      <c r="X115" s="216"/>
      <c r="Y115" s="216"/>
      <c r="Z115" s="217"/>
      <c r="AA115" s="217"/>
      <c r="AB115" s="673"/>
      <c r="AC115" s="673"/>
      <c r="AD115" s="221"/>
      <c r="AE115" s="221"/>
      <c r="AF115" s="48">
        <f t="shared" si="61"/>
        <v>-204.39999999999964</v>
      </c>
      <c r="AG115" s="125">
        <f t="shared" si="62"/>
        <v>0.8750611246943768</v>
      </c>
      <c r="AH115" s="672"/>
    </row>
    <row r="116" spans="1:34" s="218" customFormat="1" ht="19.2" customHeight="1">
      <c r="A116" s="691"/>
      <c r="B116" s="486" t="s">
        <v>127</v>
      </c>
      <c r="C116" s="55"/>
      <c r="D116" s="82" t="s">
        <v>210</v>
      </c>
      <c r="E116" s="83"/>
      <c r="F116" s="343">
        <v>57.3</v>
      </c>
      <c r="G116" s="229">
        <v>1763</v>
      </c>
      <c r="H116" s="45">
        <f t="shared" si="75"/>
        <v>101019.9</v>
      </c>
      <c r="I116" s="500"/>
      <c r="J116" s="46">
        <v>19</v>
      </c>
      <c r="K116" s="44">
        <v>1440</v>
      </c>
      <c r="L116" s="47">
        <v>75.78947368421052</v>
      </c>
      <c r="M116" s="489">
        <v>19</v>
      </c>
      <c r="N116" s="44">
        <f t="shared" si="76"/>
        <v>1322.2499999999995</v>
      </c>
      <c r="O116" s="47">
        <f t="shared" si="77"/>
        <v>69.592105263157876</v>
      </c>
      <c r="P116" s="48">
        <f t="shared" si="72"/>
        <v>0</v>
      </c>
      <c r="Q116" s="49">
        <f t="shared" si="73"/>
        <v>-6.1973684210526443</v>
      </c>
      <c r="R116" s="490">
        <f t="shared" si="74"/>
        <v>0.91822916666666654</v>
      </c>
      <c r="S116" s="679"/>
      <c r="T116" s="226">
        <v>0.8701388888888888</v>
      </c>
      <c r="U116" s="226">
        <v>0.92569444444444438</v>
      </c>
      <c r="V116" s="227">
        <v>22</v>
      </c>
      <c r="W116" s="483">
        <f t="shared" si="70"/>
        <v>80.000000000000028</v>
      </c>
      <c r="X116" s="216">
        <v>0.85972222222222217</v>
      </c>
      <c r="Y116" s="216">
        <v>0.86944444444444446</v>
      </c>
      <c r="Z116" s="217"/>
      <c r="AA116" s="217"/>
      <c r="AB116" s="673"/>
      <c r="AC116" s="673"/>
      <c r="AD116" s="221"/>
      <c r="AE116" s="221"/>
      <c r="AF116" s="48">
        <f t="shared" si="61"/>
        <v>-117.75000000000045</v>
      </c>
      <c r="AG116" s="125">
        <f t="shared" si="62"/>
        <v>0.91822916666666632</v>
      </c>
      <c r="AH116" s="672"/>
    </row>
    <row r="117" spans="1:34" s="218" customFormat="1" ht="19.2" customHeight="1">
      <c r="A117" s="691"/>
      <c r="B117" s="486" t="s">
        <v>127</v>
      </c>
      <c r="C117" s="55"/>
      <c r="D117" s="82" t="s">
        <v>193</v>
      </c>
      <c r="E117" s="83"/>
      <c r="F117" s="343">
        <v>51.06</v>
      </c>
      <c r="G117" s="229">
        <v>1930</v>
      </c>
      <c r="H117" s="45">
        <f t="shared" si="75"/>
        <v>98545.8</v>
      </c>
      <c r="I117" s="500"/>
      <c r="J117" s="46">
        <v>16</v>
      </c>
      <c r="K117" s="44">
        <v>1500</v>
      </c>
      <c r="L117" s="47">
        <v>93.75</v>
      </c>
      <c r="M117" s="489">
        <v>16</v>
      </c>
      <c r="N117" s="44">
        <f t="shared" si="76"/>
        <v>1301.1235955056179</v>
      </c>
      <c r="O117" s="47">
        <f t="shared" si="77"/>
        <v>81.32022471910112</v>
      </c>
      <c r="P117" s="48">
        <f t="shared" si="72"/>
        <v>0</v>
      </c>
      <c r="Q117" s="49">
        <f t="shared" si="73"/>
        <v>-12.42977528089888</v>
      </c>
      <c r="R117" s="490">
        <f t="shared" si="74"/>
        <v>0.86741573033707864</v>
      </c>
      <c r="S117" s="679"/>
      <c r="T117" s="226">
        <v>0.93124999999999991</v>
      </c>
      <c r="U117" s="226">
        <v>0.99305555555555547</v>
      </c>
      <c r="V117" s="227">
        <v>8</v>
      </c>
      <c r="W117" s="483">
        <f t="shared" si="70"/>
        <v>89</v>
      </c>
      <c r="X117" s="216"/>
      <c r="Y117" s="216"/>
      <c r="Z117" s="217"/>
      <c r="AA117" s="217"/>
      <c r="AB117" s="673"/>
      <c r="AC117" s="673"/>
      <c r="AD117" s="221"/>
      <c r="AE117" s="221"/>
      <c r="AF117" s="48">
        <f t="shared" si="61"/>
        <v>-198.87640449438209</v>
      </c>
      <c r="AG117" s="125">
        <f t="shared" si="62"/>
        <v>0.86741573033707864</v>
      </c>
      <c r="AH117" s="672"/>
    </row>
    <row r="118" spans="1:34" s="218" customFormat="1" ht="19.2" customHeight="1">
      <c r="A118" s="691"/>
      <c r="B118" s="486">
        <v>0</v>
      </c>
      <c r="C118" s="163"/>
      <c r="D118" s="176"/>
      <c r="E118" s="43"/>
      <c r="F118" s="343" t="s">
        <v>128</v>
      </c>
      <c r="G118" s="44"/>
      <c r="H118" s="45">
        <f t="shared" si="75"/>
        <v>0</v>
      </c>
      <c r="I118" s="500"/>
      <c r="J118" s="46"/>
      <c r="K118" s="44"/>
      <c r="L118" s="47"/>
      <c r="M118" s="489"/>
      <c r="N118" s="44"/>
      <c r="O118" s="47"/>
      <c r="P118" s="48"/>
      <c r="Q118" s="49"/>
      <c r="R118" s="490"/>
      <c r="S118" s="679"/>
      <c r="T118" s="226"/>
      <c r="U118" s="226"/>
      <c r="V118" s="227"/>
      <c r="W118" s="483">
        <f t="shared" si="70"/>
        <v>0</v>
      </c>
      <c r="X118" s="216"/>
      <c r="Y118" s="216"/>
      <c r="Z118" s="217"/>
      <c r="AA118" s="217"/>
      <c r="AB118" s="673"/>
      <c r="AC118" s="673"/>
      <c r="AD118" s="221"/>
      <c r="AE118" s="221"/>
      <c r="AF118" s="48">
        <f t="shared" si="61"/>
        <v>0</v>
      </c>
      <c r="AG118" s="125" t="e">
        <f t="shared" si="62"/>
        <v>#DIV/0!</v>
      </c>
      <c r="AH118" s="672"/>
    </row>
    <row r="119" spans="1:34" s="218" customFormat="1" ht="19.2" customHeight="1">
      <c r="A119" s="691"/>
      <c r="B119" s="486">
        <v>0</v>
      </c>
      <c r="C119" s="223"/>
      <c r="D119" s="82"/>
      <c r="E119" s="83"/>
      <c r="F119" s="343" t="s">
        <v>128</v>
      </c>
      <c r="G119" s="229"/>
      <c r="H119" s="45">
        <f t="shared" si="75"/>
        <v>0</v>
      </c>
      <c r="I119" s="500"/>
      <c r="J119" s="178"/>
      <c r="K119" s="231"/>
      <c r="L119" s="47"/>
      <c r="M119" s="489"/>
      <c r="N119" s="179"/>
      <c r="O119" s="224"/>
      <c r="P119" s="165"/>
      <c r="Q119" s="49"/>
      <c r="R119" s="490"/>
      <c r="S119" s="679"/>
      <c r="T119" s="226"/>
      <c r="U119" s="226"/>
      <c r="V119" s="227"/>
      <c r="W119" s="483">
        <f t="shared" si="70"/>
        <v>0</v>
      </c>
      <c r="X119" s="216"/>
      <c r="Y119" s="216"/>
      <c r="Z119" s="217"/>
      <c r="AA119" s="217"/>
      <c r="AB119" s="673"/>
      <c r="AC119" s="673"/>
      <c r="AD119" s="221"/>
      <c r="AE119" s="221"/>
      <c r="AF119" s="48">
        <f t="shared" si="61"/>
        <v>0</v>
      </c>
      <c r="AG119" s="125" t="e">
        <f t="shared" si="62"/>
        <v>#DIV/0!</v>
      </c>
      <c r="AH119" s="672"/>
    </row>
    <row r="120" spans="1:34" s="218" customFormat="1" ht="19.2" customHeight="1">
      <c r="A120" s="691"/>
      <c r="B120" s="486">
        <v>0</v>
      </c>
      <c r="C120" s="223"/>
      <c r="D120" s="82"/>
      <c r="E120" s="83"/>
      <c r="F120" s="350" t="s">
        <v>128</v>
      </c>
      <c r="G120" s="229"/>
      <c r="H120" s="230">
        <f>F120*G120</f>
        <v>0</v>
      </c>
      <c r="I120" s="500"/>
      <c r="J120" s="178"/>
      <c r="K120" s="231"/>
      <c r="L120" s="47"/>
      <c r="M120" s="489"/>
      <c r="N120" s="179"/>
      <c r="O120" s="224"/>
      <c r="P120" s="165"/>
      <c r="Q120" s="49"/>
      <c r="R120" s="490"/>
      <c r="S120" s="679"/>
      <c r="T120" s="226"/>
      <c r="U120" s="226"/>
      <c r="V120" s="227"/>
      <c r="W120" s="483">
        <f t="shared" si="70"/>
        <v>0</v>
      </c>
      <c r="X120" s="216"/>
      <c r="Y120" s="216"/>
      <c r="Z120" s="217"/>
      <c r="AA120" s="217"/>
      <c r="AB120" s="673"/>
      <c r="AC120" s="673"/>
      <c r="AD120" s="221"/>
      <c r="AE120" s="221"/>
      <c r="AF120" s="48">
        <f t="shared" si="61"/>
        <v>0</v>
      </c>
      <c r="AG120" s="125" t="e">
        <f t="shared" si="62"/>
        <v>#DIV/0!</v>
      </c>
      <c r="AH120" s="672"/>
    </row>
    <row r="121" spans="1:34" ht="19.2" customHeight="1">
      <c r="A121" s="692"/>
      <c r="B121" s="121">
        <v>0</v>
      </c>
      <c r="C121" s="100" t="s">
        <v>526</v>
      </c>
      <c r="D121" s="232" t="s">
        <v>455</v>
      </c>
      <c r="E121" s="233"/>
      <c r="F121" s="352"/>
      <c r="G121" s="234"/>
      <c r="H121" s="235"/>
      <c r="I121" s="236"/>
      <c r="J121" s="202">
        <v>17.111111111111111</v>
      </c>
      <c r="K121" s="202">
        <v>1429.5555555555557</v>
      </c>
      <c r="L121" s="203">
        <v>84.116767954745242</v>
      </c>
      <c r="M121" s="202">
        <f t="shared" ref="M121:O121" si="78">AVERAGE(M109:M120)</f>
        <v>17.555555555555557</v>
      </c>
      <c r="N121" s="202">
        <f t="shared" si="78"/>
        <v>1315.7478240808398</v>
      </c>
      <c r="O121" s="203">
        <f t="shared" si="78"/>
        <v>75.542625761907374</v>
      </c>
      <c r="P121" s="48">
        <f t="shared" ref="P121:P129" si="79">M121-J121</f>
        <v>0.44444444444444642</v>
      </c>
      <c r="Q121" s="49">
        <f t="shared" ref="Q121:Q129" si="80">O121-L121</f>
        <v>-8.5741421928378685</v>
      </c>
      <c r="R121" s="172">
        <f t="shared" ref="R121:R129" si="81">O121/L121</f>
        <v>0.89806857299307141</v>
      </c>
      <c r="S121" s="687"/>
      <c r="T121" s="50"/>
      <c r="U121" s="50"/>
      <c r="V121" s="44"/>
      <c r="W121" s="483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673"/>
      <c r="AC121" s="673"/>
      <c r="AD121" s="107">
        <f>SUM(AD109:AD120)</f>
        <v>0</v>
      </c>
      <c r="AE121" s="107">
        <f>SUM(AE109:AE120)</f>
        <v>0</v>
      </c>
      <c r="AF121" s="48">
        <f>N121-K121</f>
        <v>-113.80773147471587</v>
      </c>
      <c r="AG121" s="125">
        <f>N121/K121</f>
        <v>0.92038943080425595</v>
      </c>
      <c r="AH121" s="672"/>
    </row>
    <row r="122" spans="1:34" ht="19.2" customHeight="1">
      <c r="A122" s="694" t="s">
        <v>527</v>
      </c>
      <c r="B122" s="130" t="s">
        <v>123</v>
      </c>
      <c r="C122" s="163"/>
      <c r="D122" s="176" t="s">
        <v>79</v>
      </c>
      <c r="E122" s="43"/>
      <c r="F122" s="343">
        <v>58.67</v>
      </c>
      <c r="G122" s="44">
        <v>1751</v>
      </c>
      <c r="H122" s="45">
        <f t="shared" ref="H122:H132" si="82">F122*G122</f>
        <v>102731.17</v>
      </c>
      <c r="I122" s="486"/>
      <c r="J122" s="46">
        <v>19</v>
      </c>
      <c r="K122" s="44">
        <v>1440</v>
      </c>
      <c r="L122" s="47">
        <v>75.78947368421052</v>
      </c>
      <c r="M122" s="484">
        <v>19</v>
      </c>
      <c r="N122" s="174">
        <f t="shared" ref="N122:N129" si="83">G122/W122*60</f>
        <v>1346.923076923076</v>
      </c>
      <c r="O122" s="237">
        <f t="shared" ref="O122:O129" si="84">N122/M122</f>
        <v>70.890688259109268</v>
      </c>
      <c r="P122" s="108">
        <f t="shared" si="79"/>
        <v>0</v>
      </c>
      <c r="Q122" s="182">
        <f t="shared" si="80"/>
        <v>-4.8987854251012521</v>
      </c>
      <c r="R122" s="109">
        <f t="shared" si="81"/>
        <v>0.93536324786324732</v>
      </c>
      <c r="S122" s="688">
        <f>R134</f>
        <v>0.89747519603211856</v>
      </c>
      <c r="T122" s="50">
        <v>0.5</v>
      </c>
      <c r="U122" s="50">
        <v>0.5541666666666667</v>
      </c>
      <c r="V122" s="227">
        <v>5</v>
      </c>
      <c r="W122" s="483">
        <f t="shared" si="70"/>
        <v>78.000000000000043</v>
      </c>
      <c r="X122" s="53"/>
      <c r="Y122" s="53"/>
      <c r="Z122" s="54"/>
      <c r="AA122" s="54"/>
      <c r="AB122" s="673"/>
      <c r="AC122" s="673"/>
      <c r="AD122" s="500"/>
      <c r="AE122" s="500"/>
      <c r="AF122" s="48">
        <f t="shared" si="61"/>
        <v>-93.076923076924004</v>
      </c>
      <c r="AG122" s="490">
        <f t="shared" si="62"/>
        <v>0.9353632478632472</v>
      </c>
      <c r="AH122" s="687">
        <f>AG134</f>
        <v>0.90549801663479057</v>
      </c>
    </row>
    <row r="123" spans="1:34" ht="19.2" customHeight="1">
      <c r="A123" s="694"/>
      <c r="B123" s="130" t="s">
        <v>123</v>
      </c>
      <c r="C123" s="97"/>
      <c r="D123" s="42" t="s">
        <v>78</v>
      </c>
      <c r="E123" s="177"/>
      <c r="F123" s="343">
        <v>59.52</v>
      </c>
      <c r="G123" s="44">
        <v>2136</v>
      </c>
      <c r="H123" s="45">
        <f t="shared" si="82"/>
        <v>127134.72</v>
      </c>
      <c r="I123" s="500"/>
      <c r="J123" s="46">
        <v>21</v>
      </c>
      <c r="K123" s="44">
        <v>1385</v>
      </c>
      <c r="L123" s="47">
        <v>65.952380952380949</v>
      </c>
      <c r="M123" s="489">
        <v>21</v>
      </c>
      <c r="N123" s="57">
        <f t="shared" si="83"/>
        <v>1268.9108910891093</v>
      </c>
      <c r="O123" s="86">
        <f t="shared" si="84"/>
        <v>60.424328147100447</v>
      </c>
      <c r="P123" s="54">
        <f t="shared" si="79"/>
        <v>0</v>
      </c>
      <c r="Q123" s="88">
        <f t="shared" si="80"/>
        <v>-5.5280528052805025</v>
      </c>
      <c r="R123" s="493">
        <f t="shared" si="81"/>
        <v>0.91618114880080104</v>
      </c>
      <c r="S123" s="688"/>
      <c r="T123" s="50">
        <v>0.55902777777777779</v>
      </c>
      <c r="U123" s="50">
        <v>0.62916666666666665</v>
      </c>
      <c r="V123" s="227">
        <v>7</v>
      </c>
      <c r="W123" s="483">
        <f t="shared" si="70"/>
        <v>100.99999999999996</v>
      </c>
      <c r="X123" s="53"/>
      <c r="Y123" s="53"/>
      <c r="Z123" s="54"/>
      <c r="AA123" s="54"/>
      <c r="AB123" s="673"/>
      <c r="AC123" s="673"/>
      <c r="AD123" s="500"/>
      <c r="AE123" s="500"/>
      <c r="AF123" s="48">
        <f t="shared" si="61"/>
        <v>-116.08910891089067</v>
      </c>
      <c r="AG123" s="490">
        <f t="shared" si="62"/>
        <v>0.91618114880080093</v>
      </c>
      <c r="AH123" s="688"/>
    </row>
    <row r="124" spans="1:34" ht="19.2" customHeight="1">
      <c r="A124" s="694"/>
      <c r="B124" s="130" t="s">
        <v>123</v>
      </c>
      <c r="C124" s="175"/>
      <c r="D124" s="176" t="s">
        <v>213</v>
      </c>
      <c r="E124" s="177"/>
      <c r="F124" s="343">
        <v>63.92</v>
      </c>
      <c r="G124" s="174">
        <v>2418</v>
      </c>
      <c r="H124" s="45">
        <f t="shared" si="82"/>
        <v>154558.56</v>
      </c>
      <c r="I124" s="238"/>
      <c r="J124" s="46">
        <v>19</v>
      </c>
      <c r="K124" s="44">
        <v>1440</v>
      </c>
      <c r="L124" s="47">
        <v>75.78947368421052</v>
      </c>
      <c r="M124" s="484">
        <v>19</v>
      </c>
      <c r="N124" s="174">
        <f t="shared" si="83"/>
        <v>1331.0091743119276</v>
      </c>
      <c r="O124" s="237">
        <f t="shared" si="84"/>
        <v>70.053114437469873</v>
      </c>
      <c r="P124" s="108">
        <f t="shared" si="79"/>
        <v>0</v>
      </c>
      <c r="Q124" s="182">
        <f t="shared" si="80"/>
        <v>-5.7363592467406477</v>
      </c>
      <c r="R124" s="109">
        <f t="shared" si="81"/>
        <v>0.92431192660550532</v>
      </c>
      <c r="S124" s="695"/>
      <c r="T124" s="50">
        <v>0.64513888888888893</v>
      </c>
      <c r="U124" s="50">
        <v>0.72083333333333333</v>
      </c>
      <c r="V124" s="227">
        <v>23</v>
      </c>
      <c r="W124" s="483">
        <f t="shared" si="70"/>
        <v>108.99999999999993</v>
      </c>
      <c r="X124" s="188">
        <v>0.6333333333333333</v>
      </c>
      <c r="Y124" s="188">
        <v>0.64444444444444449</v>
      </c>
      <c r="Z124" s="54"/>
      <c r="AA124" s="54"/>
      <c r="AB124" s="673"/>
      <c r="AC124" s="673"/>
      <c r="AD124" s="500">
        <v>1</v>
      </c>
      <c r="AE124" s="500"/>
      <c r="AF124" s="108">
        <f t="shared" si="61"/>
        <v>-108.99082568807239</v>
      </c>
      <c r="AG124" s="109">
        <f t="shared" si="62"/>
        <v>0.92431192660550532</v>
      </c>
      <c r="AH124" s="688"/>
    </row>
    <row r="125" spans="1:34" ht="19.2" customHeight="1">
      <c r="A125" s="694"/>
      <c r="B125" s="130" t="s">
        <v>127</v>
      </c>
      <c r="C125" s="97"/>
      <c r="D125" s="42" t="s">
        <v>80</v>
      </c>
      <c r="E125" s="43"/>
      <c r="F125" s="343">
        <v>56.79</v>
      </c>
      <c r="G125" s="44">
        <v>1560</v>
      </c>
      <c r="H125" s="45">
        <f t="shared" si="82"/>
        <v>88592.4</v>
      </c>
      <c r="I125" s="486"/>
      <c r="J125" s="46">
        <v>18</v>
      </c>
      <c r="K125" s="44">
        <v>1636</v>
      </c>
      <c r="L125" s="47">
        <v>90.888888888888886</v>
      </c>
      <c r="M125" s="484">
        <v>18</v>
      </c>
      <c r="N125" s="174">
        <f t="shared" si="83"/>
        <v>1418.1818181818196</v>
      </c>
      <c r="O125" s="237">
        <f t="shared" si="84"/>
        <v>78.787878787878867</v>
      </c>
      <c r="P125" s="108">
        <f t="shared" si="79"/>
        <v>0</v>
      </c>
      <c r="Q125" s="182">
        <f t="shared" si="80"/>
        <v>-12.101010101010019</v>
      </c>
      <c r="R125" s="109">
        <f t="shared" si="81"/>
        <v>0.86685930206712691</v>
      </c>
      <c r="S125" s="695"/>
      <c r="T125" s="50">
        <v>0.76111111111111107</v>
      </c>
      <c r="U125" s="50">
        <v>0.80694444444444435</v>
      </c>
      <c r="V125" s="227">
        <v>5</v>
      </c>
      <c r="W125" s="483">
        <f t="shared" si="70"/>
        <v>65.999999999999929</v>
      </c>
      <c r="X125" s="64"/>
      <c r="Y125" s="64"/>
      <c r="Z125" s="54"/>
      <c r="AA125" s="54"/>
      <c r="AB125" s="673"/>
      <c r="AC125" s="673"/>
      <c r="AD125" s="500"/>
      <c r="AE125" s="500"/>
      <c r="AF125" s="48">
        <f t="shared" si="61"/>
        <v>-217.81818181818039</v>
      </c>
      <c r="AG125" s="490">
        <f t="shared" si="62"/>
        <v>0.86685930206712691</v>
      </c>
      <c r="AH125" s="689"/>
    </row>
    <row r="126" spans="1:34" ht="19.2" customHeight="1">
      <c r="A126" s="694"/>
      <c r="B126" s="130" t="s">
        <v>127</v>
      </c>
      <c r="C126" s="500"/>
      <c r="D126" s="391" t="s">
        <v>81</v>
      </c>
      <c r="E126" s="177"/>
      <c r="F126" s="343">
        <v>56.87</v>
      </c>
      <c r="G126" s="57">
        <v>1249</v>
      </c>
      <c r="H126" s="45">
        <f t="shared" si="82"/>
        <v>71030.62999999999</v>
      </c>
      <c r="I126" s="500"/>
      <c r="J126" s="46">
        <v>18</v>
      </c>
      <c r="K126" s="44">
        <v>1636</v>
      </c>
      <c r="L126" s="47">
        <v>90.888888888888886</v>
      </c>
      <c r="M126" s="489">
        <v>18</v>
      </c>
      <c r="N126" s="57">
        <f t="shared" si="83"/>
        <v>1413.9622641509441</v>
      </c>
      <c r="O126" s="86">
        <f t="shared" si="84"/>
        <v>78.553459119496893</v>
      </c>
      <c r="P126" s="54">
        <f t="shared" si="79"/>
        <v>0</v>
      </c>
      <c r="Q126" s="88">
        <f t="shared" si="80"/>
        <v>-12.335429769391993</v>
      </c>
      <c r="R126" s="493">
        <f t="shared" si="81"/>
        <v>0.86428011256170179</v>
      </c>
      <c r="S126" s="695"/>
      <c r="T126" s="50">
        <v>0.81249999999999989</v>
      </c>
      <c r="U126" s="50">
        <v>0.84930555555555542</v>
      </c>
      <c r="V126" s="227">
        <v>8</v>
      </c>
      <c r="W126" s="483">
        <f t="shared" si="70"/>
        <v>52.999999999999972</v>
      </c>
      <c r="X126" s="64"/>
      <c r="Y126" s="64"/>
      <c r="Z126" s="54"/>
      <c r="AA126" s="54"/>
      <c r="AB126" s="673"/>
      <c r="AC126" s="673"/>
      <c r="AD126" s="500"/>
      <c r="AE126" s="500"/>
      <c r="AF126" s="108">
        <f t="shared" si="61"/>
        <v>-222.03773584905593</v>
      </c>
      <c r="AG126" s="109">
        <f t="shared" si="62"/>
        <v>0.86428011256170179</v>
      </c>
      <c r="AH126" s="689"/>
    </row>
    <row r="127" spans="1:34" ht="19.2" customHeight="1">
      <c r="A127" s="694"/>
      <c r="B127" s="130" t="s">
        <v>127</v>
      </c>
      <c r="C127" s="223"/>
      <c r="D127" s="392" t="s">
        <v>82</v>
      </c>
      <c r="E127" s="83"/>
      <c r="F127" s="343">
        <v>47.6</v>
      </c>
      <c r="G127" s="209">
        <v>1548</v>
      </c>
      <c r="H127" s="45">
        <f t="shared" si="82"/>
        <v>73684.800000000003</v>
      </c>
      <c r="I127" s="221"/>
      <c r="J127" s="46">
        <v>19</v>
      </c>
      <c r="K127" s="44">
        <v>1440</v>
      </c>
      <c r="L127" s="47">
        <v>75.78947368421052</v>
      </c>
      <c r="M127" s="484">
        <v>19</v>
      </c>
      <c r="N127" s="57">
        <f t="shared" si="83"/>
        <v>1308.1690140845058</v>
      </c>
      <c r="O127" s="86">
        <f t="shared" si="84"/>
        <v>68.851000741289781</v>
      </c>
      <c r="P127" s="54">
        <f t="shared" si="79"/>
        <v>0</v>
      </c>
      <c r="Q127" s="88">
        <f t="shared" si="80"/>
        <v>-6.9384729429207397</v>
      </c>
      <c r="R127" s="493">
        <f t="shared" si="81"/>
        <v>0.90845070422535135</v>
      </c>
      <c r="S127" s="695"/>
      <c r="T127" s="50">
        <v>0.85347222222222208</v>
      </c>
      <c r="U127" s="50">
        <v>0.90277777777777768</v>
      </c>
      <c r="V127" s="486">
        <v>6</v>
      </c>
      <c r="W127" s="483">
        <f t="shared" si="70"/>
        <v>71.000000000000071</v>
      </c>
      <c r="X127" s="64"/>
      <c r="Y127" s="64"/>
      <c r="Z127" s="54"/>
      <c r="AA127" s="54"/>
      <c r="AB127" s="673"/>
      <c r="AC127" s="673"/>
      <c r="AD127" s="500"/>
      <c r="AE127" s="500"/>
      <c r="AF127" s="108">
        <f t="shared" si="61"/>
        <v>-131.83098591549424</v>
      </c>
      <c r="AG127" s="109">
        <f t="shared" si="62"/>
        <v>0.90845070422535124</v>
      </c>
      <c r="AH127" s="689"/>
    </row>
    <row r="128" spans="1:34" ht="19.2" customHeight="1">
      <c r="A128" s="694"/>
      <c r="B128" s="130" t="s">
        <v>127</v>
      </c>
      <c r="C128" s="157"/>
      <c r="D128" s="59" t="s">
        <v>136</v>
      </c>
      <c r="E128" s="83"/>
      <c r="F128" s="343">
        <v>50.67</v>
      </c>
      <c r="G128" s="57">
        <v>1279</v>
      </c>
      <c r="H128" s="45">
        <f t="shared" si="82"/>
        <v>64806.93</v>
      </c>
      <c r="I128" s="500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1370.357142857144</v>
      </c>
      <c r="O128" s="86">
        <f t="shared" si="84"/>
        <v>76.130952380952451</v>
      </c>
      <c r="P128" s="54">
        <f t="shared" si="79"/>
        <v>0</v>
      </c>
      <c r="Q128" s="88">
        <f t="shared" si="80"/>
        <v>-7.2023809523808779</v>
      </c>
      <c r="R128" s="493">
        <f t="shared" si="81"/>
        <v>0.91357142857142948</v>
      </c>
      <c r="S128" s="695"/>
      <c r="T128" s="50">
        <v>0.9180555555555554</v>
      </c>
      <c r="U128" s="50">
        <v>0.95694444444444426</v>
      </c>
      <c r="V128" s="486">
        <v>22</v>
      </c>
      <c r="W128" s="483">
        <f t="shared" si="70"/>
        <v>55.999999999999957</v>
      </c>
      <c r="X128" s="64">
        <v>0.90694444444444444</v>
      </c>
      <c r="Y128" s="64">
        <v>0.91666666666666663</v>
      </c>
      <c r="Z128" s="54"/>
      <c r="AA128" s="54"/>
      <c r="AB128" s="673"/>
      <c r="AC128" s="673"/>
      <c r="AD128" s="500"/>
      <c r="AE128" s="500"/>
      <c r="AF128" s="48">
        <f t="shared" si="61"/>
        <v>-129.64285714285597</v>
      </c>
      <c r="AG128" s="490">
        <f t="shared" si="62"/>
        <v>0.91357142857142937</v>
      </c>
      <c r="AH128" s="689"/>
    </row>
    <row r="129" spans="1:34" ht="19.2" customHeight="1">
      <c r="A129" s="694"/>
      <c r="B129" s="130" t="s">
        <v>127</v>
      </c>
      <c r="C129" s="157"/>
      <c r="D129" s="59" t="s">
        <v>197</v>
      </c>
      <c r="E129" s="60"/>
      <c r="F129" s="343">
        <v>56.43</v>
      </c>
      <c r="G129" s="57">
        <v>1272</v>
      </c>
      <c r="H129" s="45">
        <f t="shared" si="82"/>
        <v>71778.960000000006</v>
      </c>
      <c r="I129" s="500"/>
      <c r="J129" s="46">
        <v>16</v>
      </c>
      <c r="K129" s="44">
        <v>1500</v>
      </c>
      <c r="L129" s="47">
        <v>93.75</v>
      </c>
      <c r="M129" s="87">
        <v>17</v>
      </c>
      <c r="N129" s="57">
        <f t="shared" si="83"/>
        <v>1387.6363636363603</v>
      </c>
      <c r="O129" s="86">
        <f t="shared" si="84"/>
        <v>81.625668449197661</v>
      </c>
      <c r="P129" s="54">
        <f t="shared" si="79"/>
        <v>1</v>
      </c>
      <c r="Q129" s="88">
        <f t="shared" si="80"/>
        <v>-12.124331550802339</v>
      </c>
      <c r="R129" s="493">
        <f t="shared" si="81"/>
        <v>0.87067379679144175</v>
      </c>
      <c r="S129" s="695"/>
      <c r="T129" s="50">
        <v>0.9624999999999998</v>
      </c>
      <c r="U129" s="50">
        <v>1.0006944444444443</v>
      </c>
      <c r="V129" s="486">
        <v>8</v>
      </c>
      <c r="W129" s="483">
        <f t="shared" si="70"/>
        <v>55.000000000000128</v>
      </c>
      <c r="X129" s="64"/>
      <c r="Y129" s="64"/>
      <c r="Z129" s="54"/>
      <c r="AA129" s="54"/>
      <c r="AB129" s="673"/>
      <c r="AC129" s="673"/>
      <c r="AD129" s="500"/>
      <c r="AE129" s="500"/>
      <c r="AF129" s="108">
        <f t="shared" si="61"/>
        <v>-112.36363636363967</v>
      </c>
      <c r="AG129" s="109">
        <f t="shared" si="62"/>
        <v>0.92509090909090685</v>
      </c>
      <c r="AH129" s="689"/>
    </row>
    <row r="130" spans="1:34" ht="19.2" customHeight="1">
      <c r="A130" s="694"/>
      <c r="B130" s="200">
        <v>0</v>
      </c>
      <c r="C130" s="157"/>
      <c r="D130" s="59"/>
      <c r="E130" s="60"/>
      <c r="F130" s="343" t="s">
        <v>128</v>
      </c>
      <c r="G130" s="57"/>
      <c r="H130" s="45">
        <f t="shared" si="82"/>
        <v>0</v>
      </c>
      <c r="I130" s="500"/>
      <c r="J130" s="46"/>
      <c r="K130" s="44"/>
      <c r="L130" s="47"/>
      <c r="M130" s="489"/>
      <c r="N130" s="57"/>
      <c r="O130" s="86"/>
      <c r="P130" s="54"/>
      <c r="Q130" s="88"/>
      <c r="R130" s="493"/>
      <c r="S130" s="695"/>
      <c r="T130" s="50"/>
      <c r="U130" s="50"/>
      <c r="V130" s="486"/>
      <c r="W130" s="483">
        <f t="shared" si="70"/>
        <v>0</v>
      </c>
      <c r="X130" s="64"/>
      <c r="Y130" s="64"/>
      <c r="Z130" s="54"/>
      <c r="AA130" s="54"/>
      <c r="AB130" s="673"/>
      <c r="AC130" s="673"/>
      <c r="AD130" s="500"/>
      <c r="AE130" s="500"/>
      <c r="AF130" s="108">
        <f t="shared" si="61"/>
        <v>0</v>
      </c>
      <c r="AG130" s="109" t="e">
        <f t="shared" si="62"/>
        <v>#DIV/0!</v>
      </c>
      <c r="AH130" s="689"/>
    </row>
    <row r="131" spans="1:34" ht="19.2" customHeight="1">
      <c r="A131" s="694"/>
      <c r="B131" s="200">
        <v>0</v>
      </c>
      <c r="C131" s="157"/>
      <c r="D131" s="59"/>
      <c r="E131" s="83"/>
      <c r="F131" s="343" t="s">
        <v>128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93"/>
      <c r="S131" s="695"/>
      <c r="T131" s="50"/>
      <c r="U131" s="50"/>
      <c r="V131" s="486"/>
      <c r="W131" s="483">
        <f t="shared" si="70"/>
        <v>0</v>
      </c>
      <c r="X131" s="64"/>
      <c r="Y131" s="64"/>
      <c r="Z131" s="54"/>
      <c r="AA131" s="54"/>
      <c r="AB131" s="673"/>
      <c r="AC131" s="673"/>
      <c r="AD131" s="500"/>
      <c r="AE131" s="500"/>
      <c r="AF131" s="48">
        <f t="shared" si="61"/>
        <v>0</v>
      </c>
      <c r="AG131" s="490" t="e">
        <f t="shared" si="62"/>
        <v>#DIV/0!</v>
      </c>
      <c r="AH131" s="689"/>
    </row>
    <row r="132" spans="1:34" ht="19.2" customHeight="1">
      <c r="A132" s="694"/>
      <c r="B132" s="200">
        <v>0</v>
      </c>
      <c r="C132" s="157"/>
      <c r="D132" s="59"/>
      <c r="E132" s="60"/>
      <c r="F132" s="343" t="s">
        <v>128</v>
      </c>
      <c r="G132" s="57"/>
      <c r="H132" s="45">
        <f t="shared" si="82"/>
        <v>0</v>
      </c>
      <c r="I132" s="500"/>
      <c r="J132" s="87"/>
      <c r="K132" s="57"/>
      <c r="L132" s="86"/>
      <c r="M132" s="489"/>
      <c r="N132" s="57"/>
      <c r="O132" s="86"/>
      <c r="P132" s="54"/>
      <c r="Q132" s="88"/>
      <c r="R132" s="493"/>
      <c r="S132" s="695"/>
      <c r="T132" s="50"/>
      <c r="U132" s="50"/>
      <c r="V132" s="486"/>
      <c r="W132" s="483">
        <f t="shared" si="70"/>
        <v>0</v>
      </c>
      <c r="X132" s="64"/>
      <c r="Y132" s="64"/>
      <c r="Z132" s="54"/>
      <c r="AA132" s="54"/>
      <c r="AB132" s="673"/>
      <c r="AC132" s="673"/>
      <c r="AD132" s="500"/>
      <c r="AE132" s="500"/>
      <c r="AF132" s="65"/>
      <c r="AG132" s="491"/>
      <c r="AH132" s="689"/>
    </row>
    <row r="133" spans="1:34" ht="19.2" customHeight="1">
      <c r="A133" s="694"/>
      <c r="B133" s="200">
        <v>0</v>
      </c>
      <c r="C133" s="157"/>
      <c r="D133" s="59"/>
      <c r="E133" s="60"/>
      <c r="F133" s="356" t="s">
        <v>128</v>
      </c>
      <c r="G133" s="57"/>
      <c r="H133" s="240">
        <f>F133*G133</f>
        <v>0</v>
      </c>
      <c r="I133" s="500"/>
      <c r="J133" s="87"/>
      <c r="K133" s="57"/>
      <c r="L133" s="86"/>
      <c r="M133" s="489"/>
      <c r="N133" s="57"/>
      <c r="O133" s="86"/>
      <c r="P133" s="54"/>
      <c r="Q133" s="88"/>
      <c r="R133" s="493"/>
      <c r="S133" s="695"/>
      <c r="T133" s="50"/>
      <c r="U133" s="50"/>
      <c r="V133" s="486"/>
      <c r="W133" s="239">
        <f t="shared" si="70"/>
        <v>0</v>
      </c>
      <c r="X133" s="64"/>
      <c r="Y133" s="64"/>
      <c r="Z133" s="54"/>
      <c r="AA133" s="54"/>
      <c r="AB133" s="673"/>
      <c r="AC133" s="673"/>
      <c r="AD133" s="500"/>
      <c r="AE133" s="500"/>
      <c r="AF133" s="65"/>
      <c r="AG133" s="491"/>
      <c r="AH133" s="689"/>
    </row>
    <row r="134" spans="1:34" ht="19.2" customHeight="1">
      <c r="A134" s="694"/>
      <c r="B134" s="168">
        <v>0</v>
      </c>
      <c r="C134" s="100" t="s">
        <v>528</v>
      </c>
      <c r="D134" s="669" t="s">
        <v>455</v>
      </c>
      <c r="E134" s="669"/>
      <c r="F134" s="353"/>
      <c r="G134" s="101"/>
      <c r="H134" s="102"/>
      <c r="I134" s="241"/>
      <c r="J134" s="242">
        <v>18.5</v>
      </c>
      <c r="K134" s="242">
        <v>1497.125</v>
      </c>
      <c r="L134" s="243">
        <v>81.522739139515465</v>
      </c>
      <c r="M134" s="242">
        <f t="shared" ref="M134:O134" si="85">AVERAGE(M122:M133)</f>
        <v>18.625</v>
      </c>
      <c r="N134" s="242">
        <f t="shared" si="85"/>
        <v>1355.6437181543608</v>
      </c>
      <c r="O134" s="243">
        <f t="shared" si="85"/>
        <v>73.164636290311904</v>
      </c>
      <c r="P134" s="51">
        <f t="shared" ref="P134:P143" si="86">M134-J134</f>
        <v>0.125</v>
      </c>
      <c r="Q134" s="139">
        <f t="shared" ref="Q134:Q143" si="87">O134-L134</f>
        <v>-8.3581028492035614</v>
      </c>
      <c r="R134" s="244">
        <f t="shared" ref="R134:R143" si="88">O134/L134</f>
        <v>0.89747519603211856</v>
      </c>
      <c r="S134" s="688"/>
      <c r="T134" s="50"/>
      <c r="U134" s="50"/>
      <c r="V134" s="486"/>
      <c r="W134" s="486"/>
      <c r="X134" s="53"/>
      <c r="Y134" s="53"/>
      <c r="Z134" s="106">
        <f>SUM(Z122:Z133)</f>
        <v>0</v>
      </c>
      <c r="AA134" s="106">
        <f>SUM(AA122:AA133)</f>
        <v>0</v>
      </c>
      <c r="AB134" s="673"/>
      <c r="AC134" s="673"/>
      <c r="AD134" s="107">
        <f>SUM(AD122:AD133)</f>
        <v>1</v>
      </c>
      <c r="AE134" s="107">
        <f>SUM(AE122:AE133)</f>
        <v>0</v>
      </c>
      <c r="AF134" s="48">
        <f t="shared" si="61"/>
        <v>-141.48128184563916</v>
      </c>
      <c r="AG134" s="490">
        <f t="shared" si="62"/>
        <v>0.90549801663479057</v>
      </c>
      <c r="AH134" s="689"/>
    </row>
    <row r="135" spans="1:34" ht="19.2" customHeight="1">
      <c r="A135" s="675" t="s">
        <v>529</v>
      </c>
      <c r="B135" s="486" t="s">
        <v>127</v>
      </c>
      <c r="C135" s="500"/>
      <c r="D135" s="82" t="s">
        <v>138</v>
      </c>
      <c r="E135" s="83"/>
      <c r="F135" s="343">
        <v>54.09</v>
      </c>
      <c r="G135" s="57">
        <v>1804.4</v>
      </c>
      <c r="H135" s="245">
        <f t="shared" ref="H135:H146" si="89">F135*G135</f>
        <v>97599.996000000014</v>
      </c>
      <c r="I135" s="500"/>
      <c r="J135" s="46">
        <v>16</v>
      </c>
      <c r="K135" s="57">
        <v>1500</v>
      </c>
      <c r="L135" s="86">
        <v>93.75</v>
      </c>
      <c r="M135" s="228">
        <v>17</v>
      </c>
      <c r="N135" s="57">
        <f t="shared" ref="N135:N143" si="90">G135/W135*60</f>
        <v>1406.0259740259733</v>
      </c>
      <c r="O135" s="115">
        <f t="shared" ref="O135:O143" si="91">N135/M135</f>
        <v>82.707410236821957</v>
      </c>
      <c r="P135" s="54">
        <f t="shared" si="86"/>
        <v>1</v>
      </c>
      <c r="Q135" s="88">
        <f t="shared" si="87"/>
        <v>-11.042589763178043</v>
      </c>
      <c r="R135" s="493">
        <f t="shared" si="88"/>
        <v>0.88221237585943424</v>
      </c>
      <c r="S135" s="679">
        <f>R147</f>
        <v>0.91609650110777685</v>
      </c>
      <c r="T135" s="246">
        <v>0.5</v>
      </c>
      <c r="U135" s="50">
        <v>0.55347222222222225</v>
      </c>
      <c r="V135" s="142">
        <v>5</v>
      </c>
      <c r="W135" s="247">
        <f t="shared" ref="W135:W147" si="92">(U135-T135)*24*60</f>
        <v>77.000000000000043</v>
      </c>
      <c r="X135" s="53"/>
      <c r="Y135" s="53"/>
      <c r="Z135" s="54"/>
      <c r="AA135" s="54"/>
      <c r="AB135" s="673"/>
      <c r="AC135" s="673"/>
      <c r="AD135" s="500"/>
      <c r="AE135" s="500"/>
      <c r="AF135" s="116">
        <f t="shared" si="61"/>
        <v>-93.974025974026745</v>
      </c>
      <c r="AG135" s="120">
        <f t="shared" si="62"/>
        <v>0.93735064935064882</v>
      </c>
      <c r="AH135" s="672">
        <f>AG147</f>
        <v>0.9310085452519582</v>
      </c>
    </row>
    <row r="136" spans="1:34" ht="19.2" customHeight="1">
      <c r="A136" s="676"/>
      <c r="B136" s="486" t="s">
        <v>127</v>
      </c>
      <c r="C136" s="500"/>
      <c r="D136" s="82" t="s">
        <v>191</v>
      </c>
      <c r="E136" s="83"/>
      <c r="F136" s="343">
        <v>53.27</v>
      </c>
      <c r="G136" s="57">
        <v>1160</v>
      </c>
      <c r="H136" s="84">
        <f t="shared" si="89"/>
        <v>61793.200000000004</v>
      </c>
      <c r="I136" s="500"/>
      <c r="J136" s="46">
        <v>16</v>
      </c>
      <c r="K136" s="57">
        <v>1500</v>
      </c>
      <c r="L136" s="86">
        <v>93.75</v>
      </c>
      <c r="M136" s="489">
        <v>16</v>
      </c>
      <c r="N136" s="57">
        <f t="shared" si="90"/>
        <v>1392.0000000000005</v>
      </c>
      <c r="O136" s="86">
        <f t="shared" si="91"/>
        <v>87.000000000000028</v>
      </c>
      <c r="P136" s="54">
        <f t="shared" si="86"/>
        <v>0</v>
      </c>
      <c r="Q136" s="88">
        <f t="shared" si="87"/>
        <v>-6.7499999999999716</v>
      </c>
      <c r="R136" s="493">
        <f t="shared" si="88"/>
        <v>0.92800000000000027</v>
      </c>
      <c r="S136" s="679"/>
      <c r="T136" s="246">
        <v>0.55833333333333335</v>
      </c>
      <c r="U136" s="50">
        <v>0.59305555555555556</v>
      </c>
      <c r="V136" s="142">
        <v>7</v>
      </c>
      <c r="W136" s="247">
        <f t="shared" si="92"/>
        <v>49.999999999999986</v>
      </c>
      <c r="X136" s="53"/>
      <c r="Y136" s="53"/>
      <c r="Z136" s="54"/>
      <c r="AA136" s="54"/>
      <c r="AB136" s="673"/>
      <c r="AC136" s="673"/>
      <c r="AD136" s="500"/>
      <c r="AE136" s="500"/>
      <c r="AF136" s="48">
        <f t="shared" si="61"/>
        <v>-107.99999999999955</v>
      </c>
      <c r="AG136" s="125">
        <f t="shared" si="62"/>
        <v>0.92800000000000027</v>
      </c>
      <c r="AH136" s="672"/>
    </row>
    <row r="137" spans="1:34" ht="19.2" customHeight="1">
      <c r="A137" s="676"/>
      <c r="B137" s="486" t="s">
        <v>127</v>
      </c>
      <c r="C137" s="500"/>
      <c r="D137" s="82" t="s">
        <v>75</v>
      </c>
      <c r="E137" s="83"/>
      <c r="F137" s="343">
        <v>57.734999999999999</v>
      </c>
      <c r="G137" s="209">
        <v>1839</v>
      </c>
      <c r="H137" s="84">
        <f t="shared" si="89"/>
        <v>106174.66499999999</v>
      </c>
      <c r="I137" s="221"/>
      <c r="J137" s="46">
        <v>16</v>
      </c>
      <c r="K137" s="44">
        <v>1565</v>
      </c>
      <c r="L137" s="47">
        <v>97.8125</v>
      </c>
      <c r="M137" s="87">
        <v>16</v>
      </c>
      <c r="N137" s="57">
        <f t="shared" si="90"/>
        <v>1379.2499999999995</v>
      </c>
      <c r="O137" s="86">
        <f t="shared" si="91"/>
        <v>86.203124999999972</v>
      </c>
      <c r="P137" s="54">
        <f t="shared" si="86"/>
        <v>0</v>
      </c>
      <c r="Q137" s="88">
        <f t="shared" si="87"/>
        <v>-11.609375000000028</v>
      </c>
      <c r="R137" s="493">
        <f t="shared" si="88"/>
        <v>0.88130990415335431</v>
      </c>
      <c r="S137" s="679"/>
      <c r="T137" s="50">
        <v>0.60833333333333328</v>
      </c>
      <c r="U137" s="50">
        <v>0.66388888888888886</v>
      </c>
      <c r="V137" s="249">
        <v>22</v>
      </c>
      <c r="W137" s="247">
        <f t="shared" si="92"/>
        <v>80.000000000000028</v>
      </c>
      <c r="X137" s="53">
        <v>0.59722222222222221</v>
      </c>
      <c r="Y137" s="53">
        <v>0.60763888888888895</v>
      </c>
      <c r="Z137" s="54"/>
      <c r="AA137" s="54"/>
      <c r="AB137" s="673"/>
      <c r="AC137" s="673"/>
      <c r="AD137" s="500">
        <v>1</v>
      </c>
      <c r="AE137" s="500"/>
      <c r="AF137" s="48">
        <f t="shared" si="61"/>
        <v>-185.75000000000045</v>
      </c>
      <c r="AG137" s="125">
        <f t="shared" si="62"/>
        <v>0.88130990415335431</v>
      </c>
      <c r="AH137" s="672"/>
    </row>
    <row r="138" spans="1:34" ht="19.2" customHeight="1">
      <c r="A138" s="676"/>
      <c r="B138" s="486" t="s">
        <v>127</v>
      </c>
      <c r="C138" s="223"/>
      <c r="D138" s="82" t="s">
        <v>169</v>
      </c>
      <c r="E138" s="83"/>
      <c r="F138" s="343">
        <v>50.67</v>
      </c>
      <c r="G138" s="57">
        <v>1562</v>
      </c>
      <c r="H138" s="84">
        <f t="shared" si="89"/>
        <v>79146.540000000008</v>
      </c>
      <c r="I138" s="500"/>
      <c r="J138" s="87">
        <v>18</v>
      </c>
      <c r="K138" s="57">
        <v>1500</v>
      </c>
      <c r="L138" s="86">
        <v>83.333333333333329</v>
      </c>
      <c r="M138" s="228">
        <v>18</v>
      </c>
      <c r="N138" s="57">
        <f t="shared" si="90"/>
        <v>1420.0000000000016</v>
      </c>
      <c r="O138" s="86">
        <f t="shared" si="91"/>
        <v>78.888888888888971</v>
      </c>
      <c r="P138" s="54">
        <f t="shared" si="86"/>
        <v>0</v>
      </c>
      <c r="Q138" s="88">
        <f t="shared" si="87"/>
        <v>-4.4444444444443576</v>
      </c>
      <c r="R138" s="499">
        <f t="shared" si="88"/>
        <v>0.94666666666666766</v>
      </c>
      <c r="S138" s="679"/>
      <c r="T138" s="50">
        <v>0.66805555555555551</v>
      </c>
      <c r="U138" s="50">
        <v>0.7138888888888888</v>
      </c>
      <c r="V138" s="249">
        <v>6</v>
      </c>
      <c r="W138" s="247">
        <f t="shared" si="92"/>
        <v>65.999999999999929</v>
      </c>
      <c r="X138" s="53"/>
      <c r="Y138" s="53"/>
      <c r="Z138" s="54"/>
      <c r="AA138" s="54"/>
      <c r="AB138" s="673"/>
      <c r="AC138" s="673"/>
      <c r="AD138" s="500"/>
      <c r="AE138" s="500"/>
      <c r="AF138" s="48">
        <f t="shared" si="61"/>
        <v>-79.999999999998408</v>
      </c>
      <c r="AG138" s="125">
        <f t="shared" si="62"/>
        <v>0.94666666666666777</v>
      </c>
      <c r="AH138" s="672"/>
    </row>
    <row r="139" spans="1:34" ht="19.2" customHeight="1">
      <c r="A139" s="676"/>
      <c r="B139" s="486" t="s">
        <v>127</v>
      </c>
      <c r="C139" s="496"/>
      <c r="D139" s="42" t="s">
        <v>84</v>
      </c>
      <c r="E139" s="43"/>
      <c r="F139" s="343">
        <v>50.98</v>
      </c>
      <c r="G139" s="57">
        <v>1543</v>
      </c>
      <c r="H139" s="84">
        <f t="shared" si="89"/>
        <v>78662.14</v>
      </c>
      <c r="I139" s="500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1341.7391304347811</v>
      </c>
      <c r="O139" s="86">
        <f t="shared" si="91"/>
        <v>67.086956521739054</v>
      </c>
      <c r="P139" s="54">
        <f t="shared" si="86"/>
        <v>0</v>
      </c>
      <c r="Q139" s="88">
        <f t="shared" si="87"/>
        <v>-4.9130434782609456</v>
      </c>
      <c r="R139" s="493">
        <f t="shared" si="88"/>
        <v>0.93176328502415351</v>
      </c>
      <c r="S139" s="679"/>
      <c r="T139" s="50">
        <v>0.75416666666666654</v>
      </c>
      <c r="U139" s="50">
        <v>0.80208333333333326</v>
      </c>
      <c r="V139" s="250">
        <v>5</v>
      </c>
      <c r="W139" s="247">
        <f t="shared" si="92"/>
        <v>69.000000000000071</v>
      </c>
      <c r="X139" s="53"/>
      <c r="Y139" s="53"/>
      <c r="Z139" s="54"/>
      <c r="AA139" s="54"/>
      <c r="AB139" s="673"/>
      <c r="AC139" s="673"/>
      <c r="AD139" s="500"/>
      <c r="AE139" s="500"/>
      <c r="AF139" s="48">
        <f t="shared" si="61"/>
        <v>-98.260869565218854</v>
      </c>
      <c r="AG139" s="125">
        <f t="shared" si="62"/>
        <v>0.93176328502415362</v>
      </c>
      <c r="AH139" s="672"/>
    </row>
    <row r="140" spans="1:34" ht="19.2" customHeight="1">
      <c r="A140" s="677"/>
      <c r="B140" s="486" t="s">
        <v>127</v>
      </c>
      <c r="C140" s="496"/>
      <c r="D140" s="251" t="s">
        <v>83</v>
      </c>
      <c r="E140" s="83"/>
      <c r="F140" s="343">
        <v>50.67</v>
      </c>
      <c r="G140" s="57">
        <v>1034</v>
      </c>
      <c r="H140" s="84">
        <f t="shared" si="89"/>
        <v>52392.78</v>
      </c>
      <c r="I140" s="500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1410</v>
      </c>
      <c r="O140" s="86">
        <f t="shared" si="91"/>
        <v>82.941176470588232</v>
      </c>
      <c r="P140" s="54">
        <f t="shared" si="86"/>
        <v>0</v>
      </c>
      <c r="Q140" s="88">
        <f t="shared" si="87"/>
        <v>-5.294117647058826</v>
      </c>
      <c r="R140" s="493">
        <f t="shared" si="88"/>
        <v>0.94</v>
      </c>
      <c r="S140" s="680"/>
      <c r="T140" s="63">
        <v>0.8076388888888888</v>
      </c>
      <c r="U140" s="252">
        <v>0.83819444444444435</v>
      </c>
      <c r="V140" s="253">
        <v>8</v>
      </c>
      <c r="W140" s="247">
        <f t="shared" si="92"/>
        <v>44</v>
      </c>
      <c r="X140" s="53"/>
      <c r="Y140" s="53"/>
      <c r="Z140" s="54"/>
      <c r="AA140" s="54"/>
      <c r="AB140" s="673"/>
      <c r="AC140" s="673"/>
      <c r="AD140" s="500"/>
      <c r="AE140" s="500"/>
      <c r="AF140" s="48">
        <f t="shared" si="61"/>
        <v>-90</v>
      </c>
      <c r="AG140" s="125">
        <f t="shared" si="62"/>
        <v>0.94</v>
      </c>
      <c r="AH140" s="672"/>
    </row>
    <row r="141" spans="1:34" ht="19.2" customHeight="1">
      <c r="A141" s="677"/>
      <c r="B141" s="486" t="s">
        <v>127</v>
      </c>
      <c r="C141" s="496"/>
      <c r="D141" s="42" t="s">
        <v>85</v>
      </c>
      <c r="E141" s="254"/>
      <c r="F141" s="343">
        <v>50.92</v>
      </c>
      <c r="G141" s="57">
        <v>2056</v>
      </c>
      <c r="H141" s="84">
        <f t="shared" si="89"/>
        <v>104691.52</v>
      </c>
      <c r="I141" s="500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1340.8695652173915</v>
      </c>
      <c r="O141" s="86">
        <f t="shared" si="91"/>
        <v>70.572082379862707</v>
      </c>
      <c r="P141" s="54">
        <f t="shared" si="86"/>
        <v>0</v>
      </c>
      <c r="Q141" s="88">
        <f t="shared" si="87"/>
        <v>-5.2173913043478137</v>
      </c>
      <c r="R141" s="493">
        <f t="shared" si="88"/>
        <v>0.93115942028985521</v>
      </c>
      <c r="S141" s="680"/>
      <c r="T141" s="63">
        <v>0.84305555555555545</v>
      </c>
      <c r="U141" s="252">
        <v>0.90694444444444433</v>
      </c>
      <c r="V141" s="55">
        <v>7</v>
      </c>
      <c r="W141" s="247">
        <f t="shared" si="92"/>
        <v>92</v>
      </c>
      <c r="X141" s="53"/>
      <c r="Y141" s="53"/>
      <c r="Z141" s="54"/>
      <c r="AA141" s="54"/>
      <c r="AB141" s="673"/>
      <c r="AC141" s="673"/>
      <c r="AD141" s="500"/>
      <c r="AE141" s="500">
        <v>1</v>
      </c>
      <c r="AF141" s="48">
        <f t="shared" si="61"/>
        <v>-99.130434782608518</v>
      </c>
      <c r="AG141" s="125">
        <f t="shared" si="62"/>
        <v>0.93115942028985521</v>
      </c>
      <c r="AH141" s="672"/>
    </row>
    <row r="142" spans="1:34" ht="19.2" customHeight="1">
      <c r="A142" s="677"/>
      <c r="B142" s="486" t="s">
        <v>127</v>
      </c>
      <c r="C142" s="496"/>
      <c r="D142" s="42" t="s">
        <v>86</v>
      </c>
      <c r="E142" s="254"/>
      <c r="F142" s="343">
        <v>50.67</v>
      </c>
      <c r="G142" s="57">
        <v>886</v>
      </c>
      <c r="H142" s="84">
        <f t="shared" si="89"/>
        <v>44893.62</v>
      </c>
      <c r="I142" s="500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1363.0769230769222</v>
      </c>
      <c r="O142" s="86">
        <f t="shared" si="91"/>
        <v>80.180995475113065</v>
      </c>
      <c r="P142" s="54">
        <f t="shared" si="86"/>
        <v>0</v>
      </c>
      <c r="Q142" s="88">
        <f t="shared" si="87"/>
        <v>-4.5248868778281093</v>
      </c>
      <c r="R142" s="493">
        <f t="shared" si="88"/>
        <v>0.94658119658119588</v>
      </c>
      <c r="S142" s="680"/>
      <c r="T142" s="63">
        <v>0.92291666666666661</v>
      </c>
      <c r="U142" s="252">
        <v>0.95</v>
      </c>
      <c r="V142" s="55">
        <v>23</v>
      </c>
      <c r="W142" s="247">
        <f t="shared" si="92"/>
        <v>39.000000000000021</v>
      </c>
      <c r="X142" s="53">
        <v>0.91111111111111109</v>
      </c>
      <c r="Y142" s="53">
        <v>0.92222222222222217</v>
      </c>
      <c r="Z142" s="54"/>
      <c r="AA142" s="54"/>
      <c r="AB142" s="673"/>
      <c r="AC142" s="673"/>
      <c r="AD142" s="500"/>
      <c r="AE142" s="500"/>
      <c r="AF142" s="48">
        <f t="shared" si="61"/>
        <v>-76.923076923077815</v>
      </c>
      <c r="AG142" s="125">
        <f t="shared" si="62"/>
        <v>0.94658119658119599</v>
      </c>
      <c r="AH142" s="672"/>
    </row>
    <row r="143" spans="1:34" ht="19.2" customHeight="1">
      <c r="A143" s="677"/>
      <c r="B143" s="486" t="s">
        <v>127</v>
      </c>
      <c r="C143" s="255"/>
      <c r="D143" s="82" t="s">
        <v>87</v>
      </c>
      <c r="E143" s="83"/>
      <c r="F143" s="343">
        <v>50.49</v>
      </c>
      <c r="G143" s="57">
        <v>1240</v>
      </c>
      <c r="H143" s="84">
        <f t="shared" si="89"/>
        <v>62607.600000000006</v>
      </c>
      <c r="I143" s="500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1352.7272727272737</v>
      </c>
      <c r="O143" s="86">
        <f t="shared" si="91"/>
        <v>90.181818181818244</v>
      </c>
      <c r="P143" s="54">
        <f t="shared" si="86"/>
        <v>1</v>
      </c>
      <c r="Q143" s="88">
        <f t="shared" si="87"/>
        <v>-12.675324675324617</v>
      </c>
      <c r="R143" s="493">
        <f t="shared" si="88"/>
        <v>0.87676767676767731</v>
      </c>
      <c r="S143" s="680"/>
      <c r="T143" s="63">
        <v>0.95416666666666661</v>
      </c>
      <c r="U143" s="252">
        <v>0.99236111111111103</v>
      </c>
      <c r="V143" s="55">
        <v>6</v>
      </c>
      <c r="W143" s="247">
        <f t="shared" si="92"/>
        <v>54.999999999999964</v>
      </c>
      <c r="X143" s="53"/>
      <c r="Y143" s="53"/>
      <c r="Z143" s="54"/>
      <c r="AA143" s="54"/>
      <c r="AB143" s="673"/>
      <c r="AC143" s="673"/>
      <c r="AD143" s="500"/>
      <c r="AE143" s="500"/>
      <c r="AF143" s="48">
        <f t="shared" si="61"/>
        <v>-87.272727272726343</v>
      </c>
      <c r="AG143" s="125">
        <f t="shared" si="62"/>
        <v>0.93939393939394</v>
      </c>
      <c r="AH143" s="672"/>
    </row>
    <row r="144" spans="1:34" ht="19.2" customHeight="1">
      <c r="A144" s="677"/>
      <c r="B144" s="486">
        <v>0</v>
      </c>
      <c r="C144" s="496"/>
      <c r="D144" s="42"/>
      <c r="E144" s="254"/>
      <c r="F144" s="343" t="s">
        <v>128</v>
      </c>
      <c r="G144" s="57"/>
      <c r="H144" s="84"/>
      <c r="I144" s="500"/>
      <c r="J144" s="46"/>
      <c r="K144" s="44"/>
      <c r="L144" s="47"/>
      <c r="M144" s="489"/>
      <c r="N144" s="57"/>
      <c r="O144" s="86"/>
      <c r="P144" s="54"/>
      <c r="Q144" s="88"/>
      <c r="R144" s="493"/>
      <c r="S144" s="680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673"/>
      <c r="AC144" s="673"/>
      <c r="AD144" s="500"/>
      <c r="AE144" s="500"/>
      <c r="AF144" s="48">
        <f t="shared" si="61"/>
        <v>0</v>
      </c>
      <c r="AG144" s="125" t="e">
        <f t="shared" si="62"/>
        <v>#DIV/0!</v>
      </c>
      <c r="AH144" s="672"/>
    </row>
    <row r="145" spans="1:34" ht="19.2" customHeight="1">
      <c r="A145" s="677"/>
      <c r="B145" s="486">
        <v>0</v>
      </c>
      <c r="C145" s="496"/>
      <c r="D145" s="42"/>
      <c r="E145" s="254"/>
      <c r="F145" s="343" t="s">
        <v>128</v>
      </c>
      <c r="G145" s="57" t="s">
        <v>15</v>
      </c>
      <c r="H145" s="84"/>
      <c r="I145" s="500"/>
      <c r="J145" s="87"/>
      <c r="K145" s="57"/>
      <c r="L145" s="86"/>
      <c r="M145" s="489"/>
      <c r="N145" s="57"/>
      <c r="O145" s="86"/>
      <c r="P145" s="54"/>
      <c r="Q145" s="88"/>
      <c r="R145" s="493"/>
      <c r="S145" s="680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673"/>
      <c r="AC145" s="673"/>
      <c r="AD145" s="500"/>
      <c r="AE145" s="500"/>
      <c r="AF145" s="48">
        <f t="shared" si="61"/>
        <v>0</v>
      </c>
      <c r="AG145" s="125" t="e">
        <f t="shared" si="62"/>
        <v>#DIV/0!</v>
      </c>
      <c r="AH145" s="672"/>
    </row>
    <row r="146" spans="1:34" ht="19.2" customHeight="1">
      <c r="A146" s="677"/>
      <c r="B146" s="488">
        <v>0</v>
      </c>
      <c r="C146" s="255"/>
      <c r="D146" s="256"/>
      <c r="E146" s="254"/>
      <c r="F146" s="343" t="s">
        <v>128</v>
      </c>
      <c r="G146" s="57"/>
      <c r="H146" s="84">
        <f t="shared" si="89"/>
        <v>0</v>
      </c>
      <c r="I146" s="500"/>
      <c r="J146" s="87"/>
      <c r="K146" s="57"/>
      <c r="L146" s="86"/>
      <c r="M146" s="489"/>
      <c r="N146" s="57"/>
      <c r="O146" s="86"/>
      <c r="P146" s="54"/>
      <c r="Q146" s="88"/>
      <c r="R146" s="493"/>
      <c r="S146" s="680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673"/>
      <c r="AC146" s="673"/>
      <c r="AD146" s="500"/>
      <c r="AE146" s="500"/>
      <c r="AF146" s="54"/>
      <c r="AG146" s="493"/>
      <c r="AH146" s="672"/>
    </row>
    <row r="147" spans="1:34" ht="19.2" customHeight="1">
      <c r="A147" s="678"/>
      <c r="B147" s="257">
        <v>0</v>
      </c>
      <c r="C147" s="100" t="s">
        <v>530</v>
      </c>
      <c r="D147" s="669" t="s">
        <v>455</v>
      </c>
      <c r="E147" s="669"/>
      <c r="F147" s="35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42">
        <f t="shared" ref="M147:O147" si="93">AVERAGE(M135:M146)</f>
        <v>17.222222222222221</v>
      </c>
      <c r="N147" s="242">
        <f t="shared" si="93"/>
        <v>1378.4098739424826</v>
      </c>
      <c r="O147" s="243">
        <f t="shared" si="93"/>
        <v>80.640272572759145</v>
      </c>
      <c r="P147" s="51">
        <f t="shared" ref="P147:P154" si="94">M147-J147</f>
        <v>0.22222222222222143</v>
      </c>
      <c r="Q147" s="139">
        <f t="shared" ref="Q147:Q154" si="95">O147-L147</f>
        <v>-7.3856859100491903</v>
      </c>
      <c r="R147" s="258">
        <f t="shared" ref="R147:R154" si="96">O147/L147</f>
        <v>0.91609650110777685</v>
      </c>
      <c r="S147" s="681"/>
      <c r="T147" s="63"/>
      <c r="U147" s="63"/>
      <c r="V147" s="55"/>
      <c r="W147" s="483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673"/>
      <c r="AC147" s="673"/>
      <c r="AD147" s="107">
        <f>SUM(AD135:AD146)</f>
        <v>1</v>
      </c>
      <c r="AE147" s="107">
        <f>SUM(AE135:AE146)</f>
        <v>1</v>
      </c>
      <c r="AF147" s="204">
        <f t="shared" si="61"/>
        <v>-102.14568161307307</v>
      </c>
      <c r="AG147" s="259">
        <f t="shared" si="62"/>
        <v>0.9310085452519582</v>
      </c>
      <c r="AH147" s="672"/>
    </row>
    <row r="148" spans="1:34" ht="19.2" customHeight="1">
      <c r="A148" s="684" t="s">
        <v>531</v>
      </c>
      <c r="B148" s="500" t="s">
        <v>125</v>
      </c>
      <c r="C148" s="121"/>
      <c r="D148" s="173" t="s">
        <v>137</v>
      </c>
      <c r="E148" s="43"/>
      <c r="F148" s="350">
        <v>36.92</v>
      </c>
      <c r="G148" s="57">
        <v>2790</v>
      </c>
      <c r="H148" s="84">
        <f t="shared" ref="H148:H172" si="97">F148*G148</f>
        <v>103006.8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4" si="98">G148/W148*60</f>
        <v>1430.7692307692309</v>
      </c>
      <c r="O148" s="47">
        <f t="shared" ref="O148:O154" si="99">N148/M148</f>
        <v>119.23076923076924</v>
      </c>
      <c r="P148" s="48">
        <f t="shared" si="94"/>
        <v>0</v>
      </c>
      <c r="Q148" s="49">
        <f t="shared" si="95"/>
        <v>-47.435897435897417</v>
      </c>
      <c r="R148" s="490">
        <f t="shared" si="96"/>
        <v>0.71538461538461551</v>
      </c>
      <c r="S148" s="685">
        <f>R160</f>
        <v>0.84160348048835643</v>
      </c>
      <c r="T148" s="246">
        <v>0.45833333333333331</v>
      </c>
      <c r="U148" s="50">
        <v>0.5395833333333333</v>
      </c>
      <c r="V148" s="486">
        <v>5</v>
      </c>
      <c r="W148" s="483">
        <f>(U148-T148)*24*60</f>
        <v>116.99999999999999</v>
      </c>
      <c r="X148" s="53"/>
      <c r="Y148" s="53"/>
      <c r="Z148" s="54"/>
      <c r="AA148" s="54"/>
      <c r="AB148" s="673"/>
      <c r="AC148" s="673"/>
      <c r="AD148" s="500"/>
      <c r="AE148" s="500"/>
      <c r="AF148" s="48">
        <f t="shared" si="61"/>
        <v>-569.23076923076906</v>
      </c>
      <c r="AG148" s="125">
        <f t="shared" si="62"/>
        <v>0.71538461538461551</v>
      </c>
      <c r="AH148" s="672">
        <f>AG160</f>
        <v>0.80604274172982582</v>
      </c>
    </row>
    <row r="149" spans="1:34" ht="19.2" customHeight="1">
      <c r="A149" s="684"/>
      <c r="B149" s="500" t="s">
        <v>125</v>
      </c>
      <c r="C149" s="221"/>
      <c r="D149" s="251" t="s">
        <v>190</v>
      </c>
      <c r="E149" s="60"/>
      <c r="F149" s="350">
        <v>26.5</v>
      </c>
      <c r="G149" s="57">
        <v>965.99999999999989</v>
      </c>
      <c r="H149" s="84">
        <f t="shared" si="97"/>
        <v>25598.999999999996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1448.9999999999993</v>
      </c>
      <c r="O149" s="47">
        <f t="shared" si="99"/>
        <v>120.74999999999994</v>
      </c>
      <c r="P149" s="48">
        <f t="shared" si="94"/>
        <v>0</v>
      </c>
      <c r="Q149" s="49">
        <f t="shared" si="95"/>
        <v>-45.916666666666714</v>
      </c>
      <c r="R149" s="490">
        <f t="shared" si="96"/>
        <v>0.7244999999999997</v>
      </c>
      <c r="S149" s="686"/>
      <c r="T149" s="246">
        <v>0.54305555555555551</v>
      </c>
      <c r="U149" s="50">
        <v>0.5708333333333333</v>
      </c>
      <c r="V149" s="486">
        <v>5</v>
      </c>
      <c r="W149" s="483">
        <f t="shared" ref="W149:W159" si="100">(U149-T149)*24*60</f>
        <v>40.000000000000014</v>
      </c>
      <c r="X149" s="53"/>
      <c r="Y149" s="53"/>
      <c r="Z149" s="54"/>
      <c r="AA149" s="54"/>
      <c r="AB149" s="673"/>
      <c r="AC149" s="673"/>
      <c r="AD149" s="500"/>
      <c r="AE149" s="500"/>
      <c r="AF149" s="48">
        <f t="shared" si="61"/>
        <v>-551.00000000000068</v>
      </c>
      <c r="AG149" s="125">
        <f t="shared" si="62"/>
        <v>0.7244999999999997</v>
      </c>
      <c r="AH149" s="674"/>
    </row>
    <row r="150" spans="1:34" ht="19.2" customHeight="1">
      <c r="A150" s="684"/>
      <c r="B150" s="500" t="s">
        <v>125</v>
      </c>
      <c r="C150" s="221"/>
      <c r="D150" s="176" t="s">
        <v>196</v>
      </c>
      <c r="E150" s="60"/>
      <c r="F150" s="350">
        <v>55.51</v>
      </c>
      <c r="G150" s="57">
        <v>183</v>
      </c>
      <c r="H150" s="84">
        <f t="shared" si="97"/>
        <v>10158.33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1220.0000000000043</v>
      </c>
      <c r="O150" s="47">
        <f t="shared" si="99"/>
        <v>101.66666666666703</v>
      </c>
      <c r="P150" s="48">
        <f t="shared" si="94"/>
        <v>0</v>
      </c>
      <c r="Q150" s="49">
        <f t="shared" si="95"/>
        <v>-23.333333333332973</v>
      </c>
      <c r="R150" s="490">
        <f t="shared" si="96"/>
        <v>0.81333333333333624</v>
      </c>
      <c r="S150" s="686"/>
      <c r="T150" s="246">
        <v>0.70833333333333337</v>
      </c>
      <c r="U150" s="50">
        <v>0.71458333333333335</v>
      </c>
      <c r="V150" s="486">
        <v>5</v>
      </c>
      <c r="W150" s="483">
        <f t="shared" si="100"/>
        <v>8.999999999999968</v>
      </c>
      <c r="X150" s="216"/>
      <c r="Y150" s="216"/>
      <c r="Z150" s="217"/>
      <c r="AA150" s="217"/>
      <c r="AB150" s="673"/>
      <c r="AC150" s="673"/>
      <c r="AD150" s="500"/>
      <c r="AE150" s="500"/>
      <c r="AF150" s="48">
        <f t="shared" si="61"/>
        <v>-279.99999999999568</v>
      </c>
      <c r="AG150" s="125">
        <f t="shared" si="62"/>
        <v>0.81333333333333624</v>
      </c>
      <c r="AH150" s="674"/>
    </row>
    <row r="151" spans="1:34" s="218" customFormat="1" ht="19.2" customHeight="1">
      <c r="A151" s="684"/>
      <c r="B151" s="500" t="s">
        <v>126</v>
      </c>
      <c r="C151" s="221"/>
      <c r="D151" s="59" t="s">
        <v>182</v>
      </c>
      <c r="E151" s="60"/>
      <c r="F151" s="350">
        <v>28.57</v>
      </c>
      <c r="G151" s="57">
        <v>1474</v>
      </c>
      <c r="H151" s="84">
        <f t="shared" si="97"/>
        <v>42112.18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1426.451612903227</v>
      </c>
      <c r="O151" s="47">
        <f t="shared" si="99"/>
        <v>118.87096774193559</v>
      </c>
      <c r="P151" s="48">
        <f t="shared" si="94"/>
        <v>0</v>
      </c>
      <c r="Q151" s="49">
        <f t="shared" si="95"/>
        <v>-6.129032258064413</v>
      </c>
      <c r="R151" s="490">
        <f t="shared" si="96"/>
        <v>0.95096774193548472</v>
      </c>
      <c r="S151" s="686"/>
      <c r="T151" s="246">
        <v>0.71805555555555556</v>
      </c>
      <c r="U151" s="50">
        <v>0.76111111111111107</v>
      </c>
      <c r="V151" s="486">
        <v>5</v>
      </c>
      <c r="W151" s="483">
        <f t="shared" si="100"/>
        <v>61.999999999999943</v>
      </c>
      <c r="X151" s="216"/>
      <c r="Y151" s="216"/>
      <c r="Z151" s="217"/>
      <c r="AA151" s="217"/>
      <c r="AB151" s="673"/>
      <c r="AC151" s="673"/>
      <c r="AD151" s="221"/>
      <c r="AE151" s="221"/>
      <c r="AF151" s="48">
        <f t="shared" si="61"/>
        <v>-73.548387096773013</v>
      </c>
      <c r="AG151" s="125">
        <f t="shared" si="62"/>
        <v>0.95096774193548461</v>
      </c>
      <c r="AH151" s="674"/>
    </row>
    <row r="152" spans="1:34" s="218" customFormat="1" ht="19.2" customHeight="1">
      <c r="A152" s="684"/>
      <c r="B152" s="500" t="s">
        <v>126</v>
      </c>
      <c r="C152" s="221"/>
      <c r="D152" s="59" t="s">
        <v>170</v>
      </c>
      <c r="E152" s="60"/>
      <c r="F152" s="350">
        <v>20.420000000000002</v>
      </c>
      <c r="G152" s="57">
        <v>278</v>
      </c>
      <c r="H152" s="84">
        <f t="shared" si="97"/>
        <v>5676.76</v>
      </c>
      <c r="I152" s="260"/>
      <c r="J152" s="87">
        <v>12</v>
      </c>
      <c r="K152" s="57">
        <v>1500</v>
      </c>
      <c r="L152" s="86">
        <v>125</v>
      </c>
      <c r="M152" s="228">
        <v>10</v>
      </c>
      <c r="N152" s="44">
        <f t="shared" si="98"/>
        <v>981.17647058823889</v>
      </c>
      <c r="O152" s="47">
        <f t="shared" si="99"/>
        <v>98.117647058823891</v>
      </c>
      <c r="P152" s="48">
        <f t="shared" si="94"/>
        <v>-2</v>
      </c>
      <c r="Q152" s="49">
        <f t="shared" si="95"/>
        <v>-26.882352941176109</v>
      </c>
      <c r="R152" s="490">
        <f t="shared" si="96"/>
        <v>0.78494117647059114</v>
      </c>
      <c r="S152" s="686"/>
      <c r="T152" s="261">
        <v>0.76458333333333328</v>
      </c>
      <c r="U152" s="63">
        <v>0.7763888888888888</v>
      </c>
      <c r="V152" s="487">
        <v>5</v>
      </c>
      <c r="W152" s="483">
        <f t="shared" si="100"/>
        <v>16.99999999999994</v>
      </c>
      <c r="X152" s="219"/>
      <c r="Y152" s="219"/>
      <c r="Z152" s="217"/>
      <c r="AA152" s="217"/>
      <c r="AB152" s="673"/>
      <c r="AC152" s="673"/>
      <c r="AD152" s="221"/>
      <c r="AE152" s="221">
        <v>1</v>
      </c>
      <c r="AF152" s="48">
        <f t="shared" si="61"/>
        <v>-518.82352941176111</v>
      </c>
      <c r="AG152" s="125">
        <f t="shared" si="62"/>
        <v>0.65411764705882591</v>
      </c>
      <c r="AH152" s="674"/>
    </row>
    <row r="153" spans="1:34" s="218" customFormat="1" ht="19.2" customHeight="1">
      <c r="A153" s="684"/>
      <c r="B153" s="500" t="s">
        <v>126</v>
      </c>
      <c r="C153" s="221"/>
      <c r="D153" s="251" t="s">
        <v>211</v>
      </c>
      <c r="E153" s="60"/>
      <c r="F153" s="350">
        <v>18.920000000000002</v>
      </c>
      <c r="G153" s="57">
        <v>1291</v>
      </c>
      <c r="H153" s="84">
        <f t="shared" si="97"/>
        <v>24425.72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1936.4999999999995</v>
      </c>
      <c r="O153" s="47">
        <f t="shared" si="99"/>
        <v>387.2999999999999</v>
      </c>
      <c r="P153" s="48">
        <f t="shared" si="94"/>
        <v>0</v>
      </c>
      <c r="Q153" s="49">
        <f t="shared" si="95"/>
        <v>-52.700000000000102</v>
      </c>
      <c r="R153" s="490">
        <f t="shared" si="96"/>
        <v>0.88022727272727253</v>
      </c>
      <c r="S153" s="686"/>
      <c r="T153" s="261">
        <v>0.77986111111111101</v>
      </c>
      <c r="U153" s="63">
        <v>0.8076388888888888</v>
      </c>
      <c r="V153" s="487">
        <v>5</v>
      </c>
      <c r="W153" s="483">
        <f t="shared" si="100"/>
        <v>40.000000000000014</v>
      </c>
      <c r="X153" s="219"/>
      <c r="Y153" s="219"/>
      <c r="Z153" s="217"/>
      <c r="AA153" s="217"/>
      <c r="AB153" s="673"/>
      <c r="AC153" s="673"/>
      <c r="AD153" s="221"/>
      <c r="AE153" s="221"/>
      <c r="AF153" s="48">
        <f t="shared" si="61"/>
        <v>-263.50000000000045</v>
      </c>
      <c r="AG153" s="125">
        <f t="shared" si="62"/>
        <v>0.88022727272727253</v>
      </c>
      <c r="AH153" s="674"/>
    </row>
    <row r="154" spans="1:34" s="218" customFormat="1" ht="19.2" customHeight="1">
      <c r="A154" s="684"/>
      <c r="B154" s="500" t="s">
        <v>126</v>
      </c>
      <c r="C154" s="221"/>
      <c r="D154" s="251" t="s">
        <v>212</v>
      </c>
      <c r="E154" s="60"/>
      <c r="F154" s="350">
        <v>17.71</v>
      </c>
      <c r="G154" s="57">
        <v>1205</v>
      </c>
      <c r="H154" s="84">
        <f t="shared" si="97"/>
        <v>21340.55</v>
      </c>
      <c r="I154" s="260"/>
      <c r="J154" s="87">
        <v>5</v>
      </c>
      <c r="K154" s="57">
        <v>2200</v>
      </c>
      <c r="L154" s="86">
        <v>440</v>
      </c>
      <c r="M154" s="199">
        <v>5</v>
      </c>
      <c r="N154" s="44">
        <f t="shared" si="98"/>
        <v>1954.0540540540526</v>
      </c>
      <c r="O154" s="47">
        <f t="shared" si="99"/>
        <v>390.81081081081049</v>
      </c>
      <c r="P154" s="48">
        <f t="shared" si="94"/>
        <v>0</v>
      </c>
      <c r="Q154" s="49">
        <f t="shared" si="95"/>
        <v>-49.189189189189506</v>
      </c>
      <c r="R154" s="490">
        <f t="shared" si="96"/>
        <v>0.88820638820638753</v>
      </c>
      <c r="S154" s="686"/>
      <c r="T154" s="261">
        <v>0.81111111111111101</v>
      </c>
      <c r="U154" s="63">
        <v>0.83680555555555547</v>
      </c>
      <c r="V154" s="487">
        <v>5</v>
      </c>
      <c r="W154" s="483">
        <f t="shared" si="100"/>
        <v>37.000000000000028</v>
      </c>
      <c r="X154" s="219"/>
      <c r="Y154" s="219"/>
      <c r="Z154" s="217"/>
      <c r="AA154" s="217"/>
      <c r="AB154" s="673"/>
      <c r="AC154" s="673"/>
      <c r="AD154" s="221"/>
      <c r="AE154" s="221">
        <v>1</v>
      </c>
      <c r="AF154" s="48">
        <f t="shared" si="61"/>
        <v>-245.94594594594741</v>
      </c>
      <c r="AG154" s="125">
        <f t="shared" si="62"/>
        <v>0.88820638820638753</v>
      </c>
      <c r="AH154" s="674"/>
    </row>
    <row r="155" spans="1:34" s="218" customFormat="1" ht="19.2" customHeight="1">
      <c r="A155" s="684"/>
      <c r="B155" s="500">
        <v>0</v>
      </c>
      <c r="C155" s="221"/>
      <c r="D155" s="251"/>
      <c r="E155" s="60"/>
      <c r="F155" s="350" t="s">
        <v>128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90"/>
      <c r="S155" s="686"/>
      <c r="T155" s="261"/>
      <c r="U155" s="63"/>
      <c r="V155" s="487"/>
      <c r="W155" s="483">
        <f t="shared" si="100"/>
        <v>0</v>
      </c>
      <c r="X155" s="219"/>
      <c r="Y155" s="219"/>
      <c r="Z155" s="217"/>
      <c r="AA155" s="217"/>
      <c r="AB155" s="673"/>
      <c r="AC155" s="673"/>
      <c r="AD155" s="221"/>
      <c r="AE155" s="221"/>
      <c r="AF155" s="264"/>
      <c r="AG155" s="129"/>
      <c r="AH155" s="674"/>
    </row>
    <row r="156" spans="1:34" s="218" customFormat="1" ht="19.2" customHeight="1">
      <c r="A156" s="684"/>
      <c r="B156" s="221">
        <v>0</v>
      </c>
      <c r="C156" s="221"/>
      <c r="D156" s="251"/>
      <c r="E156" s="60"/>
      <c r="F156" s="350" t="s">
        <v>128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90"/>
      <c r="S156" s="686"/>
      <c r="T156" s="261"/>
      <c r="U156" s="63"/>
      <c r="V156" s="487"/>
      <c r="W156" s="265">
        <f t="shared" si="100"/>
        <v>0</v>
      </c>
      <c r="X156" s="219"/>
      <c r="Y156" s="219"/>
      <c r="Z156" s="217"/>
      <c r="AA156" s="217"/>
      <c r="AB156" s="673"/>
      <c r="AC156" s="673"/>
      <c r="AD156" s="221"/>
      <c r="AE156" s="221"/>
      <c r="AF156" s="264"/>
      <c r="AG156" s="129"/>
      <c r="AH156" s="674"/>
    </row>
    <row r="157" spans="1:34" s="218" customFormat="1" ht="19.2" customHeight="1">
      <c r="A157" s="684"/>
      <c r="B157" s="221">
        <v>0</v>
      </c>
      <c r="C157" s="221"/>
      <c r="D157" s="251"/>
      <c r="E157" s="60"/>
      <c r="F157" s="356" t="s">
        <v>128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686"/>
      <c r="T157" s="261"/>
      <c r="U157" s="63"/>
      <c r="V157" s="487"/>
      <c r="W157" s="265">
        <f t="shared" si="100"/>
        <v>0</v>
      </c>
      <c r="X157" s="219"/>
      <c r="Y157" s="219"/>
      <c r="Z157" s="217"/>
      <c r="AA157" s="217"/>
      <c r="AB157" s="673"/>
      <c r="AC157" s="673"/>
      <c r="AD157" s="221"/>
      <c r="AE157" s="221"/>
      <c r="AF157" s="264"/>
      <c r="AG157" s="129"/>
      <c r="AH157" s="674"/>
    </row>
    <row r="158" spans="1:34" s="218" customFormat="1" ht="19.2" customHeight="1">
      <c r="A158" s="684"/>
      <c r="B158" s="221">
        <v>0</v>
      </c>
      <c r="C158" s="221"/>
      <c r="D158" s="251"/>
      <c r="E158" s="60"/>
      <c r="F158" s="356" t="s">
        <v>128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686"/>
      <c r="T158" s="261"/>
      <c r="U158" s="63"/>
      <c r="V158" s="487"/>
      <c r="W158" s="265">
        <f t="shared" si="100"/>
        <v>0</v>
      </c>
      <c r="X158" s="219"/>
      <c r="Y158" s="219"/>
      <c r="Z158" s="217"/>
      <c r="AA158" s="217"/>
      <c r="AB158" s="673"/>
      <c r="AC158" s="673"/>
      <c r="AD158" s="221"/>
      <c r="AE158" s="221"/>
      <c r="AF158" s="264"/>
      <c r="AG158" s="129"/>
      <c r="AH158" s="674"/>
    </row>
    <row r="159" spans="1:34" s="218" customFormat="1" ht="19.2" customHeight="1">
      <c r="A159" s="684"/>
      <c r="B159" s="221">
        <v>0</v>
      </c>
      <c r="C159" s="221"/>
      <c r="D159" s="251"/>
      <c r="E159" s="60"/>
      <c r="F159" s="356" t="s">
        <v>128</v>
      </c>
      <c r="G159" s="57"/>
      <c r="H159" s="230">
        <f t="shared" si="97"/>
        <v>0</v>
      </c>
      <c r="I159" s="260"/>
      <c r="J159" s="262"/>
      <c r="K159" s="179"/>
      <c r="L159" s="131"/>
      <c r="M159" s="489"/>
      <c r="N159" s="179"/>
      <c r="O159" s="224"/>
      <c r="P159" s="263"/>
      <c r="Q159" s="74"/>
      <c r="R159" s="129"/>
      <c r="S159" s="686"/>
      <c r="T159" s="261"/>
      <c r="U159" s="63"/>
      <c r="V159" s="487"/>
      <c r="W159" s="266">
        <f t="shared" si="100"/>
        <v>0</v>
      </c>
      <c r="X159" s="219"/>
      <c r="Y159" s="219"/>
      <c r="Z159" s="217"/>
      <c r="AA159" s="217"/>
      <c r="AB159" s="673"/>
      <c r="AC159" s="673"/>
      <c r="AD159" s="221"/>
      <c r="AE159" s="221"/>
      <c r="AF159" s="264"/>
      <c r="AG159" s="129"/>
      <c r="AH159" s="674"/>
    </row>
    <row r="160" spans="1:34" ht="19.2" customHeight="1">
      <c r="A160" s="684"/>
      <c r="B160" s="267">
        <v>0</v>
      </c>
      <c r="C160" s="268" t="s">
        <v>532</v>
      </c>
      <c r="D160" s="682" t="s">
        <v>455</v>
      </c>
      <c r="E160" s="683"/>
      <c r="F160" s="344"/>
      <c r="G160" s="202"/>
      <c r="H160" s="201"/>
      <c r="I160" s="72"/>
      <c r="J160" s="269">
        <v>10</v>
      </c>
      <c r="K160" s="269">
        <v>1842.8571428571429</v>
      </c>
      <c r="L160" s="270">
        <v>226.9047619047619</v>
      </c>
      <c r="M160" s="269">
        <f t="shared" ref="M160:O160" si="101">AVERAGE(M148:M159)</f>
        <v>9.7142857142857135</v>
      </c>
      <c r="N160" s="269">
        <f t="shared" si="101"/>
        <v>1485.4216240449648</v>
      </c>
      <c r="O160" s="270">
        <f t="shared" si="101"/>
        <v>190.96383735842943</v>
      </c>
      <c r="P160" s="65">
        <f t="shared" ref="P160:P163" si="102">M160-J160</f>
        <v>-0.28571428571428648</v>
      </c>
      <c r="Q160" s="74">
        <f t="shared" ref="Q160:Q163" si="103">O160-L160</f>
        <v>-35.940924546332468</v>
      </c>
      <c r="R160" s="271">
        <f>O160/L160</f>
        <v>0.84160348048835643</v>
      </c>
      <c r="S160" s="686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673"/>
      <c r="AC160" s="673"/>
      <c r="AD160" s="79">
        <f>SUM(AD148:AD159)</f>
        <v>0</v>
      </c>
      <c r="AE160" s="79">
        <f>SUM(AE148:AE159)</f>
        <v>2</v>
      </c>
      <c r="AF160" s="65">
        <f t="shared" si="61"/>
        <v>-357.43551881217809</v>
      </c>
      <c r="AG160" s="129">
        <f t="shared" si="62"/>
        <v>0.80604274172982582</v>
      </c>
      <c r="AH160" s="674"/>
    </row>
    <row r="161" spans="1:36" ht="19.2" customHeight="1">
      <c r="A161" s="671" t="s">
        <v>533</v>
      </c>
      <c r="B161" s="121" t="s">
        <v>126</v>
      </c>
      <c r="C161" s="121"/>
      <c r="D161" s="82" t="s">
        <v>206</v>
      </c>
      <c r="E161" s="83"/>
      <c r="F161" s="349">
        <v>30.13</v>
      </c>
      <c r="G161" s="57">
        <v>3504.8</v>
      </c>
      <c r="H161" s="84">
        <f t="shared" ref="H161:H170" si="104">F161*G161</f>
        <v>105599.624</v>
      </c>
      <c r="I161" s="500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5" si="105">G161/W161*60</f>
        <v>1181.3932584269667</v>
      </c>
      <c r="O161" s="86">
        <f t="shared" ref="O161:O165" si="106">N161/M161</f>
        <v>65.632958801498148</v>
      </c>
      <c r="P161" s="54">
        <f t="shared" si="102"/>
        <v>0</v>
      </c>
      <c r="Q161" s="88">
        <f t="shared" si="103"/>
        <v>-1.0337078651685232</v>
      </c>
      <c r="R161" s="493">
        <f t="shared" ref="R161:R163" si="107">O161/L161</f>
        <v>0.98449438202247219</v>
      </c>
      <c r="S161" s="672">
        <f>R173</f>
        <v>0.90942203817792877</v>
      </c>
      <c r="T161" s="89">
        <v>0.16666666666666666</v>
      </c>
      <c r="U161" s="89">
        <v>0.29027777777777775</v>
      </c>
      <c r="V161" s="500">
        <v>5</v>
      </c>
      <c r="W161" s="90">
        <f t="shared" ref="W161:W172" si="108">(U161-T161)*24*60</f>
        <v>177.99999999999994</v>
      </c>
      <c r="X161" s="96"/>
      <c r="Y161" s="96"/>
      <c r="Z161" s="54"/>
      <c r="AA161" s="54"/>
      <c r="AB161" s="673"/>
      <c r="AC161" s="673"/>
      <c r="AD161" s="500"/>
      <c r="AE161" s="500"/>
      <c r="AF161" s="54">
        <f t="shared" si="61"/>
        <v>-18.606741573033332</v>
      </c>
      <c r="AG161" s="493">
        <f t="shared" si="62"/>
        <v>0.98449438202247219</v>
      </c>
      <c r="AH161" s="672">
        <f>AG173</f>
        <v>0.91661851816457063</v>
      </c>
    </row>
    <row r="162" spans="1:36" ht="19.2" customHeight="1">
      <c r="A162" s="671"/>
      <c r="B162" s="121" t="s">
        <v>126</v>
      </c>
      <c r="C162" s="121"/>
      <c r="D162" s="82" t="s">
        <v>89</v>
      </c>
      <c r="E162" s="83"/>
      <c r="F162" s="349">
        <v>34.229999999999997</v>
      </c>
      <c r="G162" s="57">
        <v>3632</v>
      </c>
      <c r="H162" s="84">
        <f t="shared" si="104"/>
        <v>124323.35999999999</v>
      </c>
      <c r="I162" s="500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2179.1999999999994</v>
      </c>
      <c r="O162" s="86">
        <f t="shared" si="106"/>
        <v>167.63076923076918</v>
      </c>
      <c r="P162" s="54">
        <f t="shared" si="102"/>
        <v>0</v>
      </c>
      <c r="Q162" s="88">
        <f t="shared" si="103"/>
        <v>-5.4461538461538908</v>
      </c>
      <c r="R162" s="493">
        <f t="shared" si="107"/>
        <v>0.96853333333333302</v>
      </c>
      <c r="S162" s="672"/>
      <c r="T162" s="89">
        <v>0.30555555555555552</v>
      </c>
      <c r="U162" s="89">
        <v>0.375</v>
      </c>
      <c r="V162" s="500">
        <v>22</v>
      </c>
      <c r="W162" s="90">
        <f t="shared" si="108"/>
        <v>100.00000000000004</v>
      </c>
      <c r="X162" s="96">
        <v>0.29444444444444445</v>
      </c>
      <c r="Y162" s="96">
        <v>0.30416666666666664</v>
      </c>
      <c r="Z162" s="54"/>
      <c r="AA162" s="54"/>
      <c r="AB162" s="673"/>
      <c r="AC162" s="673"/>
      <c r="AD162" s="500"/>
      <c r="AE162" s="500"/>
      <c r="AF162" s="54">
        <f t="shared" si="61"/>
        <v>-70.800000000000637</v>
      </c>
      <c r="AG162" s="493">
        <f t="shared" si="62"/>
        <v>0.96853333333333302</v>
      </c>
      <c r="AH162" s="672"/>
    </row>
    <row r="163" spans="1:36" ht="19.2" customHeight="1">
      <c r="A163" s="671"/>
      <c r="B163" s="121" t="s">
        <v>126</v>
      </c>
      <c r="C163" s="121"/>
      <c r="D163" s="248" t="s">
        <v>90</v>
      </c>
      <c r="E163" s="248"/>
      <c r="F163" s="349">
        <v>35.83</v>
      </c>
      <c r="G163" s="57">
        <v>3488.4</v>
      </c>
      <c r="H163" s="84">
        <f t="shared" si="104"/>
        <v>124989.372</v>
      </c>
      <c r="I163" s="500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2157.7731958762897</v>
      </c>
      <c r="O163" s="86">
        <f t="shared" si="106"/>
        <v>196.16119962511723</v>
      </c>
      <c r="P163" s="54">
        <f t="shared" si="102"/>
        <v>0</v>
      </c>
      <c r="Q163" s="88">
        <f t="shared" si="103"/>
        <v>-8.3842549203372982</v>
      </c>
      <c r="R163" s="493">
        <f t="shared" si="107"/>
        <v>0.95901030927835096</v>
      </c>
      <c r="S163" s="672"/>
      <c r="T163" s="89">
        <v>0.37916666666666665</v>
      </c>
      <c r="U163" s="89">
        <v>0.44652777777777775</v>
      </c>
      <c r="V163" s="500">
        <v>6</v>
      </c>
      <c r="W163" s="90">
        <f t="shared" si="108"/>
        <v>96.999999999999972</v>
      </c>
      <c r="X163" s="96"/>
      <c r="Y163" s="96"/>
      <c r="Z163" s="54"/>
      <c r="AA163" s="54"/>
      <c r="AB163" s="673"/>
      <c r="AC163" s="673"/>
      <c r="AD163" s="500"/>
      <c r="AE163" s="500"/>
      <c r="AF163" s="54">
        <f t="shared" si="61"/>
        <v>-92.226804123710281</v>
      </c>
      <c r="AG163" s="493">
        <f t="shared" si="62"/>
        <v>0.95901030927835096</v>
      </c>
      <c r="AH163" s="672"/>
    </row>
    <row r="164" spans="1:36" ht="19.2" customHeight="1">
      <c r="A164" s="671"/>
      <c r="B164" s="121" t="s">
        <v>126</v>
      </c>
      <c r="C164" s="121"/>
      <c r="D164" s="273" t="s">
        <v>62</v>
      </c>
      <c r="E164" s="273"/>
      <c r="F164" s="349">
        <v>36.409999999999997</v>
      </c>
      <c r="G164" s="57">
        <v>1589.2</v>
      </c>
      <c r="H164" s="84">
        <f t="shared" si="104"/>
        <v>57862.771999999997</v>
      </c>
      <c r="I164" s="500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2383.7999999999993</v>
      </c>
      <c r="O164" s="86">
        <f t="shared" si="106"/>
        <v>238.37999999999994</v>
      </c>
      <c r="P164" s="54">
        <f>M164-J164</f>
        <v>0</v>
      </c>
      <c r="Q164" s="88">
        <f>O164-L164</f>
        <v>-38.520000000000039</v>
      </c>
      <c r="R164" s="493">
        <f>O164/L164</f>
        <v>0.86088840736728045</v>
      </c>
      <c r="S164" s="672"/>
      <c r="T164" s="89">
        <v>0.45208333333333328</v>
      </c>
      <c r="U164" s="89">
        <v>0.47986111111111107</v>
      </c>
      <c r="V164" s="500">
        <v>8</v>
      </c>
      <c r="W164" s="90">
        <f t="shared" si="108"/>
        <v>40.000000000000014</v>
      </c>
      <c r="X164" s="96"/>
      <c r="Y164" s="96"/>
      <c r="Z164" s="54"/>
      <c r="AA164" s="54"/>
      <c r="AB164" s="673"/>
      <c r="AC164" s="673"/>
      <c r="AD164" s="500"/>
      <c r="AE164" s="500"/>
      <c r="AF164" s="54">
        <f>N164-K164</f>
        <v>-385.20000000000073</v>
      </c>
      <c r="AG164" s="493">
        <f>N164/K164</f>
        <v>0.86088840736728034</v>
      </c>
      <c r="AH164" s="672"/>
    </row>
    <row r="165" spans="1:36" ht="19.2" customHeight="1">
      <c r="A165" s="671"/>
      <c r="B165" s="121" t="s">
        <v>126</v>
      </c>
      <c r="C165" s="81"/>
      <c r="D165" s="82" t="s">
        <v>62</v>
      </c>
      <c r="E165" s="83"/>
      <c r="F165" s="346">
        <v>36.409999999999997</v>
      </c>
      <c r="G165" s="57">
        <v>6356.8</v>
      </c>
      <c r="H165" s="84">
        <f t="shared" si="104"/>
        <v>231451.08799999999</v>
      </c>
      <c r="I165" s="500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2398.7924528301901</v>
      </c>
      <c r="O165" s="86">
        <f t="shared" si="106"/>
        <v>239.879245283019</v>
      </c>
      <c r="P165" s="54">
        <f t="shared" ref="P165" si="109">M165-J165</f>
        <v>0</v>
      </c>
      <c r="Q165" s="88">
        <f t="shared" ref="Q165" si="110">O165-L165</f>
        <v>-37.020754716980974</v>
      </c>
      <c r="R165" s="493">
        <f t="shared" ref="R165" si="111">O165/L165</f>
        <v>0.86630279986644643</v>
      </c>
      <c r="S165" s="672"/>
      <c r="T165" s="89">
        <v>0.52083333333333326</v>
      </c>
      <c r="U165" s="89">
        <v>0.63124999999999987</v>
      </c>
      <c r="V165" s="500">
        <v>6</v>
      </c>
      <c r="W165" s="90">
        <f t="shared" si="108"/>
        <v>158.99999999999991</v>
      </c>
      <c r="X165" s="96"/>
      <c r="Y165" s="96"/>
      <c r="Z165" s="54"/>
      <c r="AA165" s="54"/>
      <c r="AB165" s="673"/>
      <c r="AC165" s="673"/>
      <c r="AD165" s="500"/>
      <c r="AE165" s="500"/>
      <c r="AF165" s="54">
        <f>N165-K165</f>
        <v>-370.20754716980991</v>
      </c>
      <c r="AG165" s="493">
        <f>N165/K165</f>
        <v>0.86630279986644643</v>
      </c>
      <c r="AH165" s="672"/>
    </row>
    <row r="166" spans="1:36" ht="19.2" customHeight="1">
      <c r="A166" s="671"/>
      <c r="B166" s="121">
        <v>0</v>
      </c>
      <c r="C166" s="121"/>
      <c r="D166" s="82"/>
      <c r="E166" s="83"/>
      <c r="F166" s="349" t="s">
        <v>128</v>
      </c>
      <c r="G166" s="57"/>
      <c r="H166" s="84">
        <f t="shared" si="104"/>
        <v>0</v>
      </c>
      <c r="I166" s="500"/>
      <c r="J166" s="87"/>
      <c r="K166" s="57"/>
      <c r="L166" s="86"/>
      <c r="M166" s="87"/>
      <c r="N166" s="57"/>
      <c r="O166" s="86"/>
      <c r="P166" s="54"/>
      <c r="Q166" s="88"/>
      <c r="R166" s="493"/>
      <c r="S166" s="672"/>
      <c r="T166" s="89"/>
      <c r="U166" s="89"/>
      <c r="V166" s="500"/>
      <c r="W166" s="90">
        <f t="shared" si="108"/>
        <v>0</v>
      </c>
      <c r="X166" s="96"/>
      <c r="Y166" s="96"/>
      <c r="Z166" s="54"/>
      <c r="AA166" s="54"/>
      <c r="AB166" s="673"/>
      <c r="AC166" s="673"/>
      <c r="AD166" s="500"/>
      <c r="AE166" s="500"/>
      <c r="AF166" s="54">
        <f>N166-K166</f>
        <v>0</v>
      </c>
      <c r="AG166" s="493" t="e">
        <f>N166/K166</f>
        <v>#DIV/0!</v>
      </c>
      <c r="AH166" s="672"/>
    </row>
    <row r="167" spans="1:36" ht="19.2" customHeight="1">
      <c r="A167" s="671"/>
      <c r="B167" s="121">
        <v>0</v>
      </c>
      <c r="C167" s="121"/>
      <c r="D167" s="251"/>
      <c r="E167" s="60"/>
      <c r="F167" s="349" t="s">
        <v>128</v>
      </c>
      <c r="G167" s="57"/>
      <c r="H167" s="84">
        <f t="shared" si="104"/>
        <v>0</v>
      </c>
      <c r="I167" s="500"/>
      <c r="J167" s="87"/>
      <c r="K167" s="57"/>
      <c r="L167" s="86"/>
      <c r="M167" s="87"/>
      <c r="N167" s="57"/>
      <c r="O167" s="86"/>
      <c r="P167" s="54"/>
      <c r="Q167" s="88"/>
      <c r="R167" s="493"/>
      <c r="S167" s="672"/>
      <c r="T167" s="89"/>
      <c r="U167" s="89"/>
      <c r="V167" s="500"/>
      <c r="W167" s="90">
        <f t="shared" si="108"/>
        <v>0</v>
      </c>
      <c r="X167" s="96"/>
      <c r="Y167" s="96"/>
      <c r="Z167" s="54"/>
      <c r="AA167" s="54"/>
      <c r="AB167" s="673"/>
      <c r="AC167" s="673"/>
      <c r="AD167" s="500"/>
      <c r="AE167" s="500"/>
      <c r="AF167" s="54">
        <f t="shared" si="61"/>
        <v>0</v>
      </c>
      <c r="AG167" s="493" t="e">
        <f t="shared" si="62"/>
        <v>#DIV/0!</v>
      </c>
      <c r="AH167" s="672"/>
    </row>
    <row r="168" spans="1:36" ht="19.2" customHeight="1">
      <c r="A168" s="671"/>
      <c r="B168" s="121">
        <v>0</v>
      </c>
      <c r="C168" s="121"/>
      <c r="D168" s="251"/>
      <c r="E168" s="60"/>
      <c r="F168" s="349" t="s">
        <v>128</v>
      </c>
      <c r="G168" s="57"/>
      <c r="H168" s="84">
        <f t="shared" si="104"/>
        <v>0</v>
      </c>
      <c r="I168" s="500"/>
      <c r="J168" s="87"/>
      <c r="K168" s="57"/>
      <c r="L168" s="86"/>
      <c r="M168" s="87"/>
      <c r="N168" s="57"/>
      <c r="O168" s="86"/>
      <c r="P168" s="54"/>
      <c r="Q168" s="88"/>
      <c r="R168" s="493"/>
      <c r="S168" s="672"/>
      <c r="T168" s="89"/>
      <c r="U168" s="89"/>
      <c r="V168" s="500"/>
      <c r="W168" s="90">
        <f t="shared" si="108"/>
        <v>0</v>
      </c>
      <c r="X168" s="96"/>
      <c r="Y168" s="96"/>
      <c r="Z168" s="54"/>
      <c r="AA168" s="54"/>
      <c r="AB168" s="673"/>
      <c r="AC168" s="673"/>
      <c r="AD168" s="500"/>
      <c r="AE168" s="500"/>
      <c r="AF168" s="54">
        <f t="shared" si="61"/>
        <v>0</v>
      </c>
      <c r="AG168" s="493" t="e">
        <f t="shared" si="62"/>
        <v>#DIV/0!</v>
      </c>
      <c r="AH168" s="672"/>
    </row>
    <row r="169" spans="1:36" ht="19.2" customHeight="1">
      <c r="A169" s="671"/>
      <c r="B169" s="121">
        <v>0</v>
      </c>
      <c r="C169" s="121"/>
      <c r="D169" s="251"/>
      <c r="E169" s="60"/>
      <c r="F169" s="349" t="s">
        <v>128</v>
      </c>
      <c r="G169" s="57"/>
      <c r="H169" s="84">
        <f t="shared" si="104"/>
        <v>0</v>
      </c>
      <c r="I169" s="500"/>
      <c r="J169" s="87"/>
      <c r="K169" s="57"/>
      <c r="L169" s="86"/>
      <c r="M169" s="87"/>
      <c r="N169" s="57"/>
      <c r="O169" s="86"/>
      <c r="P169" s="54"/>
      <c r="Q169" s="88"/>
      <c r="R169" s="493"/>
      <c r="S169" s="672"/>
      <c r="T169" s="89"/>
      <c r="U169" s="89"/>
      <c r="V169" s="500" t="s">
        <v>15</v>
      </c>
      <c r="W169" s="90">
        <f t="shared" si="108"/>
        <v>0</v>
      </c>
      <c r="X169" s="96"/>
      <c r="Y169" s="96"/>
      <c r="Z169" s="54"/>
      <c r="AA169" s="54"/>
      <c r="AB169" s="673"/>
      <c r="AC169" s="673"/>
      <c r="AD169" s="500"/>
      <c r="AE169" s="500"/>
      <c r="AF169" s="54">
        <f t="shared" si="61"/>
        <v>0</v>
      </c>
      <c r="AG169" s="493" t="e">
        <f t="shared" si="62"/>
        <v>#DIV/0!</v>
      </c>
      <c r="AH169" s="672"/>
    </row>
    <row r="170" spans="1:36" ht="19.2" customHeight="1">
      <c r="A170" s="671"/>
      <c r="B170" s="121">
        <v>0</v>
      </c>
      <c r="C170" s="121"/>
      <c r="D170" s="251"/>
      <c r="E170" s="60"/>
      <c r="F170" s="349" t="s">
        <v>128</v>
      </c>
      <c r="G170" s="57"/>
      <c r="H170" s="84">
        <f t="shared" si="104"/>
        <v>0</v>
      </c>
      <c r="I170" s="500"/>
      <c r="J170" s="87"/>
      <c r="K170" s="57"/>
      <c r="L170" s="86"/>
      <c r="M170" s="87"/>
      <c r="N170" s="57"/>
      <c r="O170" s="86"/>
      <c r="P170" s="54"/>
      <c r="Q170" s="88"/>
      <c r="R170" s="493"/>
      <c r="S170" s="672"/>
      <c r="T170" s="89"/>
      <c r="U170" s="89"/>
      <c r="V170" s="500"/>
      <c r="W170" s="90">
        <f t="shared" si="108"/>
        <v>0</v>
      </c>
      <c r="X170" s="96"/>
      <c r="Y170" s="96"/>
      <c r="Z170" s="54"/>
      <c r="AA170" s="54"/>
      <c r="AB170" s="673"/>
      <c r="AC170" s="673"/>
      <c r="AD170" s="500"/>
      <c r="AE170" s="500"/>
      <c r="AF170" s="54">
        <f t="shared" si="61"/>
        <v>0</v>
      </c>
      <c r="AG170" s="493" t="e">
        <f t="shared" si="62"/>
        <v>#DIV/0!</v>
      </c>
      <c r="AH170" s="672"/>
    </row>
    <row r="171" spans="1:36" ht="19.2" customHeight="1">
      <c r="A171" s="671"/>
      <c r="B171" s="121">
        <v>0</v>
      </c>
      <c r="C171" s="121"/>
      <c r="D171" s="251"/>
      <c r="E171" s="60"/>
      <c r="F171" s="349" t="s">
        <v>128</v>
      </c>
      <c r="G171" s="57"/>
      <c r="H171" s="84">
        <f t="shared" si="97"/>
        <v>0</v>
      </c>
      <c r="I171" s="500"/>
      <c r="J171" s="87"/>
      <c r="K171" s="57"/>
      <c r="L171" s="86"/>
      <c r="M171" s="87"/>
      <c r="N171" s="57"/>
      <c r="O171" s="86"/>
      <c r="P171" s="54"/>
      <c r="Q171" s="88"/>
      <c r="R171" s="493"/>
      <c r="S171" s="672"/>
      <c r="T171" s="89"/>
      <c r="U171" s="89"/>
      <c r="V171" s="500"/>
      <c r="W171" s="90">
        <f t="shared" si="108"/>
        <v>0</v>
      </c>
      <c r="X171" s="96"/>
      <c r="Y171" s="96"/>
      <c r="Z171" s="54"/>
      <c r="AA171" s="54"/>
      <c r="AB171" s="673"/>
      <c r="AC171" s="673"/>
      <c r="AD171" s="500"/>
      <c r="AE171" s="500"/>
      <c r="AF171" s="54"/>
      <c r="AG171" s="493"/>
      <c r="AH171" s="672"/>
    </row>
    <row r="172" spans="1:36" ht="19.2" customHeight="1">
      <c r="A172" s="671"/>
      <c r="B172" s="121">
        <v>0</v>
      </c>
      <c r="C172" s="121"/>
      <c r="D172" s="251"/>
      <c r="E172" s="60"/>
      <c r="F172" s="349" t="s">
        <v>128</v>
      </c>
      <c r="G172" s="57"/>
      <c r="H172" s="84">
        <f t="shared" si="97"/>
        <v>0</v>
      </c>
      <c r="I172" s="500"/>
      <c r="J172" s="87"/>
      <c r="K172" s="57"/>
      <c r="L172" s="86"/>
      <c r="M172" s="87"/>
      <c r="N172" s="57"/>
      <c r="O172" s="86"/>
      <c r="P172" s="54"/>
      <c r="Q172" s="88"/>
      <c r="R172" s="493"/>
      <c r="S172" s="672"/>
      <c r="T172" s="89"/>
      <c r="U172" s="89"/>
      <c r="V172" s="500"/>
      <c r="W172" s="90">
        <f t="shared" si="108"/>
        <v>0</v>
      </c>
      <c r="X172" s="96"/>
      <c r="Y172" s="96"/>
      <c r="Z172" s="54"/>
      <c r="AA172" s="54"/>
      <c r="AB172" s="673"/>
      <c r="AC172" s="673"/>
      <c r="AD172" s="500"/>
      <c r="AE172" s="500"/>
      <c r="AF172" s="54"/>
      <c r="AG172" s="493"/>
      <c r="AH172" s="672"/>
    </row>
    <row r="173" spans="1:36" ht="19.2" customHeight="1">
      <c r="A173" s="671"/>
      <c r="B173" s="121">
        <v>0</v>
      </c>
      <c r="C173" s="100" t="s">
        <v>534</v>
      </c>
      <c r="D173" s="669" t="s">
        <v>455</v>
      </c>
      <c r="E173" s="669"/>
      <c r="F173" s="347"/>
      <c r="G173" s="101"/>
      <c r="H173" s="102"/>
      <c r="I173" s="103"/>
      <c r="J173" s="101">
        <v>12.4</v>
      </c>
      <c r="K173" s="101">
        <v>2247.6</v>
      </c>
      <c r="L173" s="104">
        <v>199.61780885780882</v>
      </c>
      <c r="M173" s="101">
        <f t="shared" ref="M173:O173" si="112">AVERAGE(M161:M172)</f>
        <v>12.4</v>
      </c>
      <c r="N173" s="101">
        <f t="shared" si="112"/>
        <v>2060.191781426689</v>
      </c>
      <c r="O173" s="104">
        <f t="shared" si="112"/>
        <v>181.53683458808069</v>
      </c>
      <c r="P173" s="54">
        <f>M173-J173</f>
        <v>0</v>
      </c>
      <c r="Q173" s="88">
        <f>O173-L173</f>
        <v>-18.080974269728131</v>
      </c>
      <c r="R173" s="105">
        <f>O173/L173</f>
        <v>0.90942203817792877</v>
      </c>
      <c r="S173" s="672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670"/>
      <c r="AC173" s="670"/>
      <c r="AD173" s="107">
        <f>SUM(AD161:AD172)</f>
        <v>0</v>
      </c>
      <c r="AE173" s="107">
        <f>SUM(AE161:AE172)</f>
        <v>0</v>
      </c>
      <c r="AF173" s="54">
        <f t="shared" si="61"/>
        <v>-187.40821857331093</v>
      </c>
      <c r="AG173" s="493">
        <f t="shared" si="62"/>
        <v>0.91661851816457063</v>
      </c>
      <c r="AH173" s="672"/>
    </row>
    <row r="174" spans="1:36" ht="19.2" customHeight="1">
      <c r="AJ174" s="275" t="s">
        <v>91</v>
      </c>
    </row>
    <row r="175" spans="1:36" ht="19.2" customHeight="1">
      <c r="AJ175" s="275" t="s">
        <v>92</v>
      </c>
    </row>
    <row r="176" spans="1:36" ht="19.2" customHeight="1">
      <c r="AJ176" s="275" t="s">
        <v>535</v>
      </c>
    </row>
    <row r="177" spans="23:36" ht="19.2" customHeight="1">
      <c r="W177" s="33"/>
      <c r="AJ177" s="275" t="s">
        <v>93</v>
      </c>
    </row>
    <row r="178" spans="23:36" ht="19.2" customHeight="1">
      <c r="W178" s="33"/>
      <c r="AJ178" s="275" t="s">
        <v>94</v>
      </c>
    </row>
    <row r="179" spans="23:36">
      <c r="W179" s="33"/>
      <c r="AJ179" s="275" t="s">
        <v>95</v>
      </c>
    </row>
    <row r="180" spans="23:36">
      <c r="W180" s="33"/>
      <c r="AJ180" s="275" t="s">
        <v>96</v>
      </c>
    </row>
    <row r="181" spans="23:36">
      <c r="W181" s="33"/>
      <c r="AJ181" s="275" t="s">
        <v>97</v>
      </c>
    </row>
    <row r="182" spans="23:36">
      <c r="W182" s="33"/>
      <c r="AJ182" s="275" t="s">
        <v>98</v>
      </c>
    </row>
    <row r="183" spans="23:36">
      <c r="W183" s="33"/>
      <c r="AJ183" s="275" t="s">
        <v>99</v>
      </c>
    </row>
    <row r="184" spans="23:36">
      <c r="W184" s="33"/>
      <c r="AJ184" s="275" t="s">
        <v>100</v>
      </c>
    </row>
    <row r="185" spans="23:36">
      <c r="W185" s="33"/>
      <c r="AJ185" s="275" t="s">
        <v>536</v>
      </c>
    </row>
    <row r="186" spans="23:36">
      <c r="W186" s="33"/>
      <c r="AJ186" s="275" t="s">
        <v>537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F3:AF4"/>
    <mergeCell ref="AG3:AG4"/>
    <mergeCell ref="AH3:AH4"/>
  </mergeCells>
  <phoneticPr fontId="3" type="noConversion"/>
  <conditionalFormatting sqref="P5:P172">
    <cfRule type="cellIs" dxfId="55" priority="4" operator="greaterThan">
      <formula>0</formula>
    </cfRule>
  </conditionalFormatting>
  <conditionalFormatting sqref="Q5:Q173">
    <cfRule type="cellIs" dxfId="54" priority="7" operator="lessThan">
      <formula>0</formula>
    </cfRule>
  </conditionalFormatting>
  <conditionalFormatting sqref="R5:R173">
    <cfRule type="cellIs" dxfId="53" priority="5" operator="greaterThan">
      <formula>1</formula>
    </cfRule>
    <cfRule type="cellIs" dxfId="52" priority="6" operator="lessThan">
      <formula>0.8</formula>
    </cfRule>
  </conditionalFormatting>
  <conditionalFormatting sqref="S5:S11">
    <cfRule type="cellIs" dxfId="51" priority="20" operator="lessThan">
      <formula>0.8</formula>
    </cfRule>
  </conditionalFormatting>
  <conditionalFormatting sqref="S21:S29 AH21:AH29">
    <cfRule type="cellIs" dxfId="50" priority="13" operator="lessThan">
      <formula>0.8</formula>
    </cfRule>
  </conditionalFormatting>
  <conditionalFormatting sqref="S43:S72">
    <cfRule type="cellIs" dxfId="49" priority="10" operator="lessThan">
      <formula>0.8</formula>
    </cfRule>
  </conditionalFormatting>
  <conditionalFormatting sqref="S82:S91 AH82:AH91">
    <cfRule type="cellIs" dxfId="48" priority="12" operator="lessThan">
      <formula>0.8</formula>
    </cfRule>
  </conditionalFormatting>
  <conditionalFormatting sqref="S95:S104">
    <cfRule type="cellIs" dxfId="47" priority="8" operator="lessThan">
      <formula>0.8</formula>
    </cfRule>
  </conditionalFormatting>
  <conditionalFormatting sqref="S108:S109">
    <cfRule type="cellIs" dxfId="46" priority="9" operator="lessThan">
      <formula>0.8</formula>
    </cfRule>
  </conditionalFormatting>
  <conditionalFormatting sqref="S122:S135 AH135">
    <cfRule type="cellIs" dxfId="45" priority="21" operator="lessThan">
      <formula>0.8</formula>
    </cfRule>
  </conditionalFormatting>
  <conditionalFormatting sqref="S137 AH137">
    <cfRule type="cellIs" dxfId="44" priority="17" operator="lessThan">
      <formula>0.8</formula>
    </cfRule>
  </conditionalFormatting>
  <conditionalFormatting sqref="S139:S146 AH139:AH146">
    <cfRule type="cellIs" dxfId="43" priority="11" operator="lessThan">
      <formula>0.8</formula>
    </cfRule>
  </conditionalFormatting>
  <conditionalFormatting sqref="S148:S150">
    <cfRule type="cellIs" dxfId="42" priority="14" operator="lessThan">
      <formula>0.8</formula>
    </cfRule>
  </conditionalFormatting>
  <conditionalFormatting sqref="S161">
    <cfRule type="cellIs" dxfId="41" priority="25" operator="lessThan">
      <formula>0.8</formula>
    </cfRule>
  </conditionalFormatting>
  <conditionalFormatting sqref="AF5:AF173">
    <cfRule type="cellIs" dxfId="40" priority="3" operator="lessThan">
      <formula>0</formula>
    </cfRule>
  </conditionalFormatting>
  <conditionalFormatting sqref="AG5:AG173">
    <cfRule type="cellIs" dxfId="39" priority="1" operator="greaterThan">
      <formula>1</formula>
    </cfRule>
    <cfRule type="cellIs" dxfId="38" priority="2" operator="lessThan">
      <formula>0.8</formula>
    </cfRule>
  </conditionalFormatting>
  <conditionalFormatting sqref="AH5:AH9 S17:S18 AH17:AH18 AH57 AH95">
    <cfRule type="cellIs" dxfId="37" priority="26" operator="lessThan">
      <formula>0.8</formula>
    </cfRule>
  </conditionalFormatting>
  <conditionalFormatting sqref="AH31 S31:S32">
    <cfRule type="cellIs" dxfId="36" priority="22" operator="lessThan">
      <formula>0.8</formula>
    </cfRule>
  </conditionalFormatting>
  <conditionalFormatting sqref="AH70:AH72">
    <cfRule type="cellIs" dxfId="35" priority="19" operator="lessThan">
      <formula>0.8</formula>
    </cfRule>
  </conditionalFormatting>
  <conditionalFormatting sqref="AH97:AH98">
    <cfRule type="cellIs" dxfId="34" priority="18" operator="lessThan">
      <formula>0.8</formula>
    </cfRule>
  </conditionalFormatting>
  <conditionalFormatting sqref="AH100:AH107">
    <cfRule type="cellIs" dxfId="33" priority="16" operator="lessThan">
      <formula>0.8</formula>
    </cfRule>
  </conditionalFormatting>
  <conditionalFormatting sqref="AH109">
    <cfRule type="cellIs" dxfId="32" priority="24" operator="lessThan">
      <formula>0.8</formula>
    </cfRule>
  </conditionalFormatting>
  <conditionalFormatting sqref="AH148">
    <cfRule type="cellIs" dxfId="31" priority="23" operator="lessThan">
      <formula>0.8</formula>
    </cfRule>
  </conditionalFormatting>
  <conditionalFormatting sqref="AH150">
    <cfRule type="cellIs" dxfId="3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AI18" sqref="AI18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7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601" t="s">
        <v>0</v>
      </c>
      <c r="C1" s="602"/>
      <c r="D1" s="602"/>
      <c r="E1" s="602"/>
      <c r="F1" s="602"/>
      <c r="G1" s="602"/>
      <c r="H1" s="602"/>
      <c r="I1" s="602"/>
      <c r="J1" s="602"/>
      <c r="K1" s="602"/>
      <c r="L1" s="602"/>
      <c r="M1" s="603"/>
      <c r="N1" s="1"/>
      <c r="O1" s="1"/>
    </row>
    <row r="2" spans="2:17" ht="27.75" customHeight="1">
      <c r="B2" s="601"/>
      <c r="C2" s="602"/>
      <c r="D2" s="602"/>
      <c r="E2" s="602"/>
      <c r="F2" s="602"/>
      <c r="G2" s="602"/>
      <c r="H2" s="602"/>
      <c r="I2" s="602"/>
      <c r="J2" s="602"/>
      <c r="K2" s="602"/>
      <c r="L2" s="602"/>
      <c r="M2" s="603"/>
      <c r="N2" s="1"/>
      <c r="O2" s="1"/>
    </row>
    <row r="3" spans="2:17" ht="46.5" customHeight="1">
      <c r="B3" s="594" t="s">
        <v>1</v>
      </c>
      <c r="C3" s="555"/>
      <c r="D3" s="604" t="s">
        <v>649</v>
      </c>
      <c r="E3" s="605"/>
      <c r="F3" s="594" t="s">
        <v>2</v>
      </c>
      <c r="G3" s="555"/>
      <c r="H3" s="606">
        <v>280665.19999999995</v>
      </c>
      <c r="I3" s="607"/>
      <c r="J3" s="594" t="s">
        <v>3</v>
      </c>
      <c r="K3" s="555"/>
      <c r="L3" s="599">
        <v>9352612.3361447193</v>
      </c>
      <c r="M3" s="600"/>
      <c r="N3" s="359"/>
      <c r="O3" s="359"/>
      <c r="P3" s="359"/>
      <c r="Q3" s="359"/>
    </row>
    <row r="4" spans="2:17" ht="24" customHeight="1">
      <c r="B4" s="594" t="s">
        <v>130</v>
      </c>
      <c r="C4" s="555"/>
      <c r="D4" s="586" t="s">
        <v>130</v>
      </c>
      <c r="E4" s="587"/>
      <c r="F4" s="597" t="s">
        <v>131</v>
      </c>
      <c r="G4" s="598"/>
      <c r="H4" s="597" t="s">
        <v>132</v>
      </c>
      <c r="I4" s="598"/>
      <c r="J4" s="597" t="s">
        <v>133</v>
      </c>
      <c r="K4" s="598"/>
      <c r="L4" s="599" t="s">
        <v>134</v>
      </c>
      <c r="M4" s="600"/>
      <c r="N4" s="580" t="s">
        <v>4</v>
      </c>
      <c r="O4" s="581"/>
      <c r="P4" s="581" t="s">
        <v>5</v>
      </c>
      <c r="Q4" s="581"/>
    </row>
    <row r="5" spans="2:17" ht="24" customHeight="1">
      <c r="B5" s="582" t="s">
        <v>35</v>
      </c>
      <c r="C5" s="561"/>
      <c r="D5" s="586" t="s">
        <v>135</v>
      </c>
      <c r="E5" s="587"/>
      <c r="F5" s="586" t="s">
        <v>6</v>
      </c>
      <c r="G5" s="587"/>
      <c r="H5" s="588" t="s">
        <v>7</v>
      </c>
      <c r="I5" s="589"/>
      <c r="J5" s="590" t="s">
        <v>8</v>
      </c>
      <c r="K5" s="591"/>
      <c r="L5" s="592" t="s">
        <v>9</v>
      </c>
      <c r="M5" s="593"/>
      <c r="N5" s="3" t="s">
        <v>175</v>
      </c>
      <c r="O5" s="4" t="s">
        <v>176</v>
      </c>
      <c r="P5" s="3" t="s">
        <v>175</v>
      </c>
      <c r="Q5" s="4" t="s">
        <v>177</v>
      </c>
    </row>
    <row r="6" spans="2:17" ht="39.6" customHeight="1">
      <c r="B6" s="583"/>
      <c r="C6" s="584"/>
      <c r="D6" s="594" t="s">
        <v>10</v>
      </c>
      <c r="E6" s="555"/>
      <c r="F6" s="595">
        <f>AVERAGE(D13:O13,P13:Q13,D30:E30,G30:H30,J30:M30)</f>
        <v>380.52647176360773</v>
      </c>
      <c r="G6" s="596"/>
      <c r="H6" s="574">
        <f>AVERAGE(D13:P13,Q13)</f>
        <v>142.97016991424078</v>
      </c>
      <c r="I6" s="575"/>
      <c r="J6" s="574">
        <f>AVERAGE(D30:E30,G30:H30)</f>
        <v>711.25</v>
      </c>
      <c r="K6" s="575"/>
      <c r="L6" s="576">
        <f>AVERAGE(J30:M30)</f>
        <v>881.25</v>
      </c>
      <c r="M6" s="577"/>
      <c r="N6" s="578">
        <v>0</v>
      </c>
      <c r="O6" s="563">
        <v>0</v>
      </c>
      <c r="P6" s="579">
        <v>8</v>
      </c>
      <c r="Q6" s="563">
        <v>7</v>
      </c>
    </row>
    <row r="7" spans="2:17" s="5" customFormat="1" ht="39.6" customHeight="1">
      <c r="B7" s="583"/>
      <c r="C7" s="584"/>
      <c r="D7" s="564" t="s">
        <v>11</v>
      </c>
      <c r="E7" s="565"/>
      <c r="F7" s="566">
        <f>AVERAGE(D14:O14,P14:Q14,D31:E31,J31:M31,G31:H31)</f>
        <v>357.18166471577916</v>
      </c>
      <c r="G7" s="567"/>
      <c r="H7" s="568">
        <f>AVERAGE(D14:P14,Q14)</f>
        <v>129.67460390869843</v>
      </c>
      <c r="I7" s="569"/>
      <c r="J7" s="568">
        <f>AVERAGE(D31:E31,G31:H31)</f>
        <v>715.05765713169512</v>
      </c>
      <c r="K7" s="569"/>
      <c r="L7" s="570">
        <f>AVERAGE(J31:M31)</f>
        <v>795.58038512464543</v>
      </c>
      <c r="M7" s="571"/>
      <c r="N7" s="578"/>
      <c r="O7" s="563"/>
      <c r="P7" s="579"/>
      <c r="Q7" s="563"/>
    </row>
    <row r="8" spans="2:17" s="5" customFormat="1" ht="39.6" customHeight="1">
      <c r="B8" s="585"/>
      <c r="C8" s="562"/>
      <c r="D8" s="564" t="s">
        <v>12</v>
      </c>
      <c r="E8" s="565"/>
      <c r="F8" s="572">
        <f>AVERAGE(D15:O15,P15:Q15,D32:E32,G32:H32,J32:M32)</f>
        <v>0.91232557427116101</v>
      </c>
      <c r="G8" s="573"/>
      <c r="H8" s="572">
        <f>AVERAGE(D15:O15,P15:Q15)</f>
        <v>0.90225182416937844</v>
      </c>
      <c r="I8" s="573"/>
      <c r="J8" s="572">
        <f>AVERAGE(D32:E32,G32:H32)</f>
        <v>0.95537551264895515</v>
      </c>
      <c r="K8" s="573"/>
      <c r="L8" s="572">
        <f>AVERAGE(J32:M32)</f>
        <v>0.90453376124960616</v>
      </c>
      <c r="M8" s="573"/>
      <c r="N8" s="578"/>
      <c r="O8" s="563"/>
      <c r="P8" s="579"/>
      <c r="Q8" s="563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551" t="s">
        <v>139</v>
      </c>
      <c r="C10" s="557"/>
      <c r="D10" s="558" t="s">
        <v>140</v>
      </c>
      <c r="E10" s="559"/>
      <c r="F10" s="559"/>
      <c r="G10" s="559"/>
      <c r="H10" s="559"/>
      <c r="I10" s="559"/>
      <c r="J10" s="559"/>
      <c r="K10" s="559"/>
      <c r="L10" s="559"/>
      <c r="M10" s="559"/>
      <c r="N10" s="559"/>
      <c r="O10" s="559"/>
      <c r="P10" s="559"/>
      <c r="Q10" s="560"/>
    </row>
    <row r="11" spans="2:17" ht="17.25" customHeight="1">
      <c r="B11" s="542" t="s">
        <v>141</v>
      </c>
      <c r="C11" s="561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" customHeight="1">
      <c r="B12" s="544"/>
      <c r="C12" s="562"/>
      <c r="D12" s="14" t="s">
        <v>142</v>
      </c>
      <c r="E12" s="360" t="s">
        <v>143</v>
      </c>
      <c r="F12" s="360" t="s">
        <v>144</v>
      </c>
      <c r="G12" s="360" t="s">
        <v>145</v>
      </c>
      <c r="H12" s="14" t="s">
        <v>146</v>
      </c>
      <c r="I12" s="360" t="s">
        <v>147</v>
      </c>
      <c r="J12" s="360" t="s">
        <v>148</v>
      </c>
      <c r="K12" s="360" t="s">
        <v>149</v>
      </c>
      <c r="L12" s="360" t="s">
        <v>150</v>
      </c>
      <c r="M12" s="360" t="s">
        <v>151</v>
      </c>
      <c r="N12" s="360" t="s">
        <v>152</v>
      </c>
      <c r="O12" s="360" t="s">
        <v>153</v>
      </c>
      <c r="P12" s="360" t="s">
        <v>154</v>
      </c>
      <c r="Q12" s="361" t="s">
        <v>13</v>
      </c>
    </row>
    <row r="13" spans="2:17" ht="39.9" customHeight="1">
      <c r="B13" s="546" t="s">
        <v>35</v>
      </c>
      <c r="C13" s="14" t="s">
        <v>155</v>
      </c>
      <c r="D13" s="19">
        <v>137.63871548619449</v>
      </c>
      <c r="E13" s="19">
        <v>120.90124821858569</v>
      </c>
      <c r="F13" s="19">
        <v>151.40203610888594</v>
      </c>
      <c r="G13" s="19">
        <v>314.46258503401361</v>
      </c>
      <c r="H13" s="19">
        <v>228.57142857142858</v>
      </c>
      <c r="I13" s="19">
        <v>87.333290333677326</v>
      </c>
      <c r="J13" s="19">
        <v>92.379226559044668</v>
      </c>
      <c r="K13" s="19">
        <v>81.391406518747857</v>
      </c>
      <c r="L13" s="19">
        <v>80.234042520516979</v>
      </c>
      <c r="M13" s="19">
        <v>81.522739139515465</v>
      </c>
      <c r="N13" s="19">
        <v>88.025958482808335</v>
      </c>
      <c r="O13" s="19">
        <v>210.26041666666666</v>
      </c>
      <c r="P13" s="19">
        <v>177.45928515928514</v>
      </c>
      <c r="Q13" s="21">
        <v>150</v>
      </c>
    </row>
    <row r="14" spans="2:17" ht="39.9" customHeight="1">
      <c r="B14" s="547"/>
      <c r="C14" s="14" t="s">
        <v>156</v>
      </c>
      <c r="D14" s="19">
        <v>127.01913203860981</v>
      </c>
      <c r="E14" s="19">
        <v>105.64323698910709</v>
      </c>
      <c r="F14" s="19">
        <v>131.31930172452567</v>
      </c>
      <c r="G14" s="19">
        <v>285.8425647832654</v>
      </c>
      <c r="H14" s="19">
        <v>225.51729888848271</v>
      </c>
      <c r="I14" s="19">
        <v>75.968917813118068</v>
      </c>
      <c r="J14" s="19">
        <v>82.036570361442429</v>
      </c>
      <c r="K14" s="19">
        <v>70.272282874657833</v>
      </c>
      <c r="L14" s="19">
        <v>72.210841126558336</v>
      </c>
      <c r="M14" s="19">
        <v>73.634285739011503</v>
      </c>
      <c r="N14" s="19">
        <v>80.477875839899468</v>
      </c>
      <c r="O14" s="19">
        <v>175.83695983184577</v>
      </c>
      <c r="P14" s="19">
        <v>162.47629782236507</v>
      </c>
      <c r="Q14" s="9">
        <v>147.18888888888875</v>
      </c>
    </row>
    <row r="15" spans="2:17" ht="39.9" customHeight="1">
      <c r="B15" s="548"/>
      <c r="C15" s="360" t="s">
        <v>157</v>
      </c>
      <c r="D15" s="10">
        <f t="shared" ref="D15:Q15" si="0">D14/D13</f>
        <v>0.92284450337921209</v>
      </c>
      <c r="E15" s="10">
        <f t="shared" si="0"/>
        <v>0.87379773613343847</v>
      </c>
      <c r="F15" s="10">
        <f t="shared" si="0"/>
        <v>0.86735492533325587</v>
      </c>
      <c r="G15" s="10">
        <f t="shared" si="0"/>
        <v>0.90898751834768343</v>
      </c>
      <c r="H15" s="10">
        <f t="shared" si="0"/>
        <v>0.98663818263711178</v>
      </c>
      <c r="I15" s="10">
        <f t="shared" si="0"/>
        <v>0.86987353302344383</v>
      </c>
      <c r="J15" s="10">
        <f t="shared" si="0"/>
        <v>0.88804132072926945</v>
      </c>
      <c r="K15" s="10">
        <f t="shared" si="0"/>
        <v>0.86338700706039739</v>
      </c>
      <c r="L15" s="10">
        <f t="shared" si="0"/>
        <v>0.90000252832945571</v>
      </c>
      <c r="M15" s="10">
        <f t="shared" si="0"/>
        <v>0.903236158601051</v>
      </c>
      <c r="N15" s="10">
        <f t="shared" si="0"/>
        <v>0.9142516278947076</v>
      </c>
      <c r="O15" s="10">
        <f t="shared" si="0"/>
        <v>0.83628180053788437</v>
      </c>
      <c r="P15" s="362">
        <f t="shared" si="0"/>
        <v>0.91556943710512784</v>
      </c>
      <c r="Q15" s="11">
        <f t="shared" si="0"/>
        <v>0.98125925925925839</v>
      </c>
    </row>
    <row r="16" spans="2:17" ht="22.8" customHeight="1">
      <c r="B16" s="549" t="s">
        <v>158</v>
      </c>
      <c r="C16" s="360" t="s">
        <v>159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363">
        <v>0.41319444444444442</v>
      </c>
    </row>
    <row r="17" spans="2:23" ht="22.8" customHeight="1">
      <c r="B17" s="550"/>
      <c r="C17" s="360" t="s">
        <v>36</v>
      </c>
      <c r="D17" s="12">
        <v>0.74444444444444435</v>
      </c>
      <c r="E17" s="12">
        <v>0.6201388888888888</v>
      </c>
      <c r="F17" s="12">
        <v>0.65208333333333324</v>
      </c>
      <c r="G17" s="12">
        <v>0.59652777777777777</v>
      </c>
      <c r="H17" s="12">
        <v>0.60486111111111118</v>
      </c>
      <c r="I17" s="12">
        <v>0.73402777777777761</v>
      </c>
      <c r="J17" s="12">
        <v>0.80694444444444424</v>
      </c>
      <c r="K17" s="12">
        <v>0.79652777777777761</v>
      </c>
      <c r="L17" s="12">
        <v>0.97361111111111098</v>
      </c>
      <c r="M17" s="12">
        <v>0.95902777777777759</v>
      </c>
      <c r="N17" s="12">
        <v>1.0277777777777777</v>
      </c>
      <c r="O17" s="22">
        <v>0.91388888888888875</v>
      </c>
      <c r="P17" s="12">
        <v>0.70624999999999993</v>
      </c>
      <c r="Q17" s="363">
        <v>0.54513888888888895</v>
      </c>
    </row>
    <row r="18" spans="2:23" ht="22.8" customHeight="1">
      <c r="B18" s="553" t="s">
        <v>14</v>
      </c>
      <c r="C18" s="364" t="s">
        <v>160</v>
      </c>
      <c r="D18" s="365" t="s">
        <v>15</v>
      </c>
      <c r="E18" s="365" t="s">
        <v>15</v>
      </c>
      <c r="F18" s="365" t="s">
        <v>15</v>
      </c>
      <c r="G18" s="365" t="s">
        <v>15</v>
      </c>
      <c r="H18" s="365" t="s">
        <v>15</v>
      </c>
      <c r="I18" s="365" t="s">
        <v>15</v>
      </c>
      <c r="J18" s="365" t="s">
        <v>15</v>
      </c>
      <c r="K18" s="365" t="s">
        <v>15</v>
      </c>
      <c r="L18" s="365" t="s">
        <v>15</v>
      </c>
      <c r="M18" s="365" t="s">
        <v>15</v>
      </c>
      <c r="N18" s="365" t="s">
        <v>15</v>
      </c>
      <c r="O18" s="365" t="s">
        <v>15</v>
      </c>
      <c r="P18" s="365" t="s">
        <v>15</v>
      </c>
      <c r="Q18" s="366"/>
    </row>
    <row r="19" spans="2:23" ht="22.8" customHeight="1">
      <c r="B19" s="554"/>
      <c r="C19" s="364" t="s">
        <v>161</v>
      </c>
      <c r="D19" s="365" t="s">
        <v>15</v>
      </c>
      <c r="E19" s="365" t="s">
        <v>15</v>
      </c>
      <c r="F19" s="365" t="s">
        <v>15</v>
      </c>
      <c r="G19" s="365" t="s">
        <v>15</v>
      </c>
      <c r="H19" s="365" t="s">
        <v>15</v>
      </c>
      <c r="I19" s="365" t="s">
        <v>15</v>
      </c>
      <c r="J19" s="365" t="s">
        <v>15</v>
      </c>
      <c r="K19" s="365" t="s">
        <v>15</v>
      </c>
      <c r="L19" s="365" t="s">
        <v>15</v>
      </c>
      <c r="M19" s="365" t="s">
        <v>15</v>
      </c>
      <c r="N19" s="365" t="s">
        <v>15</v>
      </c>
      <c r="O19" s="365" t="s">
        <v>15</v>
      </c>
      <c r="P19" s="365" t="s">
        <v>15</v>
      </c>
      <c r="Q19" s="366"/>
    </row>
    <row r="20" spans="2:23" ht="22.8" customHeight="1">
      <c r="B20" s="553" t="s">
        <v>16</v>
      </c>
      <c r="C20" s="364" t="s">
        <v>160</v>
      </c>
      <c r="D20" s="365">
        <v>2</v>
      </c>
      <c r="E20" s="365">
        <v>1</v>
      </c>
      <c r="F20" s="365" t="s">
        <v>15</v>
      </c>
      <c r="G20" s="365">
        <v>1</v>
      </c>
      <c r="H20" s="365" t="s">
        <v>15</v>
      </c>
      <c r="I20" s="365">
        <v>2</v>
      </c>
      <c r="J20" s="365" t="s">
        <v>15</v>
      </c>
      <c r="K20" s="365" t="s">
        <v>15</v>
      </c>
      <c r="L20" s="365" t="s">
        <v>15</v>
      </c>
      <c r="M20" s="365" t="s">
        <v>15</v>
      </c>
      <c r="N20" s="365" t="s">
        <v>15</v>
      </c>
      <c r="O20" s="365">
        <v>1</v>
      </c>
      <c r="P20" s="365">
        <v>1</v>
      </c>
      <c r="Q20" s="366"/>
    </row>
    <row r="21" spans="2:23" ht="22.8" customHeight="1">
      <c r="B21" s="554"/>
      <c r="C21" s="364" t="s">
        <v>162</v>
      </c>
      <c r="D21" s="365">
        <v>1</v>
      </c>
      <c r="E21" s="365" t="s">
        <v>15</v>
      </c>
      <c r="F21" s="365" t="s">
        <v>15</v>
      </c>
      <c r="G21" s="365" t="s">
        <v>15</v>
      </c>
      <c r="H21" s="365" t="s">
        <v>15</v>
      </c>
      <c r="I21" s="365" t="s">
        <v>15</v>
      </c>
      <c r="J21" s="365">
        <v>3</v>
      </c>
      <c r="K21" s="365" t="s">
        <v>15</v>
      </c>
      <c r="L21" s="365" t="s">
        <v>15</v>
      </c>
      <c r="M21" s="365">
        <v>1</v>
      </c>
      <c r="N21" s="365">
        <v>1</v>
      </c>
      <c r="O21" s="365">
        <v>1</v>
      </c>
      <c r="P21" s="365" t="s">
        <v>15</v>
      </c>
      <c r="Q21" s="366"/>
    </row>
    <row r="22" spans="2:23" ht="22.8" customHeight="1">
      <c r="B22" s="532" t="s">
        <v>163</v>
      </c>
      <c r="C22" s="555"/>
      <c r="D22" s="367">
        <v>18.857142857142858</v>
      </c>
      <c r="E22" s="367">
        <v>17</v>
      </c>
      <c r="F22" s="367">
        <v>15.125</v>
      </c>
      <c r="G22" s="367">
        <v>6</v>
      </c>
      <c r="H22" s="367">
        <v>6.6</v>
      </c>
      <c r="I22" s="367">
        <v>17.666666666666668</v>
      </c>
      <c r="J22" s="367">
        <v>18.75</v>
      </c>
      <c r="K22" s="367">
        <v>18.100000000000001</v>
      </c>
      <c r="L22" s="367">
        <v>18</v>
      </c>
      <c r="M22" s="367">
        <v>18.625</v>
      </c>
      <c r="N22" s="367">
        <v>17.222222222222221</v>
      </c>
      <c r="O22" s="367">
        <v>10.75</v>
      </c>
      <c r="P22" s="367">
        <v>13.333333333333334</v>
      </c>
      <c r="Q22" s="368">
        <v>11.333333333333334</v>
      </c>
    </row>
    <row r="23" spans="2:23" ht="22.8" customHeight="1">
      <c r="B23" s="532" t="s">
        <v>164</v>
      </c>
      <c r="C23" s="555"/>
      <c r="D23" s="14" t="s">
        <v>17</v>
      </c>
      <c r="E23" s="14" t="s">
        <v>17</v>
      </c>
      <c r="F23" s="14" t="s">
        <v>17</v>
      </c>
      <c r="G23" s="14" t="s">
        <v>18</v>
      </c>
      <c r="H23" s="14" t="s">
        <v>19</v>
      </c>
      <c r="I23" s="14" t="s">
        <v>20</v>
      </c>
      <c r="J23" s="14" t="s">
        <v>20</v>
      </c>
      <c r="K23" s="14" t="s">
        <v>20</v>
      </c>
      <c r="L23" s="14" t="s">
        <v>20</v>
      </c>
      <c r="M23" s="14" t="s">
        <v>20</v>
      </c>
      <c r="N23" s="14" t="s">
        <v>20</v>
      </c>
      <c r="O23" s="14" t="s">
        <v>20</v>
      </c>
      <c r="P23" s="7" t="s">
        <v>21</v>
      </c>
      <c r="Q23" s="15" t="s">
        <v>21</v>
      </c>
    </row>
    <row r="24" spans="2:23" ht="22.8" customHeight="1">
      <c r="B24" s="532" t="s">
        <v>165</v>
      </c>
      <c r="C24" s="555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8" customHeight="1" thickBot="1">
      <c r="B25" s="534" t="s">
        <v>166</v>
      </c>
      <c r="C25" s="556"/>
      <c r="D25" s="16"/>
      <c r="E25" s="17" t="s">
        <v>22</v>
      </c>
      <c r="F25" s="17"/>
      <c r="G25" s="17" t="s">
        <v>23</v>
      </c>
      <c r="H25" s="17" t="s">
        <v>23</v>
      </c>
      <c r="I25" s="17"/>
      <c r="J25" s="17"/>
      <c r="K25" s="17" t="s">
        <v>24</v>
      </c>
      <c r="L25" s="17"/>
      <c r="M25" s="17"/>
      <c r="N25" s="17"/>
      <c r="O25" s="17"/>
      <c r="P25" s="17" t="s">
        <v>25</v>
      </c>
      <c r="Q25" s="18"/>
      <c r="W25" s="2" t="s">
        <v>187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551"/>
      <c r="C27" s="552"/>
      <c r="D27" s="536" t="s">
        <v>167</v>
      </c>
      <c r="E27" s="537"/>
      <c r="F27" s="537"/>
      <c r="G27" s="537"/>
      <c r="H27" s="538"/>
      <c r="I27" s="539" t="s">
        <v>168</v>
      </c>
      <c r="J27" s="540"/>
      <c r="K27" s="540"/>
      <c r="L27" s="540"/>
      <c r="M27" s="541"/>
      <c r="N27" s="359"/>
      <c r="O27" s="359"/>
      <c r="P27" s="359"/>
      <c r="Q27" s="359"/>
    </row>
    <row r="28" spans="2:23" ht="17.25" customHeight="1">
      <c r="B28" s="542" t="s">
        <v>141</v>
      </c>
      <c r="C28" s="543"/>
      <c r="D28" s="369">
        <v>1</v>
      </c>
      <c r="E28" s="501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544"/>
      <c r="C29" s="545"/>
      <c r="D29" s="370" t="s">
        <v>26</v>
      </c>
      <c r="E29" s="371" t="s">
        <v>27</v>
      </c>
      <c r="F29" s="14" t="s">
        <v>28</v>
      </c>
      <c r="G29" s="14" t="s">
        <v>29</v>
      </c>
      <c r="H29" s="372" t="s">
        <v>30</v>
      </c>
      <c r="I29" s="370" t="s">
        <v>31</v>
      </c>
      <c r="J29" s="14" t="s">
        <v>27</v>
      </c>
      <c r="K29" s="14" t="s">
        <v>28</v>
      </c>
      <c r="L29" s="14" t="s">
        <v>29</v>
      </c>
      <c r="M29" s="372" t="s">
        <v>30</v>
      </c>
      <c r="N29" s="359"/>
      <c r="O29" s="359"/>
      <c r="P29" s="359"/>
      <c r="Q29" s="359"/>
    </row>
    <row r="30" spans="2:23" ht="39.9" customHeight="1">
      <c r="B30" s="546" t="s">
        <v>35</v>
      </c>
      <c r="C30" s="373" t="s">
        <v>155</v>
      </c>
      <c r="D30" s="20">
        <v>220</v>
      </c>
      <c r="E30" s="503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" customHeight="1">
      <c r="B31" s="547"/>
      <c r="C31" s="373" t="s">
        <v>156</v>
      </c>
      <c r="D31" s="375">
        <v>163.0768589561429</v>
      </c>
      <c r="E31" s="8">
        <v>825.72018259518211</v>
      </c>
      <c r="F31" s="8">
        <v>0</v>
      </c>
      <c r="G31" s="8">
        <v>909.68189836002932</v>
      </c>
      <c r="H31" s="376">
        <v>961.75168861542613</v>
      </c>
      <c r="I31" s="375">
        <v>0</v>
      </c>
      <c r="J31" s="8">
        <v>814.00000000000284</v>
      </c>
      <c r="K31" s="8">
        <v>622.16666666666526</v>
      </c>
      <c r="L31" s="8">
        <v>884.18754578754465</v>
      </c>
      <c r="M31" s="376">
        <v>861.96732804436908</v>
      </c>
      <c r="N31" s="359"/>
      <c r="O31" s="359"/>
      <c r="P31" s="359"/>
      <c r="Q31" s="359"/>
    </row>
    <row r="32" spans="2:23" ht="39.9" customHeight="1">
      <c r="B32" s="548"/>
      <c r="C32" s="502" t="s">
        <v>157</v>
      </c>
      <c r="D32" s="377">
        <f t="shared" ref="D32:M32" si="1">D31/D30</f>
        <v>0.74125844980064959</v>
      </c>
      <c r="E32" s="10">
        <f t="shared" si="1"/>
        <v>1.0008729486002208</v>
      </c>
      <c r="F32" s="10">
        <f t="shared" si="1"/>
        <v>0</v>
      </c>
      <c r="G32" s="10">
        <f t="shared" si="1"/>
        <v>1.0107576648444769</v>
      </c>
      <c r="H32" s="10">
        <f t="shared" si="1"/>
        <v>1.0686129873504735</v>
      </c>
      <c r="I32" s="375">
        <f t="shared" si="1"/>
        <v>0</v>
      </c>
      <c r="J32" s="10">
        <f t="shared" si="1"/>
        <v>0.98666666666667013</v>
      </c>
      <c r="K32" s="10">
        <f t="shared" si="1"/>
        <v>0.69129629629629474</v>
      </c>
      <c r="L32" s="10">
        <f t="shared" si="1"/>
        <v>0.9824306064306052</v>
      </c>
      <c r="M32" s="11">
        <f t="shared" si="1"/>
        <v>0.95774147560485456</v>
      </c>
      <c r="N32" s="359"/>
      <c r="O32" s="359"/>
      <c r="P32" s="359"/>
      <c r="Q32" s="359"/>
    </row>
    <row r="33" spans="2:17" ht="25.8" customHeight="1">
      <c r="B33" s="549" t="s">
        <v>158</v>
      </c>
      <c r="C33" s="502" t="s">
        <v>159</v>
      </c>
      <c r="D33" s="378">
        <v>0.17361111111111113</v>
      </c>
      <c r="E33" s="12">
        <v>0.18055555555555555</v>
      </c>
      <c r="F33" s="12">
        <v>0</v>
      </c>
      <c r="G33" s="12">
        <v>2983.6363636363526</v>
      </c>
      <c r="H33" s="363">
        <v>0.18055555555555555</v>
      </c>
      <c r="I33" s="378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5.5555555555555552E-2</v>
      </c>
      <c r="N33" s="359"/>
      <c r="O33" s="359"/>
      <c r="P33" s="359"/>
      <c r="Q33" s="359"/>
    </row>
    <row r="34" spans="2:17" ht="25.8" customHeight="1">
      <c r="B34" s="550"/>
      <c r="C34" s="502" t="s">
        <v>36</v>
      </c>
      <c r="D34" s="378">
        <v>0.37152777777777773</v>
      </c>
      <c r="E34" s="12">
        <v>0.37777777777777777</v>
      </c>
      <c r="F34" s="12">
        <v>0</v>
      </c>
      <c r="G34" s="12">
        <v>1066.6666666666704</v>
      </c>
      <c r="H34" s="363">
        <v>0.48194444444444445</v>
      </c>
      <c r="I34" s="23">
        <v>0</v>
      </c>
      <c r="J34" s="12">
        <v>0.72916666666666663</v>
      </c>
      <c r="K34" s="12">
        <v>0.83333333333333337</v>
      </c>
      <c r="L34" s="12">
        <v>46210.052083333336</v>
      </c>
      <c r="M34" s="13">
        <v>46210.041666666664</v>
      </c>
      <c r="N34" s="359"/>
      <c r="O34" s="359"/>
      <c r="P34" s="359"/>
      <c r="Q34" s="359"/>
    </row>
    <row r="35" spans="2:17" ht="25.8" customHeight="1">
      <c r="B35" s="532" t="s">
        <v>163</v>
      </c>
      <c r="C35" s="533"/>
      <c r="D35" s="379">
        <v>11</v>
      </c>
      <c r="E35" s="380">
        <v>3.5</v>
      </c>
      <c r="F35" s="380">
        <v>0</v>
      </c>
      <c r="G35" s="380">
        <v>3.5</v>
      </c>
      <c r="H35" s="381">
        <v>3.3333333333333335</v>
      </c>
      <c r="I35" s="382">
        <v>0</v>
      </c>
      <c r="J35" s="380">
        <v>3</v>
      </c>
      <c r="K35" s="380">
        <v>3.6666666666666665</v>
      </c>
      <c r="L35" s="380">
        <v>3.4</v>
      </c>
      <c r="M35" s="368">
        <v>3.4285714285714284</v>
      </c>
      <c r="N35" s="359"/>
      <c r="O35" s="359"/>
      <c r="P35" s="359"/>
      <c r="Q35" s="359"/>
    </row>
    <row r="36" spans="2:17" ht="25.8" customHeight="1">
      <c r="B36" s="532" t="s">
        <v>164</v>
      </c>
      <c r="C36" s="533"/>
      <c r="D36" s="383" t="s">
        <v>26</v>
      </c>
      <c r="E36" s="24" t="s">
        <v>32</v>
      </c>
      <c r="F36" s="24" t="s">
        <v>32</v>
      </c>
      <c r="G36" s="24" t="s">
        <v>33</v>
      </c>
      <c r="H36" s="15" t="s">
        <v>33</v>
      </c>
      <c r="I36" s="384" t="s">
        <v>34</v>
      </c>
      <c r="J36" s="24" t="s">
        <v>32</v>
      </c>
      <c r="K36" s="24" t="s">
        <v>32</v>
      </c>
      <c r="L36" s="24" t="s">
        <v>33</v>
      </c>
      <c r="M36" s="15" t="s">
        <v>33</v>
      </c>
      <c r="N36" s="359"/>
      <c r="O36" s="359"/>
      <c r="P36" s="359"/>
      <c r="Q36" s="359"/>
    </row>
    <row r="37" spans="2:17" ht="25.8" customHeight="1">
      <c r="B37" s="532" t="s">
        <v>165</v>
      </c>
      <c r="C37" s="533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8" customHeight="1" thickBot="1">
      <c r="B38" s="534" t="s">
        <v>166</v>
      </c>
      <c r="C38" s="535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15:Q15 D32:G32">
    <cfRule type="cellIs" dxfId="29" priority="4" operator="lessThan">
      <formula>0.8</formula>
    </cfRule>
  </conditionalFormatting>
  <conditionalFormatting sqref="J32:L32">
    <cfRule type="cellIs" dxfId="28" priority="3" operator="lessThan">
      <formula>0.8</formula>
    </cfRule>
  </conditionalFormatting>
  <conditionalFormatting sqref="M32">
    <cfRule type="cellIs" dxfId="27" priority="2" operator="lessThan">
      <formula>0.8</formula>
    </cfRule>
  </conditionalFormatting>
  <conditionalFormatting sqref="H32">
    <cfRule type="cellIs" dxfId="2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G20" sqref="G20"/>
    </sheetView>
  </sheetViews>
  <sheetFormatPr defaultColWidth="7.88671875" defaultRowHeight="15.6"/>
  <cols>
    <col min="1" max="1" width="13.6640625" style="282" customWidth="1"/>
    <col min="2" max="2" width="12.77734375" style="282" customWidth="1"/>
    <col min="3" max="3" width="12.77734375" style="342" hidden="1" customWidth="1"/>
    <col min="4" max="5" width="18.33203125" style="282" customWidth="1"/>
    <col min="6" max="6" width="9.77734375" style="340" customWidth="1"/>
    <col min="7" max="7" width="21.109375" style="282" bestFit="1" customWidth="1"/>
    <col min="8" max="8" width="15.6640625" style="282" customWidth="1"/>
    <col min="9" max="9" width="12.21875" style="282" bestFit="1" customWidth="1"/>
    <col min="10" max="15" width="9.77734375" style="282" customWidth="1"/>
    <col min="16" max="16" width="9.77734375" style="341" customWidth="1"/>
    <col min="17" max="18" width="9.77734375" style="282" customWidth="1"/>
    <col min="19" max="16384" width="7.88671875" style="282"/>
  </cols>
  <sheetData>
    <row r="1" spans="1:18" ht="26.25" customHeight="1">
      <c r="A1" s="394" t="s">
        <v>615</v>
      </c>
      <c r="B1" s="395"/>
      <c r="C1" s="396"/>
      <c r="D1" s="276" t="s">
        <v>215</v>
      </c>
      <c r="E1" s="277">
        <f>SUM(G5:G124)</f>
        <v>85562</v>
      </c>
      <c r="F1" s="278" t="s">
        <v>3</v>
      </c>
      <c r="G1" s="279">
        <f>SUM(H5:H124)</f>
        <v>1577021.8663636367</v>
      </c>
      <c r="H1" s="280" t="s">
        <v>216</v>
      </c>
      <c r="I1" s="281">
        <f>+J16+J64+J24+J38+J51+J81+J100+J91+J57+J124+J111</f>
        <v>45.828571428571429</v>
      </c>
      <c r="J1" s="649" t="s">
        <v>217</v>
      </c>
      <c r="K1" s="650"/>
      <c r="L1" s="651"/>
      <c r="M1" s="649" t="s">
        <v>218</v>
      </c>
      <c r="N1" s="650"/>
      <c r="O1" s="650"/>
      <c r="P1" s="650"/>
      <c r="Q1" s="650"/>
      <c r="R1" s="651"/>
    </row>
    <row r="2" spans="1:18" ht="26.25" customHeight="1" thickBot="1">
      <c r="A2" s="655" t="s">
        <v>616</v>
      </c>
      <c r="B2" s="656"/>
      <c r="C2" s="283"/>
      <c r="D2" s="506" t="s">
        <v>220</v>
      </c>
      <c r="E2" s="284">
        <f>AVERAGE(L16,L24,L38,L51,L100,L111,L91)</f>
        <v>576.05669048240441</v>
      </c>
      <c r="F2" s="285" t="s">
        <v>40</v>
      </c>
      <c r="G2" s="286">
        <f>G1/E1</f>
        <v>18.431334779033175</v>
      </c>
      <c r="H2" s="287" t="s">
        <v>221</v>
      </c>
      <c r="I2" s="288">
        <f>COUNT(I5:I124)</f>
        <v>0</v>
      </c>
      <c r="J2" s="652"/>
      <c r="K2" s="653"/>
      <c r="L2" s="654"/>
      <c r="M2" s="652"/>
      <c r="N2" s="653"/>
      <c r="O2" s="653"/>
      <c r="P2" s="653"/>
      <c r="Q2" s="653"/>
      <c r="R2" s="654"/>
    </row>
    <row r="3" spans="1:18" ht="23.25" customHeight="1">
      <c r="A3" s="657" t="s">
        <v>222</v>
      </c>
      <c r="B3" s="659" t="s">
        <v>223</v>
      </c>
      <c r="C3" s="508"/>
      <c r="D3" s="660" t="s">
        <v>224</v>
      </c>
      <c r="E3" s="660"/>
      <c r="F3" s="661" t="s">
        <v>43</v>
      </c>
      <c r="G3" s="662" t="s">
        <v>225</v>
      </c>
      <c r="H3" s="663" t="s">
        <v>226</v>
      </c>
      <c r="I3" s="664" t="s">
        <v>227</v>
      </c>
      <c r="J3" s="637" t="s">
        <v>228</v>
      </c>
      <c r="K3" s="639" t="s">
        <v>229</v>
      </c>
      <c r="L3" s="641" t="s">
        <v>220</v>
      </c>
      <c r="M3" s="666" t="s">
        <v>48</v>
      </c>
      <c r="N3" s="666"/>
      <c r="O3" s="637" t="s">
        <v>101</v>
      </c>
      <c r="P3" s="667" t="s">
        <v>230</v>
      </c>
      <c r="Q3" s="637" t="s">
        <v>231</v>
      </c>
      <c r="R3" s="637"/>
    </row>
    <row r="4" spans="1:18" ht="15.75" customHeight="1">
      <c r="A4" s="658"/>
      <c r="B4" s="659"/>
      <c r="C4" s="508"/>
      <c r="D4" s="660"/>
      <c r="E4" s="660"/>
      <c r="F4" s="661"/>
      <c r="G4" s="662"/>
      <c r="H4" s="663"/>
      <c r="I4" s="665"/>
      <c r="J4" s="638"/>
      <c r="K4" s="640"/>
      <c r="L4" s="642"/>
      <c r="M4" s="505" t="s">
        <v>50</v>
      </c>
      <c r="N4" s="505" t="s">
        <v>51</v>
      </c>
      <c r="O4" s="638"/>
      <c r="P4" s="668"/>
      <c r="Q4" s="289" t="s">
        <v>232</v>
      </c>
      <c r="R4" s="289" t="s">
        <v>233</v>
      </c>
    </row>
    <row r="5" spans="1:18">
      <c r="A5" s="643" t="s">
        <v>234</v>
      </c>
      <c r="B5" s="397" t="s">
        <v>129</v>
      </c>
      <c r="C5" s="397"/>
      <c r="D5" s="306" t="s">
        <v>174</v>
      </c>
      <c r="E5" s="410"/>
      <c r="F5" s="398">
        <v>25.64</v>
      </c>
      <c r="G5" s="508">
        <v>846</v>
      </c>
      <c r="H5" s="291">
        <f>F5*G5</f>
        <v>21691.439999999999</v>
      </c>
      <c r="I5" s="510"/>
      <c r="J5" s="292">
        <v>10</v>
      </c>
      <c r="K5" s="293">
        <f t="shared" ref="K5:K7" si="0">G5/P5*60</f>
        <v>1450.2857142857129</v>
      </c>
      <c r="L5" s="294">
        <f t="shared" ref="L5:L7" si="1">K5/J5</f>
        <v>145.0285714285713</v>
      </c>
      <c r="M5" s="295">
        <v>0.41319444444444442</v>
      </c>
      <c r="N5" s="295">
        <v>0.4375</v>
      </c>
      <c r="O5" s="289">
        <v>5</v>
      </c>
      <c r="P5" s="512">
        <f t="shared" ref="P5:P7" si="2">(N5-M5)*24*60</f>
        <v>35.000000000000036</v>
      </c>
      <c r="Q5" s="296"/>
      <c r="R5" s="296"/>
    </row>
    <row r="6" spans="1:18">
      <c r="A6" s="643"/>
      <c r="B6" s="397" t="s">
        <v>129</v>
      </c>
      <c r="C6" s="397"/>
      <c r="D6" s="306" t="s">
        <v>185</v>
      </c>
      <c r="E6" s="410"/>
      <c r="F6" s="398">
        <v>29.85</v>
      </c>
      <c r="G6" s="508">
        <v>2242</v>
      </c>
      <c r="H6" s="291">
        <f t="shared" ref="H6:H15" si="3">F6*G6</f>
        <v>66923.7</v>
      </c>
      <c r="I6" s="510"/>
      <c r="J6" s="292">
        <v>12</v>
      </c>
      <c r="K6" s="293">
        <f t="shared" si="0"/>
        <v>1793.6000000000008</v>
      </c>
      <c r="L6" s="294">
        <f t="shared" si="1"/>
        <v>149.46666666666673</v>
      </c>
      <c r="M6" s="295">
        <v>0.44097222222222227</v>
      </c>
      <c r="N6" s="295">
        <v>0.49305555555555558</v>
      </c>
      <c r="O6" s="289">
        <v>5</v>
      </c>
      <c r="P6" s="512">
        <f t="shared" si="2"/>
        <v>74.999999999999972</v>
      </c>
      <c r="Q6" s="289"/>
      <c r="R6" s="289"/>
    </row>
    <row r="7" spans="1:18">
      <c r="A7" s="643"/>
      <c r="B7" s="397" t="s">
        <v>129</v>
      </c>
      <c r="C7" s="397"/>
      <c r="D7" s="306" t="s">
        <v>186</v>
      </c>
      <c r="E7" s="410"/>
      <c r="F7" s="398">
        <v>29.52</v>
      </c>
      <c r="G7" s="508">
        <v>2059</v>
      </c>
      <c r="H7" s="291">
        <f t="shared" si="3"/>
        <v>60781.68</v>
      </c>
      <c r="I7" s="510"/>
      <c r="J7" s="292">
        <v>12</v>
      </c>
      <c r="K7" s="293">
        <f t="shared" si="0"/>
        <v>1764.8571428571388</v>
      </c>
      <c r="L7" s="294">
        <f t="shared" si="1"/>
        <v>147.07142857142824</v>
      </c>
      <c r="M7" s="295">
        <v>0.49652777777777773</v>
      </c>
      <c r="N7" s="295">
        <v>0.54513888888888895</v>
      </c>
      <c r="O7" s="289">
        <v>5</v>
      </c>
      <c r="P7" s="512">
        <f t="shared" si="2"/>
        <v>70.000000000000156</v>
      </c>
      <c r="Q7" s="296"/>
      <c r="R7" s="296"/>
    </row>
    <row r="8" spans="1:18">
      <c r="A8" s="643"/>
      <c r="B8" s="397">
        <v>0</v>
      </c>
      <c r="C8" s="397"/>
      <c r="D8" s="306"/>
      <c r="E8" s="410"/>
      <c r="F8" s="398" t="s">
        <v>128</v>
      </c>
      <c r="G8" s="508"/>
      <c r="H8" s="291">
        <f t="shared" si="3"/>
        <v>0</v>
      </c>
      <c r="I8" s="510"/>
      <c r="J8" s="292"/>
      <c r="K8" s="293"/>
      <c r="L8" s="294"/>
      <c r="M8" s="295"/>
      <c r="N8" s="295"/>
      <c r="O8" s="289"/>
      <c r="P8" s="512"/>
      <c r="Q8" s="296"/>
      <c r="R8" s="296"/>
    </row>
    <row r="9" spans="1:18">
      <c r="A9" s="643"/>
      <c r="B9" s="397">
        <v>0</v>
      </c>
      <c r="C9" s="397"/>
      <c r="D9" s="306"/>
      <c r="E9" s="410"/>
      <c r="F9" s="398" t="s">
        <v>128</v>
      </c>
      <c r="G9" s="297"/>
      <c r="H9" s="291">
        <f t="shared" si="3"/>
        <v>0</v>
      </c>
      <c r="I9" s="510"/>
      <c r="J9" s="292"/>
      <c r="K9" s="293"/>
      <c r="L9" s="294"/>
      <c r="M9" s="295"/>
      <c r="N9" s="295"/>
      <c r="O9" s="289"/>
      <c r="P9" s="512"/>
      <c r="Q9" s="296"/>
      <c r="R9" s="296"/>
    </row>
    <row r="10" spans="1:18">
      <c r="A10" s="643"/>
      <c r="B10" s="397">
        <v>0</v>
      </c>
      <c r="C10" s="397"/>
      <c r="D10" s="306"/>
      <c r="E10" s="410"/>
      <c r="F10" s="398" t="s">
        <v>128</v>
      </c>
      <c r="G10" s="297"/>
      <c r="H10" s="291">
        <f t="shared" si="3"/>
        <v>0</v>
      </c>
      <c r="I10" s="510"/>
      <c r="J10" s="292"/>
      <c r="K10" s="293"/>
      <c r="L10" s="294"/>
      <c r="M10" s="295"/>
      <c r="N10" s="295"/>
      <c r="O10" s="289"/>
      <c r="P10" s="512"/>
      <c r="Q10" s="296"/>
      <c r="R10" s="296"/>
    </row>
    <row r="11" spans="1:18">
      <c r="A11" s="643"/>
      <c r="B11" s="397">
        <v>0</v>
      </c>
      <c r="C11" s="397"/>
      <c r="D11" s="306"/>
      <c r="E11" s="410"/>
      <c r="F11" s="398" t="s">
        <v>128</v>
      </c>
      <c r="G11" s="297"/>
      <c r="H11" s="291">
        <f t="shared" si="3"/>
        <v>0</v>
      </c>
      <c r="I11" s="510"/>
      <c r="J11" s="292"/>
      <c r="K11" s="293"/>
      <c r="L11" s="294"/>
      <c r="M11" s="295"/>
      <c r="N11" s="295"/>
      <c r="O11" s="289"/>
      <c r="P11" s="512"/>
      <c r="Q11" s="296"/>
      <c r="R11" s="296"/>
    </row>
    <row r="12" spans="1:18">
      <c r="A12" s="644"/>
      <c r="B12" s="397">
        <v>0</v>
      </c>
      <c r="C12" s="509"/>
      <c r="D12" s="306"/>
      <c r="E12" s="410"/>
      <c r="F12" s="398" t="s">
        <v>128</v>
      </c>
      <c r="G12" s="507"/>
      <c r="H12" s="291">
        <f t="shared" si="3"/>
        <v>0</v>
      </c>
      <c r="I12" s="510"/>
      <c r="J12" s="292"/>
      <c r="K12" s="293"/>
      <c r="L12" s="294"/>
      <c r="M12" s="295"/>
      <c r="N12" s="295"/>
      <c r="O12" s="289"/>
      <c r="P12" s="512"/>
      <c r="Q12" s="296"/>
      <c r="R12" s="289"/>
    </row>
    <row r="13" spans="1:18">
      <c r="A13" s="644"/>
      <c r="B13" s="397">
        <v>0</v>
      </c>
      <c r="C13" s="397"/>
      <c r="D13" s="306"/>
      <c r="E13" s="410"/>
      <c r="F13" s="398" t="s">
        <v>128</v>
      </c>
      <c r="G13" s="297"/>
      <c r="H13" s="291">
        <f t="shared" si="3"/>
        <v>0</v>
      </c>
      <c r="I13" s="510"/>
      <c r="J13" s="292"/>
      <c r="K13" s="293"/>
      <c r="L13" s="294"/>
      <c r="M13" s="295"/>
      <c r="N13" s="295"/>
      <c r="O13" s="289"/>
      <c r="P13" s="512"/>
      <c r="Q13" s="289"/>
      <c r="R13" s="289"/>
    </row>
    <row r="14" spans="1:18">
      <c r="A14" s="644"/>
      <c r="B14" s="397">
        <v>0</v>
      </c>
      <c r="C14" s="397"/>
      <c r="D14" s="409"/>
      <c r="E14" s="410"/>
      <c r="F14" s="398" t="s">
        <v>128</v>
      </c>
      <c r="G14" s="297"/>
      <c r="H14" s="291">
        <f t="shared" si="3"/>
        <v>0</v>
      </c>
      <c r="I14" s="510"/>
      <c r="J14" s="292"/>
      <c r="K14" s="293"/>
      <c r="L14" s="294"/>
      <c r="M14" s="295"/>
      <c r="N14" s="295"/>
      <c r="O14" s="289"/>
      <c r="P14" s="512"/>
      <c r="Q14" s="289"/>
      <c r="R14" s="289"/>
    </row>
    <row r="15" spans="1:18">
      <c r="A15" s="644"/>
      <c r="B15" s="397">
        <v>0</v>
      </c>
      <c r="C15" s="397"/>
      <c r="D15" s="399"/>
      <c r="E15" s="399"/>
      <c r="F15" s="398" t="s">
        <v>128</v>
      </c>
      <c r="G15" s="297"/>
      <c r="H15" s="291">
        <f t="shared" si="3"/>
        <v>0</v>
      </c>
      <c r="I15" s="510"/>
      <c r="J15" s="292"/>
      <c r="K15" s="293"/>
      <c r="L15" s="294"/>
      <c r="M15" s="295"/>
      <c r="N15" s="295"/>
      <c r="O15" s="289"/>
      <c r="P15" s="512"/>
      <c r="Q15" s="289"/>
      <c r="R15" s="289"/>
    </row>
    <row r="16" spans="1:18" ht="15.75" customHeight="1">
      <c r="A16" s="645"/>
      <c r="B16" s="397">
        <v>0</v>
      </c>
      <c r="C16" s="290" t="s">
        <v>617</v>
      </c>
      <c r="D16" s="628" t="s">
        <v>618</v>
      </c>
      <c r="E16" s="628"/>
      <c r="F16" s="298"/>
      <c r="G16" s="299"/>
      <c r="H16" s="300"/>
      <c r="I16" s="301"/>
      <c r="J16" s="302">
        <f>AVERAGE(J5:J15)</f>
        <v>11.333333333333334</v>
      </c>
      <c r="K16" s="302">
        <f>AVERAGE(K5:K15)</f>
        <v>1669.580952380951</v>
      </c>
      <c r="L16" s="303">
        <f>AVERAGE(L5:L15)</f>
        <v>147.18888888888875</v>
      </c>
      <c r="M16" s="295"/>
      <c r="N16" s="295"/>
      <c r="O16" s="293"/>
      <c r="P16" s="293"/>
      <c r="Q16" s="294"/>
      <c r="R16" s="294"/>
    </row>
    <row r="17" spans="1:18" ht="15.75" customHeight="1">
      <c r="A17" s="646" t="s">
        <v>619</v>
      </c>
      <c r="B17" s="397">
        <v>0</v>
      </c>
      <c r="C17" s="509"/>
      <c r="D17" s="306" t="s">
        <v>183</v>
      </c>
      <c r="E17" s="306"/>
      <c r="F17" s="398" t="s">
        <v>128</v>
      </c>
      <c r="G17" s="508">
        <v>2242</v>
      </c>
      <c r="H17" s="304">
        <f t="shared" ref="H17:H23" si="4">F17*G17</f>
        <v>0</v>
      </c>
      <c r="I17" s="305"/>
      <c r="J17" s="292">
        <v>9</v>
      </c>
      <c r="K17" s="293">
        <f t="shared" ref="K17:K19" si="5">G17/P17*60</f>
        <v>1582.5882352941187</v>
      </c>
      <c r="L17" s="294">
        <f>K17/J17</f>
        <v>175.84313725490208</v>
      </c>
      <c r="M17" s="295">
        <v>0.17361111111111113</v>
      </c>
      <c r="N17" s="295">
        <v>0.23263888888888887</v>
      </c>
      <c r="O17" s="289">
        <v>10</v>
      </c>
      <c r="P17" s="512">
        <f>(N17-M17)*24*60</f>
        <v>84.999999999999943</v>
      </c>
      <c r="Q17" s="289"/>
      <c r="R17" s="289"/>
    </row>
    <row r="18" spans="1:18" ht="15.75" customHeight="1">
      <c r="A18" s="646"/>
      <c r="B18" s="397">
        <v>0</v>
      </c>
      <c r="C18" s="509"/>
      <c r="D18" s="306" t="s">
        <v>184</v>
      </c>
      <c r="E18" s="306"/>
      <c r="F18" s="398" t="s">
        <v>128</v>
      </c>
      <c r="G18" s="507">
        <v>2059</v>
      </c>
      <c r="H18" s="291">
        <f t="shared" si="4"/>
        <v>0</v>
      </c>
      <c r="I18" s="510"/>
      <c r="J18" s="292">
        <v>9</v>
      </c>
      <c r="K18" s="293">
        <f t="shared" si="5"/>
        <v>1647.1999999999998</v>
      </c>
      <c r="L18" s="294">
        <f t="shared" ref="L18:L19" si="6">K18/J18</f>
        <v>183.02222222222221</v>
      </c>
      <c r="M18" s="295">
        <v>0.23611111111111113</v>
      </c>
      <c r="N18" s="295">
        <v>0.28819444444444448</v>
      </c>
      <c r="O18" s="289">
        <v>5</v>
      </c>
      <c r="P18" s="512">
        <f t="shared" ref="P18:P19" si="7">(N18-M18)*24*60</f>
        <v>75.000000000000014</v>
      </c>
      <c r="Q18" s="296"/>
      <c r="R18" s="296"/>
    </row>
    <row r="19" spans="1:18" ht="15.75" customHeight="1">
      <c r="A19" s="646"/>
      <c r="B19" s="397" t="s">
        <v>129</v>
      </c>
      <c r="C19" s="509"/>
      <c r="D19" s="306" t="s">
        <v>620</v>
      </c>
      <c r="E19" s="306"/>
      <c r="F19" s="398">
        <v>19.63</v>
      </c>
      <c r="G19" s="507">
        <v>3748</v>
      </c>
      <c r="H19" s="291">
        <f t="shared" si="4"/>
        <v>73573.239999999991</v>
      </c>
      <c r="I19" s="510"/>
      <c r="J19" s="292">
        <v>15</v>
      </c>
      <c r="K19" s="293">
        <f t="shared" si="5"/>
        <v>1955.4782608695666</v>
      </c>
      <c r="L19" s="294">
        <f t="shared" si="6"/>
        <v>130.36521739130444</v>
      </c>
      <c r="M19" s="295">
        <v>0.29166666666666669</v>
      </c>
      <c r="N19" s="295">
        <v>0.37152777777777773</v>
      </c>
      <c r="O19" s="289">
        <v>5</v>
      </c>
      <c r="P19" s="512">
        <f t="shared" si="7"/>
        <v>114.99999999999991</v>
      </c>
      <c r="Q19" s="296">
        <v>0.37847222222222227</v>
      </c>
      <c r="R19" s="296">
        <v>0.40972222222222227</v>
      </c>
    </row>
    <row r="20" spans="1:18" ht="15.75" customHeight="1">
      <c r="A20" s="647"/>
      <c r="B20" s="397">
        <v>0</v>
      </c>
      <c r="C20" s="509"/>
      <c r="D20" s="306"/>
      <c r="E20" s="306"/>
      <c r="F20" s="398" t="s">
        <v>128</v>
      </c>
      <c r="G20" s="507"/>
      <c r="H20" s="291">
        <f t="shared" si="4"/>
        <v>0</v>
      </c>
      <c r="I20" s="510"/>
      <c r="J20" s="292"/>
      <c r="K20" s="293"/>
      <c r="L20" s="294"/>
      <c r="M20" s="295"/>
      <c r="N20" s="295"/>
      <c r="O20" s="289"/>
      <c r="P20" s="512"/>
      <c r="Q20" s="296"/>
      <c r="R20" s="296"/>
    </row>
    <row r="21" spans="1:18" ht="15.75" customHeight="1">
      <c r="A21" s="647"/>
      <c r="B21" s="397">
        <v>0</v>
      </c>
      <c r="C21" s="509"/>
      <c r="D21" s="306"/>
      <c r="E21" s="306"/>
      <c r="F21" s="398" t="s">
        <v>128</v>
      </c>
      <c r="G21" s="507"/>
      <c r="H21" s="291">
        <f t="shared" si="4"/>
        <v>0</v>
      </c>
      <c r="I21" s="510"/>
      <c r="J21" s="292"/>
      <c r="K21" s="293"/>
      <c r="L21" s="294"/>
      <c r="M21" s="295"/>
      <c r="N21" s="295"/>
      <c r="O21" s="289"/>
      <c r="P21" s="512"/>
      <c r="Q21" s="296"/>
      <c r="R21" s="296"/>
    </row>
    <row r="22" spans="1:18" ht="15.75" customHeight="1">
      <c r="A22" s="647"/>
      <c r="B22" s="397">
        <v>0</v>
      </c>
      <c r="C22" s="509"/>
      <c r="D22" s="306"/>
      <c r="E22" s="410"/>
      <c r="F22" s="398" t="s">
        <v>128</v>
      </c>
      <c r="G22" s="507"/>
      <c r="H22" s="291">
        <f t="shared" si="4"/>
        <v>0</v>
      </c>
      <c r="I22" s="510"/>
      <c r="J22" s="292"/>
      <c r="K22" s="293"/>
      <c r="L22" s="294"/>
      <c r="M22" s="295"/>
      <c r="N22" s="295"/>
      <c r="O22" s="289"/>
      <c r="P22" s="512"/>
      <c r="Q22" s="289"/>
      <c r="R22" s="289"/>
    </row>
    <row r="23" spans="1:18" ht="15.75" customHeight="1">
      <c r="A23" s="647"/>
      <c r="B23" s="397">
        <v>0</v>
      </c>
      <c r="C23" s="509"/>
      <c r="D23" s="306"/>
      <c r="E23" s="410"/>
      <c r="F23" s="398" t="s">
        <v>128</v>
      </c>
      <c r="G23" s="507"/>
      <c r="H23" s="291">
        <f t="shared" si="4"/>
        <v>0</v>
      </c>
      <c r="I23" s="510"/>
      <c r="J23" s="292"/>
      <c r="K23" s="293"/>
      <c r="L23" s="294"/>
      <c r="M23" s="295"/>
      <c r="N23" s="295"/>
      <c r="O23" s="289"/>
      <c r="P23" s="512"/>
      <c r="Q23" s="289"/>
      <c r="R23" s="289"/>
    </row>
    <row r="24" spans="1:18" ht="17.399999999999999" customHeight="1">
      <c r="A24" s="648"/>
      <c r="B24" s="397">
        <v>0</v>
      </c>
      <c r="C24" s="6" t="s">
        <v>621</v>
      </c>
      <c r="D24" s="628" t="s">
        <v>618</v>
      </c>
      <c r="E24" s="628"/>
      <c r="F24" s="298"/>
      <c r="G24" s="307"/>
      <c r="H24" s="300"/>
      <c r="I24" s="301"/>
      <c r="J24" s="302">
        <f>AVERAGE(J17:J23)</f>
        <v>11</v>
      </c>
      <c r="K24" s="302">
        <f>AVERAGE(K17:K23)</f>
        <v>1728.4221653878951</v>
      </c>
      <c r="L24" s="303">
        <f>AVERAGE(L17:L23)</f>
        <v>163.0768589561429</v>
      </c>
      <c r="M24" s="295"/>
      <c r="N24" s="295"/>
      <c r="O24" s="289"/>
      <c r="P24" s="289"/>
      <c r="Q24" s="289"/>
      <c r="R24" s="289"/>
    </row>
    <row r="25" spans="1:18">
      <c r="A25" s="635" t="s">
        <v>622</v>
      </c>
      <c r="B25" s="397" t="s">
        <v>126</v>
      </c>
      <c r="C25" s="308"/>
      <c r="D25" s="310" t="s">
        <v>104</v>
      </c>
      <c r="E25" s="309"/>
      <c r="F25" s="398">
        <v>18.53</v>
      </c>
      <c r="G25" s="508">
        <v>1648</v>
      </c>
      <c r="H25" s="291">
        <f t="shared" ref="H25:H37" si="8">F25*G25</f>
        <v>30537.440000000002</v>
      </c>
      <c r="I25" s="510"/>
      <c r="J25" s="292">
        <v>3</v>
      </c>
      <c r="K25" s="293">
        <f t="shared" ref="K25:K28" si="9">G25/P25*60</f>
        <v>2746.6666666666647</v>
      </c>
      <c r="L25" s="294">
        <f t="shared" ref="L25:L28" si="10">K25/J25</f>
        <v>915.55555555555486</v>
      </c>
      <c r="M25" s="295">
        <v>0.18055555555555555</v>
      </c>
      <c r="N25" s="295">
        <v>0.20555555555555557</v>
      </c>
      <c r="O25" s="289">
        <v>20</v>
      </c>
      <c r="P25" s="512">
        <f t="shared" ref="P25:P28" si="11">(N25-M25)*24*60</f>
        <v>36.000000000000028</v>
      </c>
      <c r="Q25" s="296">
        <v>0.20555555555555557</v>
      </c>
      <c r="R25" s="296">
        <v>0.24722222222222223</v>
      </c>
    </row>
    <row r="26" spans="1:18">
      <c r="A26" s="635"/>
      <c r="B26" s="397" t="s">
        <v>126</v>
      </c>
      <c r="C26" s="308"/>
      <c r="D26" s="310" t="s">
        <v>623</v>
      </c>
      <c r="E26" s="311"/>
      <c r="F26" s="398">
        <v>15.03</v>
      </c>
      <c r="G26" s="508">
        <v>836</v>
      </c>
      <c r="H26" s="291">
        <f t="shared" si="8"/>
        <v>12565.08</v>
      </c>
      <c r="I26" s="510"/>
      <c r="J26" s="292">
        <v>4</v>
      </c>
      <c r="K26" s="293">
        <f t="shared" si="9"/>
        <v>2786.6666666666642</v>
      </c>
      <c r="L26" s="294">
        <f t="shared" si="10"/>
        <v>696.66666666666606</v>
      </c>
      <c r="M26" s="295">
        <v>0.26458333333333334</v>
      </c>
      <c r="N26" s="295">
        <v>0.27708333333333335</v>
      </c>
      <c r="O26" s="289">
        <v>25</v>
      </c>
      <c r="P26" s="512">
        <f t="shared" si="11"/>
        <v>18.000000000000014</v>
      </c>
      <c r="Q26" s="296"/>
      <c r="R26" s="296"/>
    </row>
    <row r="27" spans="1:18">
      <c r="A27" s="635"/>
      <c r="B27" s="397" t="s">
        <v>126</v>
      </c>
      <c r="C27" s="308"/>
      <c r="D27" s="306" t="s">
        <v>102</v>
      </c>
      <c r="E27" s="311"/>
      <c r="F27" s="398">
        <v>18.18</v>
      </c>
      <c r="G27" s="508">
        <v>3075</v>
      </c>
      <c r="H27" s="291">
        <f t="shared" si="8"/>
        <v>55903.5</v>
      </c>
      <c r="I27" s="510"/>
      <c r="J27" s="292">
        <v>4</v>
      </c>
      <c r="K27" s="293">
        <f t="shared" si="9"/>
        <v>2795.4545454545455</v>
      </c>
      <c r="L27" s="294">
        <f t="shared" si="10"/>
        <v>698.86363636363637</v>
      </c>
      <c r="M27" s="295">
        <v>0.29097222222222224</v>
      </c>
      <c r="N27" s="295">
        <v>0.33680555555555558</v>
      </c>
      <c r="O27" s="289">
        <v>20</v>
      </c>
      <c r="P27" s="512">
        <f t="shared" si="11"/>
        <v>66</v>
      </c>
      <c r="Q27" s="296"/>
      <c r="R27" s="296"/>
    </row>
    <row r="28" spans="1:18">
      <c r="A28" s="635"/>
      <c r="B28" s="397" t="s">
        <v>126</v>
      </c>
      <c r="C28" s="509"/>
      <c r="D28" s="306" t="s">
        <v>624</v>
      </c>
      <c r="E28" s="311"/>
      <c r="F28" s="398">
        <v>24.93</v>
      </c>
      <c r="G28" s="508">
        <v>1934</v>
      </c>
      <c r="H28" s="291">
        <f t="shared" si="8"/>
        <v>48214.62</v>
      </c>
      <c r="I28" s="510"/>
      <c r="J28" s="292">
        <v>3</v>
      </c>
      <c r="K28" s="293">
        <f t="shared" si="9"/>
        <v>2975.3846153846139</v>
      </c>
      <c r="L28" s="294">
        <f t="shared" si="10"/>
        <v>991.79487179487126</v>
      </c>
      <c r="M28" s="295">
        <v>0.35069444444444442</v>
      </c>
      <c r="N28" s="295">
        <v>0.37777777777777777</v>
      </c>
      <c r="O28" s="289">
        <v>20</v>
      </c>
      <c r="P28" s="512">
        <f t="shared" si="11"/>
        <v>39.000000000000021</v>
      </c>
      <c r="Q28" s="296"/>
      <c r="R28" s="296"/>
    </row>
    <row r="29" spans="1:18">
      <c r="A29" s="635"/>
      <c r="B29" s="397">
        <v>0</v>
      </c>
      <c r="C29" s="508"/>
      <c r="D29" s="310"/>
      <c r="E29" s="311"/>
      <c r="F29" s="398" t="s">
        <v>128</v>
      </c>
      <c r="G29" s="508"/>
      <c r="H29" s="291">
        <f t="shared" si="8"/>
        <v>0</v>
      </c>
      <c r="I29" s="510"/>
      <c r="J29" s="292"/>
      <c r="K29" s="293"/>
      <c r="L29" s="294"/>
      <c r="M29" s="295"/>
      <c r="N29" s="295"/>
      <c r="O29" s="289"/>
      <c r="P29" s="512"/>
      <c r="Q29" s="296"/>
      <c r="R29" s="296"/>
    </row>
    <row r="30" spans="1:18">
      <c r="A30" s="635"/>
      <c r="B30" s="397">
        <v>0</v>
      </c>
      <c r="C30" s="508"/>
      <c r="D30" s="310"/>
      <c r="E30" s="311"/>
      <c r="F30" s="398" t="s">
        <v>128</v>
      </c>
      <c r="G30" s="508"/>
      <c r="H30" s="291">
        <f t="shared" si="8"/>
        <v>0</v>
      </c>
      <c r="I30" s="510"/>
      <c r="J30" s="292"/>
      <c r="K30" s="293"/>
      <c r="L30" s="294"/>
      <c r="M30" s="295"/>
      <c r="N30" s="295"/>
      <c r="O30" s="289"/>
      <c r="P30" s="512"/>
      <c r="Q30" s="296"/>
      <c r="R30" s="296"/>
    </row>
    <row r="31" spans="1:18" ht="15.75" customHeight="1">
      <c r="A31" s="635"/>
      <c r="B31" s="397">
        <v>0</v>
      </c>
      <c r="C31" s="509"/>
      <c r="D31" s="306"/>
      <c r="E31" s="311"/>
      <c r="F31" s="398" t="s">
        <v>128</v>
      </c>
      <c r="G31" s="508"/>
      <c r="H31" s="291">
        <f t="shared" si="8"/>
        <v>0</v>
      </c>
      <c r="I31" s="510"/>
      <c r="J31" s="292"/>
      <c r="K31" s="293"/>
      <c r="L31" s="294"/>
      <c r="M31" s="295"/>
      <c r="N31" s="295"/>
      <c r="O31" s="289"/>
      <c r="P31" s="512"/>
      <c r="Q31" s="296"/>
      <c r="R31" s="296"/>
    </row>
    <row r="32" spans="1:18">
      <c r="A32" s="635"/>
      <c r="B32" s="397">
        <v>0</v>
      </c>
      <c r="C32" s="509"/>
      <c r="D32" s="310"/>
      <c r="E32" s="410"/>
      <c r="F32" s="398" t="s">
        <v>128</v>
      </c>
      <c r="G32" s="508"/>
      <c r="H32" s="291">
        <f t="shared" si="8"/>
        <v>0</v>
      </c>
      <c r="I32" s="510"/>
      <c r="J32" s="292"/>
      <c r="K32" s="293"/>
      <c r="L32" s="294"/>
      <c r="M32" s="295"/>
      <c r="N32" s="295"/>
      <c r="O32" s="289"/>
      <c r="P32" s="512"/>
      <c r="Q32" s="296"/>
      <c r="R32" s="296"/>
    </row>
    <row r="33" spans="1:18">
      <c r="A33" s="635"/>
      <c r="B33" s="397">
        <v>0</v>
      </c>
      <c r="C33" s="508"/>
      <c r="D33" s="306"/>
      <c r="E33" s="311"/>
      <c r="F33" s="398" t="s">
        <v>128</v>
      </c>
      <c r="G33" s="508"/>
      <c r="H33" s="291">
        <f t="shared" si="8"/>
        <v>0</v>
      </c>
      <c r="I33" s="510"/>
      <c r="J33" s="292"/>
      <c r="K33" s="293"/>
      <c r="L33" s="294"/>
      <c r="M33" s="295"/>
      <c r="N33" s="295"/>
      <c r="O33" s="289"/>
      <c r="P33" s="512"/>
      <c r="Q33" s="296"/>
      <c r="R33" s="296"/>
    </row>
    <row r="34" spans="1:18">
      <c r="A34" s="635"/>
      <c r="B34" s="397">
        <v>0</v>
      </c>
      <c r="C34" s="308"/>
      <c r="D34" s="310"/>
      <c r="E34" s="311"/>
      <c r="F34" s="398" t="s">
        <v>128</v>
      </c>
      <c r="G34" s="312"/>
      <c r="H34" s="291">
        <f t="shared" si="8"/>
        <v>0</v>
      </c>
      <c r="I34" s="510"/>
      <c r="J34" s="292"/>
      <c r="K34" s="293"/>
      <c r="L34" s="294"/>
      <c r="M34" s="295"/>
      <c r="N34" s="295"/>
      <c r="O34" s="289"/>
      <c r="P34" s="512"/>
      <c r="Q34" s="296"/>
      <c r="R34" s="296"/>
    </row>
    <row r="35" spans="1:18">
      <c r="A35" s="635"/>
      <c r="B35" s="397">
        <v>0</v>
      </c>
      <c r="C35" s="308"/>
      <c r="D35" s="310"/>
      <c r="E35" s="311"/>
      <c r="F35" s="398" t="s">
        <v>128</v>
      </c>
      <c r="G35" s="312"/>
      <c r="H35" s="291">
        <f t="shared" si="8"/>
        <v>0</v>
      </c>
      <c r="I35" s="510"/>
      <c r="J35" s="292"/>
      <c r="K35" s="293"/>
      <c r="L35" s="294"/>
      <c r="M35" s="295"/>
      <c r="N35" s="295"/>
      <c r="O35" s="289"/>
      <c r="P35" s="512"/>
      <c r="Q35" s="296"/>
      <c r="R35" s="296"/>
    </row>
    <row r="36" spans="1:18">
      <c r="A36" s="635"/>
      <c r="B36" s="397">
        <v>0</v>
      </c>
      <c r="C36" s="308"/>
      <c r="D36" s="310"/>
      <c r="E36" s="310"/>
      <c r="F36" s="398" t="s">
        <v>128</v>
      </c>
      <c r="G36" s="312"/>
      <c r="H36" s="291">
        <f t="shared" si="8"/>
        <v>0</v>
      </c>
      <c r="I36" s="510"/>
      <c r="J36" s="292"/>
      <c r="K36" s="293"/>
      <c r="L36" s="294"/>
      <c r="M36" s="295"/>
      <c r="N36" s="295"/>
      <c r="O36" s="289"/>
      <c r="P36" s="512"/>
      <c r="Q36" s="296"/>
      <c r="R36" s="296"/>
    </row>
    <row r="37" spans="1:18">
      <c r="A37" s="635"/>
      <c r="B37" s="397">
        <v>0</v>
      </c>
      <c r="C37" s="308"/>
      <c r="D37" s="309"/>
      <c r="E37" s="309"/>
      <c r="F37" s="398" t="s">
        <v>128</v>
      </c>
      <c r="G37" s="312"/>
      <c r="H37" s="291">
        <f t="shared" si="8"/>
        <v>0</v>
      </c>
      <c r="I37" s="510"/>
      <c r="J37" s="292"/>
      <c r="K37" s="293"/>
      <c r="L37" s="294"/>
      <c r="M37" s="295"/>
      <c r="N37" s="295"/>
      <c r="O37" s="289"/>
      <c r="P37" s="512"/>
      <c r="Q37" s="296"/>
      <c r="R37" s="296"/>
    </row>
    <row r="38" spans="1:18" ht="17.399999999999999" customHeight="1">
      <c r="A38" s="636"/>
      <c r="B38" s="397">
        <v>0</v>
      </c>
      <c r="C38" s="6" t="s">
        <v>27</v>
      </c>
      <c r="D38" s="614" t="s">
        <v>103</v>
      </c>
      <c r="E38" s="614"/>
      <c r="F38" s="298"/>
      <c r="G38" s="313"/>
      <c r="H38" s="300"/>
      <c r="I38" s="301"/>
      <c r="J38" s="302">
        <f>AVERAGE(J25:J37)</f>
        <v>3.5</v>
      </c>
      <c r="K38" s="302">
        <f>AVERAGE(K25:K37)</f>
        <v>2826.043123543122</v>
      </c>
      <c r="L38" s="303">
        <f>AVERAGE(L25:L37)</f>
        <v>825.72018259518211</v>
      </c>
      <c r="M38" s="295"/>
      <c r="N38" s="295"/>
      <c r="O38" s="293"/>
      <c r="P38" s="293"/>
      <c r="Q38" s="294"/>
      <c r="R38" s="294"/>
    </row>
    <row r="39" spans="1:18" ht="16.2" customHeight="1">
      <c r="A39" s="624" t="s">
        <v>625</v>
      </c>
      <c r="B39" s="397">
        <v>0</v>
      </c>
      <c r="C39" s="509"/>
      <c r="D39" s="310"/>
      <c r="E39" s="410"/>
      <c r="F39" s="398" t="s">
        <v>128</v>
      </c>
      <c r="G39" s="508"/>
      <c r="H39" s="291">
        <f t="shared" ref="H39:H47" si="12">F39*G39</f>
        <v>0</v>
      </c>
      <c r="I39" s="510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625"/>
      <c r="B40" s="397">
        <v>0</v>
      </c>
      <c r="C40" s="509"/>
      <c r="D40" s="310"/>
      <c r="E40" s="410"/>
      <c r="F40" s="398" t="s">
        <v>128</v>
      </c>
      <c r="G40" s="508"/>
      <c r="H40" s="291">
        <f t="shared" si="12"/>
        <v>0</v>
      </c>
      <c r="I40" s="510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625"/>
      <c r="B41" s="397">
        <v>0</v>
      </c>
      <c r="C41" s="509"/>
      <c r="D41" s="323"/>
      <c r="E41" s="410"/>
      <c r="F41" s="398" t="s">
        <v>128</v>
      </c>
      <c r="G41" s="508"/>
      <c r="H41" s="291">
        <f t="shared" si="12"/>
        <v>0</v>
      </c>
      <c r="I41" s="510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625"/>
      <c r="B42" s="397">
        <v>0</v>
      </c>
      <c r="C42" s="509"/>
      <c r="D42" s="323"/>
      <c r="E42" s="410"/>
      <c r="F42" s="398" t="s">
        <v>128</v>
      </c>
      <c r="G42" s="508"/>
      <c r="H42" s="291">
        <f t="shared" si="12"/>
        <v>0</v>
      </c>
      <c r="I42" s="510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625"/>
      <c r="B43" s="397">
        <v>0</v>
      </c>
      <c r="C43" s="509"/>
      <c r="D43" s="310"/>
      <c r="E43" s="410"/>
      <c r="F43" s="398" t="s">
        <v>128</v>
      </c>
      <c r="G43" s="508"/>
      <c r="H43" s="291">
        <f t="shared" si="12"/>
        <v>0</v>
      </c>
      <c r="I43" s="510"/>
      <c r="J43" s="292"/>
      <c r="K43" s="293"/>
      <c r="L43" s="294"/>
      <c r="M43" s="295"/>
      <c r="N43" s="295"/>
      <c r="O43" s="289"/>
      <c r="P43" s="512"/>
      <c r="Q43" s="296"/>
      <c r="R43" s="296"/>
    </row>
    <row r="44" spans="1:18">
      <c r="A44" s="625"/>
      <c r="B44" s="397">
        <v>0</v>
      </c>
      <c r="C44" s="509"/>
      <c r="D44" s="400"/>
      <c r="E44" s="315"/>
      <c r="F44" s="398" t="s">
        <v>128</v>
      </c>
      <c r="G44" s="316"/>
      <c r="H44" s="317">
        <f t="shared" si="12"/>
        <v>0</v>
      </c>
      <c r="I44" s="511"/>
      <c r="J44" s="292"/>
      <c r="K44" s="293"/>
      <c r="L44" s="294"/>
      <c r="M44" s="295"/>
      <c r="N44" s="295"/>
      <c r="O44" s="289"/>
      <c r="P44" s="512"/>
      <c r="Q44" s="296"/>
      <c r="R44" s="296"/>
    </row>
    <row r="45" spans="1:18">
      <c r="A45" s="625"/>
      <c r="B45" s="397">
        <v>0</v>
      </c>
      <c r="C45" s="509"/>
      <c r="D45" s="323"/>
      <c r="E45" s="311"/>
      <c r="F45" s="398" t="s">
        <v>128</v>
      </c>
      <c r="G45" s="508"/>
      <c r="H45" s="291">
        <f t="shared" si="12"/>
        <v>0</v>
      </c>
      <c r="I45" s="510"/>
      <c r="J45" s="292"/>
      <c r="K45" s="293"/>
      <c r="L45" s="294"/>
      <c r="M45" s="295"/>
      <c r="N45" s="295"/>
      <c r="O45" s="289"/>
      <c r="P45" s="512"/>
      <c r="Q45" s="296"/>
      <c r="R45" s="296"/>
    </row>
    <row r="46" spans="1:18">
      <c r="A46" s="625"/>
      <c r="B46" s="397">
        <v>0</v>
      </c>
      <c r="C46" s="509"/>
      <c r="D46" s="323"/>
      <c r="E46" s="315"/>
      <c r="F46" s="398" t="s">
        <v>128</v>
      </c>
      <c r="G46" s="316"/>
      <c r="H46" s="317">
        <f t="shared" si="12"/>
        <v>0</v>
      </c>
      <c r="I46" s="511"/>
      <c r="J46" s="292"/>
      <c r="K46" s="293"/>
      <c r="L46" s="294"/>
      <c r="M46" s="295"/>
      <c r="N46" s="295"/>
      <c r="O46" s="289"/>
      <c r="P46" s="512"/>
      <c r="Q46" s="296"/>
      <c r="R46" s="296"/>
    </row>
    <row r="47" spans="1:18">
      <c r="A47" s="625"/>
      <c r="B47" s="397">
        <v>0</v>
      </c>
      <c r="C47" s="509"/>
      <c r="D47" s="309"/>
      <c r="E47" s="311"/>
      <c r="F47" s="398" t="s">
        <v>128</v>
      </c>
      <c r="G47" s="508"/>
      <c r="H47" s="291">
        <f t="shared" si="12"/>
        <v>0</v>
      </c>
      <c r="I47" s="510"/>
      <c r="J47" s="292"/>
      <c r="K47" s="293"/>
      <c r="L47" s="294"/>
      <c r="M47" s="295"/>
      <c r="N47" s="295"/>
      <c r="O47" s="289"/>
      <c r="P47" s="512"/>
      <c r="Q47" s="296"/>
      <c r="R47" s="296"/>
    </row>
    <row r="48" spans="1:18">
      <c r="A48" s="626"/>
      <c r="B48" s="397">
        <v>0</v>
      </c>
      <c r="C48" s="508"/>
      <c r="D48" s="309"/>
      <c r="E48" s="401"/>
      <c r="F48" s="398" t="s">
        <v>128</v>
      </c>
      <c r="G48" s="508"/>
      <c r="H48" s="291"/>
      <c r="I48" s="510"/>
      <c r="J48" s="292"/>
      <c r="K48" s="293"/>
      <c r="L48" s="294"/>
      <c r="M48" s="295"/>
      <c r="N48" s="295"/>
      <c r="O48" s="289"/>
      <c r="P48" s="512"/>
      <c r="Q48" s="296"/>
      <c r="R48" s="296"/>
    </row>
    <row r="49" spans="1:18">
      <c r="A49" s="626"/>
      <c r="B49" s="397">
        <v>0</v>
      </c>
      <c r="C49" s="508"/>
      <c r="D49" s="310"/>
      <c r="E49" s="318"/>
      <c r="F49" s="398" t="s">
        <v>128</v>
      </c>
      <c r="G49" s="289"/>
      <c r="H49" s="317">
        <f>F49*G49</f>
        <v>0</v>
      </c>
      <c r="I49" s="512"/>
      <c r="J49" s="292"/>
      <c r="K49" s="293"/>
      <c r="L49" s="294"/>
      <c r="M49" s="295"/>
      <c r="N49" s="295"/>
      <c r="O49" s="289"/>
      <c r="P49" s="512"/>
      <c r="Q49" s="296"/>
      <c r="R49" s="296"/>
    </row>
    <row r="50" spans="1:18">
      <c r="A50" s="626"/>
      <c r="B50" s="397">
        <v>0</v>
      </c>
      <c r="C50" s="508"/>
      <c r="D50" s="309"/>
      <c r="E50" s="318"/>
      <c r="F50" s="398" t="s">
        <v>128</v>
      </c>
      <c r="G50" s="289"/>
      <c r="H50" s="317">
        <f>F50*G50</f>
        <v>0</v>
      </c>
      <c r="I50" s="512"/>
      <c r="J50" s="292"/>
      <c r="K50" s="293"/>
      <c r="L50" s="294"/>
      <c r="M50" s="295"/>
      <c r="N50" s="295"/>
      <c r="O50" s="289"/>
      <c r="P50" s="512"/>
      <c r="Q50" s="296"/>
      <c r="R50" s="296"/>
    </row>
    <row r="51" spans="1:18" ht="15.75" customHeight="1">
      <c r="A51" s="627"/>
      <c r="B51" s="397">
        <v>0</v>
      </c>
      <c r="C51" s="6" t="s">
        <v>28</v>
      </c>
      <c r="D51" s="628" t="s">
        <v>618</v>
      </c>
      <c r="E51" s="628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629" t="s">
        <v>626</v>
      </c>
      <c r="B52" s="397" t="s">
        <v>126</v>
      </c>
      <c r="C52" s="509"/>
      <c r="D52" s="309" t="s">
        <v>109</v>
      </c>
      <c r="E52" s="402"/>
      <c r="F52" s="398">
        <v>18.18</v>
      </c>
      <c r="G52" s="508">
        <v>974</v>
      </c>
      <c r="H52" s="291">
        <f>F52*G52</f>
        <v>17707.32</v>
      </c>
      <c r="I52" s="510"/>
      <c r="J52" s="292">
        <v>3</v>
      </c>
      <c r="K52" s="293">
        <f>G52/P52*60</f>
        <v>3075.7894736841954</v>
      </c>
      <c r="L52" s="294">
        <f>K52/J52</f>
        <v>1025.2631578947319</v>
      </c>
      <c r="M52" s="295">
        <v>0.30555555555555552</v>
      </c>
      <c r="N52" s="295">
        <v>0.31875000000000003</v>
      </c>
      <c r="O52" s="293">
        <v>20</v>
      </c>
      <c r="P52" s="512">
        <f>(N52-M52)*24*60</f>
        <v>19.000000000000092</v>
      </c>
      <c r="Q52" s="296"/>
      <c r="R52" s="296"/>
    </row>
    <row r="53" spans="1:18" ht="15.6" customHeight="1">
      <c r="A53" s="630"/>
      <c r="B53" s="397" t="s">
        <v>126</v>
      </c>
      <c r="C53" s="509"/>
      <c r="D53" s="309" t="s">
        <v>105</v>
      </c>
      <c r="E53" s="322"/>
      <c r="F53" s="398">
        <v>25.03</v>
      </c>
      <c r="G53" s="297">
        <v>588</v>
      </c>
      <c r="H53" s="291">
        <f t="shared" ref="H53:H116" si="13">F53*G53</f>
        <v>14717.640000000001</v>
      </c>
      <c r="I53" s="510"/>
      <c r="J53" s="292">
        <v>4</v>
      </c>
      <c r="K53" s="293">
        <f t="shared" ref="K53:K59" si="14">G53/P53*60</f>
        <v>3207.2727272727388</v>
      </c>
      <c r="L53" s="294">
        <f t="shared" ref="L53:L59" si="15">K53/J53</f>
        <v>801.81818181818471</v>
      </c>
      <c r="M53" s="295">
        <v>0.33263888888888887</v>
      </c>
      <c r="N53" s="295">
        <v>0.34027777777777773</v>
      </c>
      <c r="O53" s="293">
        <v>20</v>
      </c>
      <c r="P53" s="512">
        <f t="shared" ref="P53:P59" si="16">(N53-M53)*24*60</f>
        <v>10.999999999999961</v>
      </c>
      <c r="Q53" s="296"/>
      <c r="R53" s="296"/>
    </row>
    <row r="54" spans="1:18" ht="15.6" customHeight="1">
      <c r="A54" s="630"/>
      <c r="B54" s="397" t="s">
        <v>126</v>
      </c>
      <c r="C54" s="509"/>
      <c r="D54" s="309" t="s">
        <v>106</v>
      </c>
      <c r="E54" s="410"/>
      <c r="F54" s="398">
        <v>24.82</v>
      </c>
      <c r="G54" s="297">
        <v>812</v>
      </c>
      <c r="H54" s="291">
        <f t="shared" si="13"/>
        <v>20153.84</v>
      </c>
      <c r="I54" s="510"/>
      <c r="J54" s="292">
        <v>4</v>
      </c>
      <c r="K54" s="293">
        <f t="shared" si="14"/>
        <v>3044.9999999999959</v>
      </c>
      <c r="L54" s="294">
        <f t="shared" si="15"/>
        <v>761.24999999999898</v>
      </c>
      <c r="M54" s="295">
        <v>0.35416666666666669</v>
      </c>
      <c r="N54" s="295">
        <v>0.36527777777777781</v>
      </c>
      <c r="O54" s="293">
        <v>20</v>
      </c>
      <c r="P54" s="512">
        <f t="shared" si="16"/>
        <v>16.000000000000021</v>
      </c>
      <c r="Q54" s="296"/>
      <c r="R54" s="296"/>
    </row>
    <row r="55" spans="1:18" ht="15.6" customHeight="1">
      <c r="A55" s="630"/>
      <c r="B55" s="397" t="s">
        <v>126</v>
      </c>
      <c r="C55" s="509"/>
      <c r="D55" s="310" t="s">
        <v>627</v>
      </c>
      <c r="E55" s="311"/>
      <c r="F55" s="398">
        <v>23.72</v>
      </c>
      <c r="G55" s="297">
        <v>547</v>
      </c>
      <c r="H55" s="291">
        <f t="shared" si="13"/>
        <v>12974.84</v>
      </c>
      <c r="I55" s="510"/>
      <c r="J55" s="292">
        <v>4</v>
      </c>
      <c r="K55" s="293">
        <f t="shared" si="14"/>
        <v>2983.6363636363526</v>
      </c>
      <c r="L55" s="294">
        <f t="shared" si="15"/>
        <v>745.90909090908815</v>
      </c>
      <c r="M55" s="295">
        <v>0.37916666666666665</v>
      </c>
      <c r="N55" s="295">
        <v>0.38680555555555557</v>
      </c>
      <c r="O55" s="293">
        <v>20</v>
      </c>
      <c r="P55" s="512">
        <f t="shared" si="16"/>
        <v>11.000000000000041</v>
      </c>
      <c r="Q55" s="296">
        <v>0.38680555555555557</v>
      </c>
      <c r="R55" s="296">
        <v>0.4284722222222222</v>
      </c>
    </row>
    <row r="56" spans="1:18" ht="15.6" customHeight="1">
      <c r="A56" s="630"/>
      <c r="B56" s="397" t="s">
        <v>126</v>
      </c>
      <c r="C56" s="509"/>
      <c r="D56" s="309" t="s">
        <v>107</v>
      </c>
      <c r="E56" s="311"/>
      <c r="F56" s="398">
        <v>30</v>
      </c>
      <c r="G56" s="297">
        <v>1200</v>
      </c>
      <c r="H56" s="291">
        <f t="shared" si="13"/>
        <v>36000</v>
      </c>
      <c r="I56" s="510"/>
      <c r="J56" s="292">
        <v>4</v>
      </c>
      <c r="K56" s="293">
        <f t="shared" si="14"/>
        <v>3130.4347826086851</v>
      </c>
      <c r="L56" s="294">
        <f t="shared" si="15"/>
        <v>782.60869565217126</v>
      </c>
      <c r="M56" s="295">
        <v>0.4458333333333333</v>
      </c>
      <c r="N56" s="295">
        <v>0.46180555555555558</v>
      </c>
      <c r="O56" s="293">
        <v>25</v>
      </c>
      <c r="P56" s="512">
        <f t="shared" si="16"/>
        <v>23.000000000000078</v>
      </c>
      <c r="Q56" s="296"/>
      <c r="R56" s="296"/>
    </row>
    <row r="57" spans="1:18" ht="15.75" customHeight="1">
      <c r="A57" s="630"/>
      <c r="B57" s="397" t="s">
        <v>126</v>
      </c>
      <c r="C57" s="6" t="s">
        <v>31</v>
      </c>
      <c r="D57" s="323" t="s">
        <v>628</v>
      </c>
      <c r="E57" s="311"/>
      <c r="F57" s="398">
        <v>25.2</v>
      </c>
      <c r="G57" s="297">
        <v>575</v>
      </c>
      <c r="H57" s="291">
        <f t="shared" si="13"/>
        <v>14490</v>
      </c>
      <c r="I57" s="510"/>
      <c r="J57" s="292">
        <v>3</v>
      </c>
      <c r="K57" s="293">
        <f t="shared" si="14"/>
        <v>3136.3636363636251</v>
      </c>
      <c r="L57" s="294">
        <f t="shared" si="15"/>
        <v>1045.4545454545416</v>
      </c>
      <c r="M57" s="295">
        <v>0.47569444444444442</v>
      </c>
      <c r="N57" s="295">
        <v>0.48333333333333334</v>
      </c>
      <c r="O57" s="293">
        <v>20</v>
      </c>
      <c r="P57" s="512">
        <f t="shared" si="16"/>
        <v>11.000000000000041</v>
      </c>
      <c r="Q57" s="296"/>
      <c r="R57" s="296"/>
    </row>
    <row r="58" spans="1:18" ht="15.6" customHeight="1">
      <c r="A58" s="630"/>
      <c r="B58" s="397" t="s">
        <v>126</v>
      </c>
      <c r="C58" s="403"/>
      <c r="D58" s="323" t="s">
        <v>629</v>
      </c>
      <c r="E58" s="311"/>
      <c r="F58" s="398">
        <v>20.72</v>
      </c>
      <c r="G58" s="324">
        <v>1440</v>
      </c>
      <c r="H58" s="291">
        <f t="shared" si="13"/>
        <v>29836.799999999999</v>
      </c>
      <c r="I58" s="510"/>
      <c r="J58" s="292">
        <v>3</v>
      </c>
      <c r="K58" s="293">
        <f t="shared" si="14"/>
        <v>3200.0000000000114</v>
      </c>
      <c r="L58" s="294">
        <f t="shared" si="15"/>
        <v>1066.6666666666704</v>
      </c>
      <c r="M58" s="295">
        <v>0.49722222222222223</v>
      </c>
      <c r="N58" s="295">
        <v>0.51597222222222217</v>
      </c>
      <c r="O58" s="293">
        <v>20</v>
      </c>
      <c r="P58" s="512">
        <f t="shared" si="16"/>
        <v>26.999999999999904</v>
      </c>
      <c r="Q58" s="296"/>
      <c r="R58" s="296"/>
    </row>
    <row r="59" spans="1:18" ht="15.6" customHeight="1">
      <c r="A59" s="630"/>
      <c r="B59" s="397" t="s">
        <v>126</v>
      </c>
      <c r="C59" s="509"/>
      <c r="D59" s="309" t="s">
        <v>630</v>
      </c>
      <c r="E59" s="311"/>
      <c r="F59" s="398">
        <v>17.07</v>
      </c>
      <c r="G59" s="297">
        <v>1730</v>
      </c>
      <c r="H59" s="291">
        <f t="shared" si="13"/>
        <v>29531.100000000002</v>
      </c>
      <c r="I59" s="510"/>
      <c r="J59" s="292">
        <v>3</v>
      </c>
      <c r="K59" s="293">
        <f t="shared" si="14"/>
        <v>3145.4545454545414</v>
      </c>
      <c r="L59" s="294">
        <f t="shared" si="15"/>
        <v>1048.4848484848471</v>
      </c>
      <c r="M59" s="295">
        <v>0.52986111111111112</v>
      </c>
      <c r="N59" s="295">
        <v>0.55277777777777781</v>
      </c>
      <c r="O59" s="293">
        <v>20</v>
      </c>
      <c r="P59" s="512">
        <f t="shared" si="16"/>
        <v>33.000000000000043</v>
      </c>
      <c r="Q59" s="296"/>
      <c r="R59" s="296"/>
    </row>
    <row r="60" spans="1:18" ht="15.6" customHeight="1">
      <c r="A60" s="630"/>
      <c r="B60" s="397">
        <v>0</v>
      </c>
      <c r="C60" s="509"/>
      <c r="D60" s="309"/>
      <c r="E60" s="325"/>
      <c r="F60" s="398" t="s">
        <v>128</v>
      </c>
      <c r="G60" s="297"/>
      <c r="H60" s="291">
        <f t="shared" si="13"/>
        <v>0</v>
      </c>
      <c r="I60" s="510"/>
      <c r="J60" s="292"/>
      <c r="K60" s="293"/>
      <c r="L60" s="294"/>
      <c r="M60" s="295"/>
      <c r="N60" s="295"/>
      <c r="O60" s="293"/>
      <c r="P60" s="512"/>
      <c r="Q60" s="296"/>
      <c r="R60" s="296"/>
    </row>
    <row r="61" spans="1:18" ht="15.6" customHeight="1">
      <c r="A61" s="630"/>
      <c r="B61" s="397">
        <v>0</v>
      </c>
      <c r="C61" s="509"/>
      <c r="D61" s="310"/>
      <c r="E61" s="311"/>
      <c r="F61" s="398" t="s">
        <v>128</v>
      </c>
      <c r="G61" s="297"/>
      <c r="H61" s="291">
        <f t="shared" si="13"/>
        <v>0</v>
      </c>
      <c r="I61" s="510"/>
      <c r="J61" s="292"/>
      <c r="K61" s="293"/>
      <c r="L61" s="294"/>
      <c r="M61" s="295"/>
      <c r="N61" s="295"/>
      <c r="O61" s="293"/>
      <c r="P61" s="512"/>
      <c r="Q61" s="296"/>
      <c r="R61" s="296"/>
    </row>
    <row r="62" spans="1:18" ht="15.6" customHeight="1">
      <c r="A62" s="630"/>
      <c r="B62" s="397">
        <v>0</v>
      </c>
      <c r="C62" s="509"/>
      <c r="D62" s="309"/>
      <c r="E62" s="404"/>
      <c r="F62" s="398" t="s">
        <v>128</v>
      </c>
      <c r="G62" s="297"/>
      <c r="H62" s="291">
        <f t="shared" si="13"/>
        <v>0</v>
      </c>
      <c r="I62" s="510"/>
      <c r="J62" s="292"/>
      <c r="K62" s="293"/>
      <c r="L62" s="294"/>
      <c r="M62" s="295"/>
      <c r="N62" s="295"/>
      <c r="O62" s="293"/>
      <c r="P62" s="512"/>
      <c r="Q62" s="296"/>
      <c r="R62" s="296"/>
    </row>
    <row r="63" spans="1:18" ht="15.6" customHeight="1">
      <c r="A63" s="630"/>
      <c r="B63" s="397">
        <v>0</v>
      </c>
      <c r="C63" s="403"/>
      <c r="D63" s="405"/>
      <c r="E63" s="325"/>
      <c r="F63" s="398" t="s">
        <v>128</v>
      </c>
      <c r="G63" s="297"/>
      <c r="H63" s="291">
        <f t="shared" si="13"/>
        <v>0</v>
      </c>
      <c r="I63" s="511"/>
      <c r="J63" s="292"/>
      <c r="K63" s="293"/>
      <c r="L63" s="294"/>
      <c r="M63" s="295"/>
      <c r="N63" s="295"/>
      <c r="O63" s="289"/>
      <c r="P63" s="512"/>
      <c r="Q63" s="296"/>
      <c r="R63" s="296"/>
    </row>
    <row r="64" spans="1:18" ht="15.75" customHeight="1">
      <c r="A64" s="631"/>
      <c r="B64" s="397">
        <v>0</v>
      </c>
      <c r="C64" s="6" t="s">
        <v>631</v>
      </c>
      <c r="D64" s="628" t="s">
        <v>618</v>
      </c>
      <c r="E64" s="628"/>
      <c r="F64" s="298"/>
      <c r="G64" s="303"/>
      <c r="H64" s="319"/>
      <c r="I64" s="320"/>
      <c r="J64" s="302">
        <f>AVERAGE(J52:J63)</f>
        <v>3.5</v>
      </c>
      <c r="K64" s="302">
        <f>AVERAGE(K52:K63)</f>
        <v>3115.4939411275182</v>
      </c>
      <c r="L64" s="303">
        <f>AVERAGE(L52:L63)</f>
        <v>909.68189836002932</v>
      </c>
      <c r="M64" s="295"/>
      <c r="N64" s="295"/>
      <c r="O64" s="289"/>
      <c r="P64" s="289"/>
      <c r="Q64" s="289"/>
      <c r="R64" s="289"/>
    </row>
    <row r="65" spans="1:18" ht="15.6" customHeight="1">
      <c r="A65" s="632" t="s">
        <v>632</v>
      </c>
      <c r="B65" s="397" t="s">
        <v>126</v>
      </c>
      <c r="C65" s="509"/>
      <c r="D65" s="310" t="s">
        <v>633</v>
      </c>
      <c r="E65" s="402"/>
      <c r="F65" s="398">
        <v>22.281818181818181</v>
      </c>
      <c r="G65" s="508">
        <v>644</v>
      </c>
      <c r="H65" s="291">
        <f>F65*G65</f>
        <v>14349.49090909091</v>
      </c>
      <c r="I65" s="510"/>
      <c r="J65" s="292">
        <v>4</v>
      </c>
      <c r="K65" s="293">
        <f t="shared" ref="K65:K70" si="17">G65/P65*60</f>
        <v>2972.3076923076942</v>
      </c>
      <c r="L65" s="294">
        <f t="shared" ref="L65:L70" si="18">K65/J65</f>
        <v>743.07692307692355</v>
      </c>
      <c r="M65" s="295">
        <v>0.18055555555555555</v>
      </c>
      <c r="N65" s="295">
        <v>0.18958333333333333</v>
      </c>
      <c r="O65" s="293">
        <v>20</v>
      </c>
      <c r="P65" s="512">
        <f>(N65-M65)*24*60</f>
        <v>12.999999999999993</v>
      </c>
      <c r="Q65" s="296"/>
      <c r="R65" s="296"/>
    </row>
    <row r="66" spans="1:18" ht="15.6" customHeight="1">
      <c r="A66" s="633"/>
      <c r="B66" s="397" t="s">
        <v>126</v>
      </c>
      <c r="C66" s="509"/>
      <c r="D66" s="400" t="s">
        <v>108</v>
      </c>
      <c r="E66" s="322"/>
      <c r="F66" s="398">
        <v>14.03</v>
      </c>
      <c r="G66" s="297">
        <v>2926</v>
      </c>
      <c r="H66" s="291">
        <f t="shared" ref="H66:H74" si="19">F66*G66</f>
        <v>41051.78</v>
      </c>
      <c r="I66" s="510"/>
      <c r="J66" s="292">
        <v>3</v>
      </c>
      <c r="K66" s="293">
        <f t="shared" si="17"/>
        <v>3191.9999999999977</v>
      </c>
      <c r="L66" s="294">
        <f t="shared" si="18"/>
        <v>1063.9999999999993</v>
      </c>
      <c r="M66" s="295">
        <v>0.20347222222222219</v>
      </c>
      <c r="N66" s="295">
        <v>0.24166666666666667</v>
      </c>
      <c r="O66" s="293">
        <v>20</v>
      </c>
      <c r="P66" s="512">
        <f t="shared" ref="P66:P70" si="20">(N66-M66)*24*60</f>
        <v>55.000000000000043</v>
      </c>
      <c r="Q66" s="296"/>
      <c r="R66" s="296"/>
    </row>
    <row r="67" spans="1:18" ht="15.6" customHeight="1">
      <c r="A67" s="633"/>
      <c r="B67" s="397" t="s">
        <v>126</v>
      </c>
      <c r="C67" s="509"/>
      <c r="D67" s="310" t="s">
        <v>110</v>
      </c>
      <c r="E67" s="311"/>
      <c r="F67" s="398">
        <v>18.18</v>
      </c>
      <c r="G67" s="297">
        <v>1547</v>
      </c>
      <c r="H67" s="291">
        <f t="shared" si="19"/>
        <v>28124.46</v>
      </c>
      <c r="I67" s="510"/>
      <c r="J67" s="292">
        <v>3</v>
      </c>
      <c r="K67" s="293">
        <f t="shared" si="17"/>
        <v>3200.6896551724158</v>
      </c>
      <c r="L67" s="294">
        <f t="shared" si="18"/>
        <v>1066.8965517241386</v>
      </c>
      <c r="M67" s="295">
        <v>0.25555555555555559</v>
      </c>
      <c r="N67" s="295">
        <v>0.27569444444444446</v>
      </c>
      <c r="O67" s="293">
        <v>20</v>
      </c>
      <c r="P67" s="512">
        <f t="shared" si="20"/>
        <v>28.999999999999979</v>
      </c>
      <c r="Q67" s="296"/>
      <c r="R67" s="296"/>
    </row>
    <row r="68" spans="1:18" ht="15.6" customHeight="1">
      <c r="A68" s="633"/>
      <c r="B68" s="397" t="s">
        <v>126</v>
      </c>
      <c r="C68" s="509"/>
      <c r="D68" s="323" t="s">
        <v>634</v>
      </c>
      <c r="E68" s="311"/>
      <c r="F68" s="398">
        <v>17.890909090909091</v>
      </c>
      <c r="G68" s="297">
        <v>1611</v>
      </c>
      <c r="H68" s="291">
        <f t="shared" si="19"/>
        <v>28822.254545454543</v>
      </c>
      <c r="I68" s="510"/>
      <c r="J68" s="292">
        <v>3</v>
      </c>
      <c r="K68" s="293">
        <f t="shared" si="17"/>
        <v>3118.0645161290354</v>
      </c>
      <c r="L68" s="294">
        <f t="shared" si="18"/>
        <v>1039.3548387096785</v>
      </c>
      <c r="M68" s="295">
        <v>0.28958333333333336</v>
      </c>
      <c r="N68" s="295">
        <v>0.31111111111111112</v>
      </c>
      <c r="O68" s="293">
        <v>20</v>
      </c>
      <c r="P68" s="512">
        <f t="shared" si="20"/>
        <v>30.999999999999972</v>
      </c>
      <c r="Q68" s="296">
        <v>0.31111111111111112</v>
      </c>
      <c r="R68" s="296">
        <v>0.3527777777777778</v>
      </c>
    </row>
    <row r="69" spans="1:18" ht="15.6" customHeight="1">
      <c r="A69" s="633"/>
      <c r="B69" s="397" t="s">
        <v>126</v>
      </c>
      <c r="C69" s="509"/>
      <c r="D69" s="310" t="s">
        <v>635</v>
      </c>
      <c r="E69" s="311"/>
      <c r="F69" s="398">
        <v>16.66</v>
      </c>
      <c r="G69" s="297">
        <v>2923</v>
      </c>
      <c r="H69" s="291">
        <f t="shared" si="19"/>
        <v>48697.18</v>
      </c>
      <c r="I69" s="510"/>
      <c r="J69" s="292">
        <v>4</v>
      </c>
      <c r="K69" s="293">
        <f t="shared" si="17"/>
        <v>3188.7272727272652</v>
      </c>
      <c r="L69" s="294">
        <f t="shared" si="18"/>
        <v>797.18181818181631</v>
      </c>
      <c r="M69" s="295">
        <v>0.37013888888888885</v>
      </c>
      <c r="N69" s="295">
        <v>0.40833333333333338</v>
      </c>
      <c r="O69" s="293">
        <v>25</v>
      </c>
      <c r="P69" s="512">
        <f t="shared" si="20"/>
        <v>55.000000000000128</v>
      </c>
      <c r="Q69" s="296"/>
      <c r="R69" s="296"/>
    </row>
    <row r="70" spans="1:18" ht="15.75" customHeight="1">
      <c r="A70" s="633"/>
      <c r="B70" s="397" t="s">
        <v>126</v>
      </c>
      <c r="C70" s="6" t="s">
        <v>31</v>
      </c>
      <c r="D70" s="323" t="s">
        <v>111</v>
      </c>
      <c r="E70" s="311"/>
      <c r="F70" s="398">
        <v>14.285714285714283</v>
      </c>
      <c r="G70" s="297">
        <v>4558</v>
      </c>
      <c r="H70" s="291">
        <f t="shared" si="19"/>
        <v>65114.285714285703</v>
      </c>
      <c r="I70" s="510"/>
      <c r="J70" s="292">
        <v>3</v>
      </c>
      <c r="K70" s="293">
        <f t="shared" si="17"/>
        <v>3179.9999999999995</v>
      </c>
      <c r="L70" s="294">
        <f t="shared" si="18"/>
        <v>1059.9999999999998</v>
      </c>
      <c r="M70" s="295">
        <v>0.42222222222222222</v>
      </c>
      <c r="N70" s="295">
        <v>0.48194444444444445</v>
      </c>
      <c r="O70" s="293">
        <v>20</v>
      </c>
      <c r="P70" s="512">
        <f t="shared" si="20"/>
        <v>86.000000000000014</v>
      </c>
      <c r="Q70" s="296"/>
      <c r="R70" s="296"/>
    </row>
    <row r="71" spans="1:18" ht="15.6" customHeight="1">
      <c r="A71" s="633"/>
      <c r="B71" s="397">
        <v>0</v>
      </c>
      <c r="C71" s="403"/>
      <c r="D71" s="310"/>
      <c r="E71" s="311"/>
      <c r="F71" s="398" t="s">
        <v>128</v>
      </c>
      <c r="G71" s="324"/>
      <c r="H71" s="291">
        <f t="shared" si="19"/>
        <v>0</v>
      </c>
      <c r="I71" s="510"/>
      <c r="J71" s="292"/>
      <c r="K71" s="293"/>
      <c r="L71" s="294"/>
      <c r="M71" s="295"/>
      <c r="N71" s="295"/>
      <c r="O71" s="293"/>
      <c r="P71" s="512"/>
      <c r="Q71" s="296"/>
      <c r="R71" s="296"/>
    </row>
    <row r="72" spans="1:18" ht="15.6" customHeight="1">
      <c r="A72" s="633"/>
      <c r="B72" s="397">
        <v>0</v>
      </c>
      <c r="C72" s="509"/>
      <c r="D72" s="323"/>
      <c r="E72" s="311"/>
      <c r="F72" s="398" t="s">
        <v>128</v>
      </c>
      <c r="G72" s="297"/>
      <c r="H72" s="291">
        <f t="shared" si="19"/>
        <v>0</v>
      </c>
      <c r="I72" s="510"/>
      <c r="J72" s="292"/>
      <c r="K72" s="293"/>
      <c r="L72" s="294"/>
      <c r="M72" s="295"/>
      <c r="N72" s="295"/>
      <c r="O72" s="293"/>
      <c r="P72" s="512"/>
      <c r="Q72" s="296"/>
      <c r="R72" s="296"/>
    </row>
    <row r="73" spans="1:18" ht="15.6" customHeight="1">
      <c r="A73" s="633"/>
      <c r="B73" s="397">
        <v>0</v>
      </c>
      <c r="C73" s="509"/>
      <c r="D73" s="323"/>
      <c r="E73" s="311"/>
      <c r="F73" s="398" t="s">
        <v>128</v>
      </c>
      <c r="G73" s="297"/>
      <c r="H73" s="291">
        <f t="shared" si="19"/>
        <v>0</v>
      </c>
      <c r="I73" s="510"/>
      <c r="J73" s="292"/>
      <c r="K73" s="293"/>
      <c r="L73" s="294"/>
      <c r="M73" s="295"/>
      <c r="N73" s="295"/>
      <c r="O73" s="293"/>
      <c r="P73" s="512"/>
      <c r="Q73" s="296"/>
      <c r="R73" s="296"/>
    </row>
    <row r="74" spans="1:18" ht="15.6" customHeight="1">
      <c r="A74" s="633"/>
      <c r="B74" s="397">
        <v>0</v>
      </c>
      <c r="C74" s="509"/>
      <c r="D74" s="323"/>
      <c r="E74" s="311"/>
      <c r="F74" s="398" t="s">
        <v>128</v>
      </c>
      <c r="G74" s="297"/>
      <c r="H74" s="291">
        <f t="shared" si="19"/>
        <v>0</v>
      </c>
      <c r="I74" s="510"/>
      <c r="J74" s="292"/>
      <c r="K74" s="293"/>
      <c r="L74" s="294"/>
      <c r="M74" s="295"/>
      <c r="N74" s="295"/>
      <c r="O74" s="293"/>
      <c r="P74" s="512"/>
      <c r="Q74" s="296"/>
      <c r="R74" s="296"/>
    </row>
    <row r="75" spans="1:18" ht="15.75" customHeight="1">
      <c r="A75" s="634"/>
      <c r="B75" s="397">
        <v>0</v>
      </c>
      <c r="C75" s="6" t="s">
        <v>636</v>
      </c>
      <c r="D75" s="628" t="s">
        <v>618</v>
      </c>
      <c r="E75" s="628"/>
      <c r="F75" s="298"/>
      <c r="G75" s="303"/>
      <c r="H75" s="319"/>
      <c r="I75" s="320"/>
      <c r="J75" s="302">
        <f>AVERAGE(J65:J74)</f>
        <v>3.3333333333333335</v>
      </c>
      <c r="K75" s="302">
        <f>AVERAGE(K65:K74)</f>
        <v>3141.9648560560677</v>
      </c>
      <c r="L75" s="303">
        <f>AVERAGE(L65:L74)</f>
        <v>961.75168861542613</v>
      </c>
      <c r="M75" s="295"/>
      <c r="N75" s="295"/>
      <c r="O75" s="289"/>
      <c r="P75" s="289"/>
      <c r="Q75" s="289"/>
      <c r="R75" s="289"/>
    </row>
    <row r="76" spans="1:18" ht="16.2" customHeight="1">
      <c r="A76" s="618" t="s">
        <v>112</v>
      </c>
      <c r="B76" s="397">
        <v>0</v>
      </c>
      <c r="C76" s="290"/>
      <c r="D76" s="619"/>
      <c r="E76" s="620"/>
      <c r="F76" s="398" t="s">
        <v>128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512"/>
      <c r="Q76" s="296"/>
      <c r="R76" s="296"/>
    </row>
    <row r="77" spans="1:18">
      <c r="A77" s="618"/>
      <c r="B77" s="397">
        <v>0</v>
      </c>
      <c r="C77" s="290"/>
      <c r="D77" s="619"/>
      <c r="E77" s="620"/>
      <c r="F77" s="398" t="s">
        <v>128</v>
      </c>
      <c r="G77" s="508"/>
      <c r="H77" s="291">
        <f t="shared" si="13"/>
        <v>0</v>
      </c>
      <c r="I77" s="510"/>
      <c r="J77" s="292"/>
      <c r="K77" s="293"/>
      <c r="L77" s="294"/>
      <c r="M77" s="295"/>
      <c r="N77" s="295"/>
      <c r="O77" s="289"/>
      <c r="P77" s="512"/>
      <c r="Q77" s="289"/>
      <c r="R77" s="289"/>
    </row>
    <row r="78" spans="1:18">
      <c r="A78" s="618"/>
      <c r="B78" s="397">
        <v>0</v>
      </c>
      <c r="C78" s="290"/>
      <c r="D78" s="504"/>
      <c r="E78" s="504"/>
      <c r="F78" s="398" t="s">
        <v>128</v>
      </c>
      <c r="G78" s="312"/>
      <c r="H78" s="291">
        <f t="shared" si="13"/>
        <v>0</v>
      </c>
      <c r="I78" s="510"/>
      <c r="J78" s="292"/>
      <c r="K78" s="293"/>
      <c r="L78" s="294"/>
      <c r="M78" s="295"/>
      <c r="N78" s="295"/>
      <c r="O78" s="289"/>
      <c r="P78" s="512"/>
      <c r="Q78" s="289"/>
      <c r="R78" s="289"/>
    </row>
    <row r="79" spans="1:18">
      <c r="A79" s="618"/>
      <c r="B79" s="397">
        <v>0</v>
      </c>
      <c r="C79" s="290"/>
      <c r="D79" s="504"/>
      <c r="E79" s="504"/>
      <c r="F79" s="398" t="s">
        <v>128</v>
      </c>
      <c r="G79" s="312"/>
      <c r="H79" s="291">
        <f t="shared" si="13"/>
        <v>0</v>
      </c>
      <c r="I79" s="510"/>
      <c r="J79" s="292"/>
      <c r="K79" s="293"/>
      <c r="L79" s="294"/>
      <c r="M79" s="295"/>
      <c r="N79" s="295"/>
      <c r="O79" s="289"/>
      <c r="P79" s="512"/>
      <c r="Q79" s="289"/>
      <c r="R79" s="289"/>
    </row>
    <row r="80" spans="1:18">
      <c r="A80" s="618"/>
      <c r="B80" s="397">
        <v>0</v>
      </c>
      <c r="C80" s="290"/>
      <c r="D80" s="504"/>
      <c r="E80" s="504"/>
      <c r="F80" s="398" t="s">
        <v>128</v>
      </c>
      <c r="G80" s="312"/>
      <c r="H80" s="291">
        <f t="shared" si="13"/>
        <v>0</v>
      </c>
      <c r="I80" s="510"/>
      <c r="J80" s="292"/>
      <c r="K80" s="293"/>
      <c r="L80" s="294"/>
      <c r="M80" s="295"/>
      <c r="N80" s="295"/>
      <c r="O80" s="289"/>
      <c r="P80" s="512"/>
      <c r="Q80" s="289"/>
      <c r="R80" s="289"/>
    </row>
    <row r="81" spans="1:18" ht="15.75" customHeight="1">
      <c r="A81" s="618"/>
      <c r="B81" s="397">
        <v>0</v>
      </c>
      <c r="C81" s="6" t="s">
        <v>31</v>
      </c>
      <c r="D81" s="614" t="s">
        <v>618</v>
      </c>
      <c r="E81" s="614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621" t="s">
        <v>637</v>
      </c>
      <c r="B82" s="397" t="s">
        <v>126</v>
      </c>
      <c r="C82" s="308"/>
      <c r="D82" s="309" t="s">
        <v>638</v>
      </c>
      <c r="E82" s="328"/>
      <c r="F82" s="398">
        <v>17.22</v>
      </c>
      <c r="G82" s="312">
        <v>407</v>
      </c>
      <c r="H82" s="329">
        <f t="shared" ref="H82:H90" si="21">F82*G82</f>
        <v>7008.54</v>
      </c>
      <c r="I82" s="510"/>
      <c r="J82" s="292">
        <v>3</v>
      </c>
      <c r="K82" s="293">
        <f t="shared" ref="K82" si="22">G82/P82*60</f>
        <v>2442.0000000000086</v>
      </c>
      <c r="L82" s="294">
        <f t="shared" ref="L82" si="23">K82/J82</f>
        <v>814.00000000000284</v>
      </c>
      <c r="M82" s="295">
        <v>0.72222222222222221</v>
      </c>
      <c r="N82" s="295">
        <v>0.72916666666666663</v>
      </c>
      <c r="O82" s="293">
        <v>20</v>
      </c>
      <c r="P82" s="512">
        <f t="shared" ref="P82" si="24">(N82-M82)*24*60</f>
        <v>9.9999999999999645</v>
      </c>
      <c r="Q82" s="296"/>
      <c r="R82" s="296"/>
    </row>
    <row r="83" spans="1:18">
      <c r="A83" s="622"/>
      <c r="B83" s="397">
        <v>0</v>
      </c>
      <c r="C83" s="308"/>
      <c r="D83" s="323"/>
      <c r="E83" s="328"/>
      <c r="F83" s="398" t="s">
        <v>128</v>
      </c>
      <c r="G83" s="312"/>
      <c r="H83" s="329">
        <f t="shared" si="21"/>
        <v>0</v>
      </c>
      <c r="I83" s="510"/>
      <c r="J83" s="292"/>
      <c r="K83" s="293"/>
      <c r="L83" s="294"/>
      <c r="M83" s="295"/>
      <c r="N83" s="295"/>
      <c r="O83" s="293"/>
      <c r="P83" s="512"/>
      <c r="Q83" s="296"/>
      <c r="R83" s="296"/>
    </row>
    <row r="84" spans="1:18">
      <c r="A84" s="622"/>
      <c r="B84" s="397">
        <v>0</v>
      </c>
      <c r="C84" s="308"/>
      <c r="D84" s="309"/>
      <c r="E84" s="328"/>
      <c r="F84" s="398" t="s">
        <v>128</v>
      </c>
      <c r="G84" s="312"/>
      <c r="H84" s="329">
        <f t="shared" si="21"/>
        <v>0</v>
      </c>
      <c r="I84" s="510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622"/>
      <c r="B85" s="397">
        <v>0</v>
      </c>
      <c r="C85" s="308"/>
      <c r="D85" s="309"/>
      <c r="E85" s="328"/>
      <c r="F85" s="398" t="s">
        <v>128</v>
      </c>
      <c r="G85" s="312"/>
      <c r="H85" s="330">
        <f t="shared" si="21"/>
        <v>0</v>
      </c>
      <c r="I85" s="510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622"/>
      <c r="B86" s="397">
        <v>0</v>
      </c>
      <c r="C86" s="308"/>
      <c r="D86" s="309"/>
      <c r="E86" s="328"/>
      <c r="F86" s="398" t="s">
        <v>128</v>
      </c>
      <c r="G86" s="508"/>
      <c r="H86" s="330">
        <f t="shared" si="21"/>
        <v>0</v>
      </c>
      <c r="I86" s="510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622"/>
      <c r="B87" s="397"/>
      <c r="C87" s="308"/>
      <c r="D87" s="309"/>
      <c r="E87" s="328"/>
      <c r="F87" s="398" t="s">
        <v>128</v>
      </c>
      <c r="G87" s="508"/>
      <c r="H87" s="330">
        <f t="shared" si="21"/>
        <v>0</v>
      </c>
      <c r="I87" s="510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622"/>
      <c r="B88" s="397">
        <v>0</v>
      </c>
      <c r="C88" s="308"/>
      <c r="D88" s="309"/>
      <c r="E88" s="328"/>
      <c r="F88" s="398" t="s">
        <v>128</v>
      </c>
      <c r="G88" s="508"/>
      <c r="H88" s="330">
        <f t="shared" si="21"/>
        <v>0</v>
      </c>
      <c r="I88" s="510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622"/>
      <c r="B89" s="397">
        <v>0</v>
      </c>
      <c r="C89" s="308"/>
      <c r="D89" s="309"/>
      <c r="E89" s="328"/>
      <c r="F89" s="398" t="s">
        <v>128</v>
      </c>
      <c r="G89" s="508"/>
      <c r="H89" s="330">
        <f t="shared" si="21"/>
        <v>0</v>
      </c>
      <c r="I89" s="510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622"/>
      <c r="B90" s="397">
        <v>0</v>
      </c>
      <c r="C90" s="308"/>
      <c r="D90" s="309"/>
      <c r="E90" s="328"/>
      <c r="F90" s="398" t="s">
        <v>128</v>
      </c>
      <c r="G90" s="508"/>
      <c r="H90" s="330">
        <f t="shared" si="21"/>
        <v>0</v>
      </c>
      <c r="I90" s="510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399999999999999" customHeight="1">
      <c r="A91" s="622"/>
      <c r="B91" s="397">
        <v>0</v>
      </c>
      <c r="C91" s="6" t="s">
        <v>622</v>
      </c>
      <c r="D91" s="623" t="s">
        <v>618</v>
      </c>
      <c r="E91" s="623"/>
      <c r="F91" s="298"/>
      <c r="G91" s="332"/>
      <c r="H91" s="333"/>
      <c r="I91" s="301"/>
      <c r="J91" s="302">
        <f>AVERAGE(J82:J90)</f>
        <v>3</v>
      </c>
      <c r="K91" s="302">
        <f>AVERAGE(K82:K90)</f>
        <v>2442.0000000000086</v>
      </c>
      <c r="L91" s="303">
        <f>AVERAGE(L82:L90)</f>
        <v>814.00000000000284</v>
      </c>
      <c r="M91" s="295"/>
      <c r="N91" s="295"/>
      <c r="O91" s="293"/>
      <c r="P91" s="293"/>
      <c r="Q91" s="294"/>
      <c r="R91" s="294"/>
    </row>
    <row r="92" spans="1:18" ht="16.2" customHeight="1">
      <c r="A92" s="608" t="s">
        <v>639</v>
      </c>
      <c r="B92" s="397" t="s">
        <v>126</v>
      </c>
      <c r="C92" s="290"/>
      <c r="D92" s="334" t="s">
        <v>640</v>
      </c>
      <c r="E92" s="328"/>
      <c r="F92" s="398">
        <v>24.54</v>
      </c>
      <c r="G92" s="508">
        <v>1406</v>
      </c>
      <c r="H92" s="291">
        <f t="shared" ref="H92:H99" si="25">F92*G92</f>
        <v>34503.24</v>
      </c>
      <c r="I92" s="510"/>
      <c r="J92" s="292">
        <v>3</v>
      </c>
      <c r="K92" s="293">
        <f>G92/P92*60</f>
        <v>2108.9999999999991</v>
      </c>
      <c r="L92" s="294">
        <f t="shared" ref="L92:L94" si="26">K92/J92</f>
        <v>702.99999999999966</v>
      </c>
      <c r="M92" s="295">
        <v>0.72222222222222221</v>
      </c>
      <c r="N92" s="295">
        <v>0.75</v>
      </c>
      <c r="O92" s="289">
        <v>20</v>
      </c>
      <c r="P92" s="512">
        <f>(N92-M92)*24*60</f>
        <v>40.000000000000014</v>
      </c>
      <c r="Q92" s="296"/>
      <c r="R92" s="296"/>
    </row>
    <row r="93" spans="1:18">
      <c r="A93" s="609"/>
      <c r="B93" s="397" t="s">
        <v>126</v>
      </c>
      <c r="C93" s="290"/>
      <c r="D93" s="309" t="s">
        <v>641</v>
      </c>
      <c r="E93" s="325"/>
      <c r="F93" s="398">
        <v>23.27</v>
      </c>
      <c r="G93" s="297">
        <v>814</v>
      </c>
      <c r="H93" s="291">
        <f t="shared" si="25"/>
        <v>18941.78</v>
      </c>
      <c r="I93" s="510"/>
      <c r="J93" s="292">
        <v>4</v>
      </c>
      <c r="K93" s="293">
        <f t="shared" ref="K93:K94" si="27">G93/P93*60</f>
        <v>2441.9999999999891</v>
      </c>
      <c r="L93" s="294">
        <f t="shared" si="26"/>
        <v>610.49999999999727</v>
      </c>
      <c r="M93" s="295">
        <v>0.76388888888888884</v>
      </c>
      <c r="N93" s="295">
        <v>0.77777777777777779</v>
      </c>
      <c r="O93" s="289">
        <v>20</v>
      </c>
      <c r="P93" s="512">
        <f>(N93-M93)*24*60</f>
        <v>20.000000000000089</v>
      </c>
      <c r="Q93" s="296"/>
      <c r="R93" s="296"/>
    </row>
    <row r="94" spans="1:18">
      <c r="A94" s="609"/>
      <c r="B94" s="397" t="s">
        <v>126</v>
      </c>
      <c r="C94" s="290"/>
      <c r="D94" s="309" t="s">
        <v>642</v>
      </c>
      <c r="E94" s="325"/>
      <c r="F94" s="398">
        <v>24.33</v>
      </c>
      <c r="G94" s="297">
        <v>2212</v>
      </c>
      <c r="H94" s="291">
        <f t="shared" si="25"/>
        <v>53817.96</v>
      </c>
      <c r="I94" s="510"/>
      <c r="J94" s="292">
        <v>4</v>
      </c>
      <c r="K94" s="293">
        <f t="shared" si="27"/>
        <v>2211.9999999999964</v>
      </c>
      <c r="L94" s="294">
        <f t="shared" si="26"/>
        <v>552.99999999999909</v>
      </c>
      <c r="M94" s="295">
        <v>0.79166666666666663</v>
      </c>
      <c r="N94" s="295">
        <v>0.83333333333333337</v>
      </c>
      <c r="O94" s="289">
        <v>20</v>
      </c>
      <c r="P94" s="512">
        <f>(N94-M94)*24*60</f>
        <v>60.000000000000107</v>
      </c>
      <c r="Q94" s="296"/>
      <c r="R94" s="296"/>
    </row>
    <row r="95" spans="1:18">
      <c r="A95" s="610"/>
      <c r="B95" s="397">
        <v>0</v>
      </c>
      <c r="C95" s="290"/>
      <c r="D95" s="309"/>
      <c r="E95" s="325"/>
      <c r="F95" s="398" t="s">
        <v>128</v>
      </c>
      <c r="G95" s="297"/>
      <c r="H95" s="291">
        <f t="shared" si="25"/>
        <v>0</v>
      </c>
      <c r="I95" s="510"/>
      <c r="J95" s="292"/>
      <c r="K95" s="293"/>
      <c r="L95" s="294"/>
      <c r="M95" s="295"/>
      <c r="N95" s="295"/>
      <c r="O95" s="289"/>
      <c r="P95" s="512"/>
      <c r="Q95" s="296"/>
      <c r="R95" s="296"/>
    </row>
    <row r="96" spans="1:18">
      <c r="A96" s="610"/>
      <c r="B96" s="397">
        <v>0</v>
      </c>
      <c r="C96" s="290"/>
      <c r="D96" s="309"/>
      <c r="E96" s="325"/>
      <c r="F96" s="398" t="s">
        <v>128</v>
      </c>
      <c r="G96" s="297"/>
      <c r="H96" s="291">
        <f t="shared" si="25"/>
        <v>0</v>
      </c>
      <c r="I96" s="510"/>
      <c r="J96" s="292"/>
      <c r="K96" s="293"/>
      <c r="L96" s="294"/>
      <c r="M96" s="295"/>
      <c r="N96" s="295"/>
      <c r="O96" s="289"/>
      <c r="P96" s="512"/>
      <c r="Q96" s="296"/>
      <c r="R96" s="296"/>
    </row>
    <row r="97" spans="1:18">
      <c r="A97" s="610"/>
      <c r="B97" s="397">
        <v>0</v>
      </c>
      <c r="C97" s="290"/>
      <c r="D97" s="309"/>
      <c r="E97" s="325"/>
      <c r="F97" s="398" t="s">
        <v>128</v>
      </c>
      <c r="G97" s="297"/>
      <c r="H97" s="291">
        <f t="shared" si="25"/>
        <v>0</v>
      </c>
      <c r="I97" s="510"/>
      <c r="J97" s="292"/>
      <c r="K97" s="293"/>
      <c r="L97" s="294"/>
      <c r="M97" s="295"/>
      <c r="N97" s="295"/>
      <c r="O97" s="289"/>
      <c r="P97" s="512"/>
      <c r="Q97" s="296"/>
      <c r="R97" s="296"/>
    </row>
    <row r="98" spans="1:18">
      <c r="A98" s="610"/>
      <c r="B98" s="397">
        <v>0</v>
      </c>
      <c r="C98" s="290"/>
      <c r="D98" s="309"/>
      <c r="E98" s="325"/>
      <c r="F98" s="398" t="s">
        <v>128</v>
      </c>
      <c r="G98" s="297"/>
      <c r="H98" s="291">
        <f t="shared" si="25"/>
        <v>0</v>
      </c>
      <c r="I98" s="510"/>
      <c r="J98" s="292"/>
      <c r="K98" s="293"/>
      <c r="L98" s="294"/>
      <c r="M98" s="295"/>
      <c r="N98" s="295"/>
      <c r="O98" s="289"/>
      <c r="P98" s="512"/>
      <c r="Q98" s="296"/>
      <c r="R98" s="296"/>
    </row>
    <row r="99" spans="1:18">
      <c r="A99" s="610"/>
      <c r="B99" s="397">
        <v>0</v>
      </c>
      <c r="C99" s="290"/>
      <c r="D99" s="309"/>
      <c r="E99" s="325"/>
      <c r="F99" s="398" t="s">
        <v>128</v>
      </c>
      <c r="G99" s="297"/>
      <c r="H99" s="291">
        <f t="shared" si="25"/>
        <v>0</v>
      </c>
      <c r="I99" s="510"/>
      <c r="J99" s="292"/>
      <c r="K99" s="293"/>
      <c r="L99" s="294"/>
      <c r="M99" s="295"/>
      <c r="N99" s="295"/>
      <c r="O99" s="289"/>
      <c r="P99" s="512"/>
      <c r="Q99" s="296"/>
      <c r="R99" s="296"/>
    </row>
    <row r="100" spans="1:18" ht="15.75" customHeight="1">
      <c r="A100" s="610"/>
      <c r="B100" s="397">
        <v>0</v>
      </c>
      <c r="C100" s="6" t="s">
        <v>643</v>
      </c>
      <c r="D100" s="611" t="s">
        <v>618</v>
      </c>
      <c r="E100" s="612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2254.333333333328</v>
      </c>
      <c r="L100" s="303">
        <f>AVERAGE(L92:L99)</f>
        <v>622.16666666666526</v>
      </c>
      <c r="M100" s="295"/>
      <c r="N100" s="295"/>
      <c r="O100" s="293"/>
      <c r="P100" s="293"/>
      <c r="Q100" s="294"/>
      <c r="R100" s="294"/>
    </row>
    <row r="101" spans="1:18" ht="16.2" customHeight="1">
      <c r="A101" s="613" t="s">
        <v>644</v>
      </c>
      <c r="B101" s="397" t="s">
        <v>126</v>
      </c>
      <c r="C101" s="6"/>
      <c r="D101" s="325" t="s">
        <v>117</v>
      </c>
      <c r="E101" s="336"/>
      <c r="F101" s="398">
        <v>25.03</v>
      </c>
      <c r="G101" s="508">
        <v>972</v>
      </c>
      <c r="H101" s="291">
        <f t="shared" ref="H101:H110" si="28">F101*G101</f>
        <v>24329.16</v>
      </c>
      <c r="I101" s="510"/>
      <c r="J101" s="292">
        <v>4</v>
      </c>
      <c r="K101" s="293">
        <f>G101/P101*60</f>
        <v>2915.9999999999868</v>
      </c>
      <c r="L101" s="294">
        <f t="shared" ref="L101:L105" si="29">K101/J101</f>
        <v>728.9999999999967</v>
      </c>
      <c r="M101" s="295">
        <v>0.72222222222222221</v>
      </c>
      <c r="N101" s="295">
        <v>0.73611111111111116</v>
      </c>
      <c r="O101" s="289">
        <v>20</v>
      </c>
      <c r="P101" s="293">
        <f t="shared" ref="P101:P103" si="30">(N101-M101)*24*60</f>
        <v>20.000000000000089</v>
      </c>
      <c r="Q101" s="294"/>
      <c r="R101" s="296"/>
    </row>
    <row r="102" spans="1:18" ht="15.6" customHeight="1">
      <c r="A102" s="613"/>
      <c r="B102" s="397" t="s">
        <v>126</v>
      </c>
      <c r="C102" s="6"/>
      <c r="D102" s="323" t="s">
        <v>119</v>
      </c>
      <c r="E102" s="336"/>
      <c r="F102" s="398">
        <v>28.57</v>
      </c>
      <c r="G102" s="508">
        <v>3206</v>
      </c>
      <c r="H102" s="291">
        <f t="shared" si="28"/>
        <v>91595.42</v>
      </c>
      <c r="I102" s="510"/>
      <c r="J102" s="292">
        <v>3</v>
      </c>
      <c r="K102" s="293">
        <f t="shared" ref="K102:K105" si="31">G102/P102*60</f>
        <v>2959.3846153846184</v>
      </c>
      <c r="L102" s="294">
        <f t="shared" si="29"/>
        <v>986.46153846153948</v>
      </c>
      <c r="M102" s="295">
        <v>0.75</v>
      </c>
      <c r="N102" s="295">
        <v>0.79513888888888884</v>
      </c>
      <c r="O102" s="289">
        <v>20</v>
      </c>
      <c r="P102" s="293">
        <f t="shared" si="30"/>
        <v>64.999999999999929</v>
      </c>
      <c r="Q102" s="296">
        <v>0.79513888888888884</v>
      </c>
      <c r="R102" s="296">
        <v>0.83680555555555547</v>
      </c>
    </row>
    <row r="103" spans="1:18">
      <c r="A103" s="613"/>
      <c r="B103" s="397" t="s">
        <v>126</v>
      </c>
      <c r="C103" s="6"/>
      <c r="D103" s="309" t="s">
        <v>118</v>
      </c>
      <c r="E103" s="309"/>
      <c r="F103" s="398">
        <v>24.82</v>
      </c>
      <c r="G103" s="508">
        <v>1638</v>
      </c>
      <c r="H103" s="291">
        <f t="shared" si="28"/>
        <v>40655.160000000003</v>
      </c>
      <c r="I103" s="510"/>
      <c r="J103" s="292">
        <v>4</v>
      </c>
      <c r="K103" s="293">
        <f t="shared" si="31"/>
        <v>2808.00000000001</v>
      </c>
      <c r="L103" s="294">
        <f t="shared" si="29"/>
        <v>702.0000000000025</v>
      </c>
      <c r="M103" s="295">
        <v>0.85069444444444453</v>
      </c>
      <c r="N103" s="295">
        <v>0.875</v>
      </c>
      <c r="O103" s="289">
        <v>20</v>
      </c>
      <c r="P103" s="293">
        <f t="shared" si="30"/>
        <v>34.999999999999872</v>
      </c>
      <c r="Q103" s="296"/>
      <c r="R103" s="296"/>
    </row>
    <row r="104" spans="1:18">
      <c r="A104" s="613"/>
      <c r="B104" s="397" t="s">
        <v>126</v>
      </c>
      <c r="C104" s="6"/>
      <c r="D104" s="309" t="s">
        <v>645</v>
      </c>
      <c r="E104" s="325"/>
      <c r="F104" s="398">
        <v>30</v>
      </c>
      <c r="G104" s="508">
        <v>1745</v>
      </c>
      <c r="H104" s="291">
        <f t="shared" si="28"/>
        <v>52350</v>
      </c>
      <c r="I104" s="510"/>
      <c r="J104" s="292">
        <v>3</v>
      </c>
      <c r="K104" s="293">
        <f t="shared" si="31"/>
        <v>2991.4285714285547</v>
      </c>
      <c r="L104" s="294">
        <f t="shared" si="29"/>
        <v>997.14285714285154</v>
      </c>
      <c r="M104" s="295">
        <v>0.88888888888888884</v>
      </c>
      <c r="N104" s="295">
        <v>0.91319444444444453</v>
      </c>
      <c r="O104" s="289">
        <v>20</v>
      </c>
      <c r="P104" s="293">
        <f>(N104-M104)*24*60</f>
        <v>35.000000000000199</v>
      </c>
      <c r="Q104" s="296"/>
      <c r="R104" s="296"/>
    </row>
    <row r="105" spans="1:18">
      <c r="A105" s="613"/>
      <c r="B105" s="397" t="s">
        <v>126</v>
      </c>
      <c r="C105" s="6"/>
      <c r="D105" s="309" t="s">
        <v>120</v>
      </c>
      <c r="E105" s="323"/>
      <c r="F105" s="398">
        <v>14.285714285714283</v>
      </c>
      <c r="G105" s="508">
        <v>9057</v>
      </c>
      <c r="H105" s="291">
        <f t="shared" si="28"/>
        <v>129385.71428571426</v>
      </c>
      <c r="I105" s="510"/>
      <c r="J105" s="292">
        <v>3</v>
      </c>
      <c r="K105" s="293">
        <f t="shared" si="31"/>
        <v>3019</v>
      </c>
      <c r="L105" s="294">
        <f t="shared" si="29"/>
        <v>1006.3333333333334</v>
      </c>
      <c r="M105" s="295">
        <v>46209.927083333336</v>
      </c>
      <c r="N105" s="295">
        <v>46210.052083333336</v>
      </c>
      <c r="O105" s="289">
        <v>20</v>
      </c>
      <c r="P105" s="293">
        <f>(N105-M105)*24*60</f>
        <v>180</v>
      </c>
      <c r="Q105" s="294"/>
      <c r="R105" s="296"/>
    </row>
    <row r="106" spans="1:18">
      <c r="A106" s="613"/>
      <c r="B106" s="397">
        <v>0</v>
      </c>
      <c r="C106" s="6"/>
      <c r="D106" s="325"/>
      <c r="E106" s="336"/>
      <c r="F106" s="398" t="s">
        <v>128</v>
      </c>
      <c r="G106" s="297"/>
      <c r="H106" s="291">
        <f t="shared" si="28"/>
        <v>0</v>
      </c>
      <c r="I106" s="510"/>
      <c r="J106" s="292"/>
      <c r="K106" s="293"/>
      <c r="L106" s="294"/>
      <c r="M106" s="295"/>
      <c r="N106" s="295"/>
      <c r="O106" s="293"/>
      <c r="P106" s="293"/>
      <c r="Q106" s="294"/>
      <c r="R106" s="296"/>
    </row>
    <row r="107" spans="1:18">
      <c r="A107" s="613"/>
      <c r="B107" s="397">
        <v>0</v>
      </c>
      <c r="C107" s="6"/>
      <c r="D107" s="309"/>
      <c r="E107" s="323"/>
      <c r="F107" s="398" t="s">
        <v>128</v>
      </c>
      <c r="G107" s="508"/>
      <c r="H107" s="291">
        <f t="shared" si="28"/>
        <v>0</v>
      </c>
      <c r="I107" s="510"/>
      <c r="J107" s="292"/>
      <c r="K107" s="293"/>
      <c r="L107" s="294"/>
      <c r="M107" s="295"/>
      <c r="N107" s="295"/>
      <c r="O107" s="293"/>
      <c r="P107" s="293"/>
      <c r="Q107" s="294"/>
      <c r="R107" s="296"/>
    </row>
    <row r="108" spans="1:18">
      <c r="A108" s="613"/>
      <c r="B108" s="397">
        <v>0</v>
      </c>
      <c r="C108" s="6"/>
      <c r="D108" s="309"/>
      <c r="E108" s="323"/>
      <c r="F108" s="398" t="s">
        <v>128</v>
      </c>
      <c r="G108" s="508"/>
      <c r="H108" s="291">
        <f t="shared" si="28"/>
        <v>0</v>
      </c>
      <c r="I108" s="510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613"/>
      <c r="B109" s="397">
        <v>0</v>
      </c>
      <c r="C109" s="290"/>
      <c r="D109" s="323"/>
      <c r="E109" s="323"/>
      <c r="F109" s="398" t="s">
        <v>128</v>
      </c>
      <c r="G109" s="508"/>
      <c r="H109" s="291">
        <f t="shared" si="28"/>
        <v>0</v>
      </c>
      <c r="I109" s="510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613"/>
      <c r="B110" s="397">
        <v>0</v>
      </c>
      <c r="C110" s="290"/>
      <c r="D110" s="309"/>
      <c r="E110" s="323"/>
      <c r="F110" s="398" t="s">
        <v>128</v>
      </c>
      <c r="G110" s="508"/>
      <c r="H110" s="291">
        <f t="shared" si="28"/>
        <v>0</v>
      </c>
      <c r="I110" s="510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613"/>
      <c r="B111" s="397">
        <v>0</v>
      </c>
      <c r="C111" s="6" t="s">
        <v>631</v>
      </c>
      <c r="D111" s="614" t="s">
        <v>618</v>
      </c>
      <c r="E111" s="615"/>
      <c r="F111" s="337"/>
      <c r="G111" s="338"/>
      <c r="H111" s="300"/>
      <c r="I111" s="301"/>
      <c r="J111" s="302">
        <f>AVERAGE(J101:J110)</f>
        <v>3.4</v>
      </c>
      <c r="K111" s="302">
        <f>AVERAGE(K101:K110)</f>
        <v>2938.762637362634</v>
      </c>
      <c r="L111" s="303">
        <f>AVERAGE(L101:L110)</f>
        <v>884.18754578754465</v>
      </c>
      <c r="M111" s="295"/>
      <c r="N111" s="295"/>
      <c r="O111" s="293"/>
      <c r="P111" s="293"/>
      <c r="Q111" s="294"/>
      <c r="R111" s="289"/>
    </row>
    <row r="112" spans="1:18" ht="16.2" customHeight="1">
      <c r="A112" s="616" t="s">
        <v>646</v>
      </c>
      <c r="B112" s="397" t="s">
        <v>126</v>
      </c>
      <c r="C112" s="6"/>
      <c r="D112" s="323" t="s">
        <v>114</v>
      </c>
      <c r="E112" s="339"/>
      <c r="F112" s="398">
        <v>16.7</v>
      </c>
      <c r="G112" s="508">
        <v>1261</v>
      </c>
      <c r="H112" s="329">
        <f t="shared" si="13"/>
        <v>21058.7</v>
      </c>
      <c r="I112" s="510"/>
      <c r="J112" s="292">
        <v>3</v>
      </c>
      <c r="K112" s="293">
        <f t="shared" ref="K112:K118" si="32">G112/P112*60</f>
        <v>3026.3999999999915</v>
      </c>
      <c r="L112" s="294">
        <f t="shared" ref="L112:L118" si="33">K112/J112</f>
        <v>1008.7999999999971</v>
      </c>
      <c r="M112" s="295">
        <v>0.72222222222222221</v>
      </c>
      <c r="N112" s="295">
        <v>0.73958333333333337</v>
      </c>
      <c r="O112" s="289">
        <v>20</v>
      </c>
      <c r="P112" s="512">
        <f t="shared" ref="P112:P118" si="34">(N112-M112)*24*60</f>
        <v>25.000000000000071</v>
      </c>
      <c r="Q112" s="289"/>
      <c r="R112" s="289"/>
    </row>
    <row r="113" spans="1:18">
      <c r="A113" s="616"/>
      <c r="B113" s="397" t="s">
        <v>126</v>
      </c>
      <c r="C113" s="308"/>
      <c r="D113" s="504" t="s">
        <v>121</v>
      </c>
      <c r="E113" s="504"/>
      <c r="F113" s="398">
        <v>18.18</v>
      </c>
      <c r="G113" s="508">
        <v>1081</v>
      </c>
      <c r="H113" s="329">
        <f t="shared" si="13"/>
        <v>19652.579999999998</v>
      </c>
      <c r="I113" s="510"/>
      <c r="J113" s="292">
        <v>4</v>
      </c>
      <c r="K113" s="293">
        <f t="shared" si="32"/>
        <v>2594.3999999999924</v>
      </c>
      <c r="L113" s="294">
        <f t="shared" si="33"/>
        <v>648.59999999999809</v>
      </c>
      <c r="M113" s="295">
        <v>0.75347222222222221</v>
      </c>
      <c r="N113" s="295">
        <v>0.77083333333333337</v>
      </c>
      <c r="O113" s="289">
        <v>20</v>
      </c>
      <c r="P113" s="512">
        <f t="shared" si="34"/>
        <v>25.000000000000071</v>
      </c>
      <c r="Q113" s="296"/>
      <c r="R113" s="296"/>
    </row>
    <row r="114" spans="1:18">
      <c r="A114" s="616"/>
      <c r="B114" s="397" t="s">
        <v>126</v>
      </c>
      <c r="C114" s="308"/>
      <c r="D114" s="504" t="s">
        <v>647</v>
      </c>
      <c r="E114" s="309"/>
      <c r="F114" s="398">
        <v>18.18</v>
      </c>
      <c r="G114" s="508">
        <v>1173</v>
      </c>
      <c r="H114" s="329">
        <f t="shared" si="13"/>
        <v>21325.14</v>
      </c>
      <c r="I114" s="510"/>
      <c r="J114" s="292">
        <v>3</v>
      </c>
      <c r="K114" s="293">
        <f t="shared" si="32"/>
        <v>2815.1999999999921</v>
      </c>
      <c r="L114" s="294">
        <f t="shared" si="33"/>
        <v>938.39999999999736</v>
      </c>
      <c r="M114" s="295">
        <v>0.78472222222222221</v>
      </c>
      <c r="N114" s="295">
        <v>0.80208333333333337</v>
      </c>
      <c r="O114" s="289">
        <v>20</v>
      </c>
      <c r="P114" s="512">
        <f t="shared" si="34"/>
        <v>25.000000000000071</v>
      </c>
      <c r="Q114" s="296"/>
      <c r="R114" s="296"/>
    </row>
    <row r="115" spans="1:18">
      <c r="A115" s="616"/>
      <c r="B115" s="397" t="s">
        <v>126</v>
      </c>
      <c r="C115" s="308"/>
      <c r="D115" s="309" t="s">
        <v>113</v>
      </c>
      <c r="E115" s="325"/>
      <c r="F115" s="398">
        <v>16.66</v>
      </c>
      <c r="G115" s="508">
        <v>5937</v>
      </c>
      <c r="H115" s="329">
        <f t="shared" si="13"/>
        <v>98910.42</v>
      </c>
      <c r="I115" s="510"/>
      <c r="J115" s="292">
        <v>4</v>
      </c>
      <c r="K115" s="293">
        <f t="shared" si="32"/>
        <v>2968.5000000000027</v>
      </c>
      <c r="L115" s="294">
        <f t="shared" si="33"/>
        <v>742.12500000000068</v>
      </c>
      <c r="M115" s="295">
        <v>0.81597222222222221</v>
      </c>
      <c r="N115" s="295">
        <v>0.89930555555555547</v>
      </c>
      <c r="O115" s="289">
        <v>20</v>
      </c>
      <c r="P115" s="512">
        <f t="shared" si="34"/>
        <v>119.99999999999989</v>
      </c>
      <c r="Q115" s="296"/>
      <c r="R115" s="296"/>
    </row>
    <row r="116" spans="1:18">
      <c r="A116" s="616"/>
      <c r="B116" s="397" t="s">
        <v>126</v>
      </c>
      <c r="C116" s="308"/>
      <c r="D116" s="309" t="s">
        <v>115</v>
      </c>
      <c r="E116" s="323"/>
      <c r="F116" s="398">
        <v>22.281818181818181</v>
      </c>
      <c r="G116" s="508">
        <v>1183</v>
      </c>
      <c r="H116" s="329">
        <f t="shared" si="13"/>
        <v>26359.390909090907</v>
      </c>
      <c r="I116" s="510"/>
      <c r="J116" s="292">
        <v>4</v>
      </c>
      <c r="K116" s="293">
        <f t="shared" si="32"/>
        <v>2839.200000000028</v>
      </c>
      <c r="L116" s="294">
        <f t="shared" si="33"/>
        <v>709.800000000007</v>
      </c>
      <c r="M116" s="295">
        <v>0.91319444444444453</v>
      </c>
      <c r="N116" s="331">
        <v>0.93055555555555547</v>
      </c>
      <c r="O116" s="289">
        <v>20</v>
      </c>
      <c r="P116" s="512">
        <f t="shared" si="34"/>
        <v>24.999999999999751</v>
      </c>
      <c r="Q116" s="296">
        <v>0.93055555555555547</v>
      </c>
      <c r="R116" s="296">
        <v>0.97222222222222221</v>
      </c>
    </row>
    <row r="117" spans="1:18">
      <c r="A117" s="616"/>
      <c r="B117" s="397" t="s">
        <v>126</v>
      </c>
      <c r="C117" s="308"/>
      <c r="D117" s="309" t="s">
        <v>116</v>
      </c>
      <c r="E117" s="322"/>
      <c r="F117" s="398">
        <v>17.890909090909091</v>
      </c>
      <c r="G117" s="508">
        <v>3927</v>
      </c>
      <c r="H117" s="329">
        <f t="shared" ref="H117:H123" si="35">F117*G117</f>
        <v>70257.600000000006</v>
      </c>
      <c r="I117" s="510"/>
      <c r="J117" s="292">
        <v>3</v>
      </c>
      <c r="K117" s="293">
        <f t="shared" si="32"/>
        <v>2945.250000042859</v>
      </c>
      <c r="L117" s="294">
        <f t="shared" si="33"/>
        <v>981.75000001428634</v>
      </c>
      <c r="M117" s="295">
        <v>46209.986111111109</v>
      </c>
      <c r="N117" s="295">
        <v>46210.041666666664</v>
      </c>
      <c r="O117" s="293">
        <v>20</v>
      </c>
      <c r="P117" s="512">
        <f t="shared" si="34"/>
        <v>79.999999998835847</v>
      </c>
      <c r="Q117" s="296"/>
      <c r="R117" s="296"/>
    </row>
    <row r="118" spans="1:18">
      <c r="A118" s="616"/>
      <c r="B118" s="397" t="s">
        <v>126</v>
      </c>
      <c r="C118" s="308"/>
      <c r="D118" s="309" t="s">
        <v>648</v>
      </c>
      <c r="E118" s="322"/>
      <c r="F118" s="398">
        <v>14.03</v>
      </c>
      <c r="G118" s="508">
        <v>6779</v>
      </c>
      <c r="H118" s="329">
        <f t="shared" si="35"/>
        <v>95109.37</v>
      </c>
      <c r="I118" s="510"/>
      <c r="J118" s="292">
        <v>3</v>
      </c>
      <c r="K118" s="293">
        <f t="shared" si="32"/>
        <v>3012.8888888888887</v>
      </c>
      <c r="L118" s="294">
        <f t="shared" si="33"/>
        <v>1004.2962962962962</v>
      </c>
      <c r="M118" s="295">
        <v>5.5555555555555552E-2</v>
      </c>
      <c r="N118" s="295">
        <v>0.14930555555555555</v>
      </c>
      <c r="O118" s="293">
        <v>20</v>
      </c>
      <c r="P118" s="512">
        <f t="shared" si="34"/>
        <v>135</v>
      </c>
      <c r="Q118" s="296"/>
      <c r="R118" s="296"/>
    </row>
    <row r="119" spans="1:18">
      <c r="A119" s="616"/>
      <c r="B119" s="397">
        <v>0</v>
      </c>
      <c r="C119" s="308"/>
      <c r="D119" s="323"/>
      <c r="E119" s="322"/>
      <c r="F119" s="398" t="s">
        <v>128</v>
      </c>
      <c r="G119" s="508"/>
      <c r="H119" s="329">
        <f t="shared" si="35"/>
        <v>0</v>
      </c>
      <c r="I119" s="510"/>
      <c r="J119" s="292"/>
      <c r="K119" s="293"/>
      <c r="L119" s="294"/>
      <c r="M119" s="295"/>
      <c r="N119" s="295"/>
      <c r="O119" s="289"/>
      <c r="P119" s="512"/>
      <c r="Q119" s="296"/>
      <c r="R119" s="296"/>
    </row>
    <row r="120" spans="1:18">
      <c r="A120" s="616"/>
      <c r="B120" s="397">
        <v>0</v>
      </c>
      <c r="C120" s="308"/>
      <c r="D120" s="323"/>
      <c r="E120" s="322"/>
      <c r="F120" s="398" t="s">
        <v>128</v>
      </c>
      <c r="G120" s="508"/>
      <c r="H120" s="329">
        <f t="shared" si="35"/>
        <v>0</v>
      </c>
      <c r="I120" s="510"/>
      <c r="J120" s="292"/>
      <c r="K120" s="293"/>
      <c r="L120" s="294"/>
      <c r="M120" s="295"/>
      <c r="N120" s="295"/>
      <c r="O120" s="289"/>
      <c r="P120" s="512"/>
      <c r="Q120" s="296"/>
      <c r="R120" s="296"/>
    </row>
    <row r="121" spans="1:18">
      <c r="A121" s="616"/>
      <c r="B121" s="397">
        <v>0</v>
      </c>
      <c r="C121" s="308"/>
      <c r="D121" s="323"/>
      <c r="E121" s="322"/>
      <c r="F121" s="398" t="s">
        <v>128</v>
      </c>
      <c r="G121" s="508"/>
      <c r="H121" s="329">
        <f t="shared" si="35"/>
        <v>0</v>
      </c>
      <c r="I121" s="510"/>
      <c r="J121" s="292"/>
      <c r="K121" s="293"/>
      <c r="L121" s="294"/>
      <c r="M121" s="295"/>
      <c r="N121" s="295"/>
      <c r="O121" s="289"/>
      <c r="P121" s="512"/>
      <c r="Q121" s="296"/>
      <c r="R121" s="296"/>
    </row>
    <row r="122" spans="1:18" ht="15.6" customHeight="1">
      <c r="A122" s="616"/>
      <c r="B122" s="397">
        <v>0</v>
      </c>
      <c r="C122" s="308"/>
      <c r="D122" s="323"/>
      <c r="E122" s="322"/>
      <c r="F122" s="398" t="s">
        <v>128</v>
      </c>
      <c r="G122" s="508"/>
      <c r="H122" s="329">
        <f t="shared" si="35"/>
        <v>0</v>
      </c>
      <c r="I122" s="510"/>
      <c r="J122" s="292"/>
      <c r="K122" s="293"/>
      <c r="L122" s="294"/>
      <c r="M122" s="295"/>
      <c r="N122" s="295"/>
      <c r="O122" s="289"/>
      <c r="P122" s="512"/>
      <c r="Q122" s="296"/>
      <c r="R122" s="296"/>
    </row>
    <row r="123" spans="1:18">
      <c r="A123" s="616"/>
      <c r="B123" s="397">
        <v>0</v>
      </c>
      <c r="C123" s="308"/>
      <c r="D123" s="323"/>
      <c r="E123" s="322"/>
      <c r="F123" s="398" t="s">
        <v>128</v>
      </c>
      <c r="G123" s="508"/>
      <c r="H123" s="329">
        <f t="shared" si="35"/>
        <v>0</v>
      </c>
      <c r="I123" s="510"/>
      <c r="J123" s="292"/>
      <c r="K123" s="293"/>
      <c r="L123" s="294"/>
      <c r="M123" s="295"/>
      <c r="N123" s="295"/>
      <c r="O123" s="289"/>
      <c r="P123" s="512"/>
      <c r="Q123" s="296"/>
      <c r="R123" s="296"/>
    </row>
    <row r="124" spans="1:18" ht="17.399999999999999" customHeight="1">
      <c r="A124" s="616"/>
      <c r="B124" s="290">
        <v>0</v>
      </c>
      <c r="C124" s="6" t="s">
        <v>636</v>
      </c>
      <c r="D124" s="617" t="s">
        <v>618</v>
      </c>
      <c r="E124" s="617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2885.9769841331081</v>
      </c>
      <c r="L124" s="303">
        <f>AVERAGE(L112:L123)</f>
        <v>861.96732804436908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A25:A38"/>
    <mergeCell ref="D38:E38"/>
    <mergeCell ref="J3:J4"/>
    <mergeCell ref="K3:K4"/>
    <mergeCell ref="L3:L4"/>
    <mergeCell ref="Q3:R3"/>
    <mergeCell ref="A5:A16"/>
    <mergeCell ref="D16:E16"/>
    <mergeCell ref="A17:A24"/>
    <mergeCell ref="D24:E24"/>
    <mergeCell ref="M3:N3"/>
    <mergeCell ref="O3:O4"/>
    <mergeCell ref="P3:P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tabSelected="1" zoomScale="60" zoomScaleNormal="60" workbookViewId="0">
      <pane ySplit="4" topLeftCell="A5" activePane="bottomLeft" state="frozen"/>
      <selection activeCell="AE97" sqref="AE97"/>
      <selection pane="bottomLeft" activeCell="L132" sqref="L132:L133"/>
    </sheetView>
  </sheetViews>
  <sheetFormatPr defaultColWidth="7.88671875" defaultRowHeight="15.6"/>
  <cols>
    <col min="1" max="1" width="14.21875" style="33" customWidth="1"/>
    <col min="2" max="2" width="12.77734375" style="33" customWidth="1"/>
    <col min="3" max="3" width="12.77734375" style="33" hidden="1" customWidth="1"/>
    <col min="4" max="4" width="14.21875" style="33" customWidth="1"/>
    <col min="5" max="5" width="16.44140625" style="33" customWidth="1"/>
    <col min="6" max="6" width="8.88671875" style="255" customWidth="1"/>
    <col min="7" max="7" width="20.21875" style="33" bestFit="1" customWidth="1"/>
    <col min="8" max="8" width="16.33203125" style="33" customWidth="1"/>
    <col min="9" max="9" width="6.33203125" style="33" customWidth="1"/>
    <col min="10" max="10" width="10.109375" style="33" customWidth="1"/>
    <col min="11" max="11" width="10.6640625" style="33" customWidth="1"/>
    <col min="12" max="12" width="14.44140625" style="33" customWidth="1"/>
    <col min="13" max="13" width="10.109375" style="33" customWidth="1"/>
    <col min="14" max="14" width="9.21875" style="33" customWidth="1"/>
    <col min="15" max="15" width="11.88671875" style="33" customWidth="1"/>
    <col min="16" max="16" width="6" style="33" customWidth="1"/>
    <col min="17" max="18" width="9.21875" style="33" customWidth="1"/>
    <col min="19" max="19" width="8.6640625" style="33" customWidth="1"/>
    <col min="20" max="21" width="7.6640625" style="33" bestFit="1" customWidth="1"/>
    <col min="22" max="22" width="10.6640625" style="33" customWidth="1"/>
    <col min="23" max="23" width="8.6640625" style="274" customWidth="1"/>
    <col min="24" max="25" width="7.109375" style="33" customWidth="1"/>
    <col min="26" max="27" width="9.44140625" style="33" customWidth="1"/>
    <col min="28" max="28" width="12.6640625" style="33" customWidth="1"/>
    <col min="29" max="29" width="12.44140625" style="33" customWidth="1"/>
    <col min="30" max="31" width="9.44140625" style="33" customWidth="1"/>
    <col min="32" max="32" width="13.109375" style="33" customWidth="1"/>
    <col min="33" max="33" width="10.33203125" style="33" customWidth="1"/>
    <col min="34" max="34" width="9.21875" style="33" customWidth="1"/>
    <col min="35" max="35" width="7.88671875" style="33" customWidth="1"/>
    <col min="36" max="36" width="24.44140625" style="33" bestFit="1" customWidth="1"/>
    <col min="37" max="16384" width="7.88671875" style="33"/>
  </cols>
  <sheetData>
    <row r="1" spans="1:34" ht="26.25" customHeight="1">
      <c r="A1" s="28" t="s">
        <v>559</v>
      </c>
      <c r="B1" s="28"/>
      <c r="C1" s="28"/>
      <c r="D1" s="530" t="s">
        <v>560</v>
      </c>
      <c r="E1" s="29">
        <f>SUM(G5:G173)</f>
        <v>195103.19999999998</v>
      </c>
      <c r="F1" s="515" t="s">
        <v>3</v>
      </c>
      <c r="G1" s="30">
        <f>SUM(H5:H173)</f>
        <v>7775590.4697810821</v>
      </c>
      <c r="H1" s="531" t="s">
        <v>37</v>
      </c>
      <c r="I1" s="31">
        <f>M17+M30+M43+M56+M69+M82+M95+M108+M121+M134+M147+M160+M173</f>
        <v>196.02936507936511</v>
      </c>
      <c r="J1" s="732" t="s">
        <v>38</v>
      </c>
      <c r="K1" s="732"/>
      <c r="L1" s="732"/>
      <c r="M1" s="732" t="s">
        <v>39</v>
      </c>
      <c r="N1" s="732"/>
      <c r="O1" s="732"/>
      <c r="P1" s="732" t="s">
        <v>561</v>
      </c>
      <c r="Q1" s="732"/>
      <c r="R1" s="732"/>
      <c r="S1" s="732"/>
      <c r="T1" s="732" t="s">
        <v>562</v>
      </c>
      <c r="U1" s="732"/>
      <c r="V1" s="732"/>
      <c r="W1" s="732"/>
      <c r="X1" s="732"/>
      <c r="Y1" s="732"/>
      <c r="Z1" s="32" t="s">
        <v>563</v>
      </c>
      <c r="AA1" s="32" t="s">
        <v>564</v>
      </c>
      <c r="AB1" s="739" t="s">
        <v>565</v>
      </c>
      <c r="AC1" s="740"/>
      <c r="AD1" s="32" t="s">
        <v>563</v>
      </c>
      <c r="AE1" s="32" t="s">
        <v>566</v>
      </c>
      <c r="AF1" s="732" t="s">
        <v>567</v>
      </c>
      <c r="AG1" s="733"/>
      <c r="AH1" s="733"/>
    </row>
    <row r="2" spans="1:34" ht="26.25" customHeight="1">
      <c r="A2" s="734" t="s">
        <v>568</v>
      </c>
      <c r="B2" s="734"/>
      <c r="C2" s="530"/>
      <c r="D2" s="530" t="s">
        <v>569</v>
      </c>
      <c r="E2" s="34">
        <f>AVERAGE(O17,O30,O43,O56,O69,O82,O95,O108,O121,O134,O147,O160,O173)</f>
        <v>128.32735121791458</v>
      </c>
      <c r="F2" s="35" t="s">
        <v>40</v>
      </c>
      <c r="G2" s="36">
        <f>G1/E1</f>
        <v>39.853731101186874</v>
      </c>
      <c r="H2" s="531" t="s">
        <v>41</v>
      </c>
      <c r="I2" s="531">
        <f>COUNT(I5:I173)</f>
        <v>12</v>
      </c>
      <c r="J2" s="732"/>
      <c r="K2" s="732"/>
      <c r="L2" s="732"/>
      <c r="M2" s="732"/>
      <c r="N2" s="732"/>
      <c r="O2" s="732"/>
      <c r="P2" s="732"/>
      <c r="Q2" s="732"/>
      <c r="R2" s="732"/>
      <c r="S2" s="732"/>
      <c r="T2" s="732"/>
      <c r="U2" s="732"/>
      <c r="V2" s="732"/>
      <c r="W2" s="732"/>
      <c r="X2" s="732"/>
      <c r="Y2" s="732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741"/>
      <c r="AC2" s="742"/>
      <c r="AD2" s="38">
        <f>AD17+AD30+AD43+AD56+AD69+AD82+AD95+AD108+AD121+AD134+AD147+AD160+AD173</f>
        <v>8</v>
      </c>
      <c r="AE2" s="38">
        <f>AE17+AE30+AE43+AE56+AE69+AE82+AE95+AE108+AE121+AE134+AE147+AE160+AE173</f>
        <v>7</v>
      </c>
      <c r="AF2" s="733"/>
      <c r="AG2" s="733"/>
      <c r="AH2" s="733"/>
    </row>
    <row r="3" spans="1:34" ht="30.6" customHeight="1">
      <c r="A3" s="673" t="s">
        <v>570</v>
      </c>
      <c r="B3" s="673" t="s">
        <v>42</v>
      </c>
      <c r="C3" s="730"/>
      <c r="D3" s="673" t="s">
        <v>571</v>
      </c>
      <c r="E3" s="673"/>
      <c r="F3" s="730" t="s">
        <v>43</v>
      </c>
      <c r="G3" s="722" t="s">
        <v>44</v>
      </c>
      <c r="H3" s="730" t="s">
        <v>45</v>
      </c>
      <c r="I3" s="724" t="s">
        <v>572</v>
      </c>
      <c r="J3" s="728" t="s">
        <v>46</v>
      </c>
      <c r="K3" s="727" t="s">
        <v>47</v>
      </c>
      <c r="L3" s="702" t="s">
        <v>35</v>
      </c>
      <c r="M3" s="722" t="s">
        <v>46</v>
      </c>
      <c r="N3" s="727" t="s">
        <v>573</v>
      </c>
      <c r="O3" s="702" t="s">
        <v>569</v>
      </c>
      <c r="P3" s="728" t="s">
        <v>574</v>
      </c>
      <c r="Q3" s="702" t="s">
        <v>569</v>
      </c>
      <c r="R3" s="729" t="s">
        <v>575</v>
      </c>
      <c r="S3" s="703" t="s">
        <v>576</v>
      </c>
      <c r="T3" s="722" t="s">
        <v>48</v>
      </c>
      <c r="U3" s="722"/>
      <c r="V3" s="723" t="s">
        <v>49</v>
      </c>
      <c r="W3" s="724" t="s">
        <v>577</v>
      </c>
      <c r="X3" s="722" t="s">
        <v>578</v>
      </c>
      <c r="Y3" s="722"/>
      <c r="Z3" s="725" t="s">
        <v>579</v>
      </c>
      <c r="AA3" s="726"/>
      <c r="AB3" s="735" t="s">
        <v>580</v>
      </c>
      <c r="AC3" s="736"/>
      <c r="AD3" s="737" t="s">
        <v>581</v>
      </c>
      <c r="AE3" s="738"/>
      <c r="AF3" s="727" t="s">
        <v>582</v>
      </c>
      <c r="AG3" s="729" t="s">
        <v>583</v>
      </c>
      <c r="AH3" s="703" t="s">
        <v>584</v>
      </c>
    </row>
    <row r="4" spans="1:34" ht="30.6" customHeight="1">
      <c r="A4" s="730"/>
      <c r="B4" s="673"/>
      <c r="C4" s="731"/>
      <c r="D4" s="673"/>
      <c r="E4" s="673"/>
      <c r="F4" s="731"/>
      <c r="G4" s="722"/>
      <c r="H4" s="731"/>
      <c r="I4" s="724"/>
      <c r="J4" s="728"/>
      <c r="K4" s="727"/>
      <c r="L4" s="702"/>
      <c r="M4" s="722"/>
      <c r="N4" s="727"/>
      <c r="O4" s="702"/>
      <c r="P4" s="728"/>
      <c r="Q4" s="702"/>
      <c r="R4" s="729"/>
      <c r="S4" s="703"/>
      <c r="T4" s="525" t="s">
        <v>50</v>
      </c>
      <c r="U4" s="525" t="s">
        <v>51</v>
      </c>
      <c r="V4" s="722"/>
      <c r="W4" s="724"/>
      <c r="X4" s="515" t="s">
        <v>585</v>
      </c>
      <c r="Y4" s="515" t="s">
        <v>36</v>
      </c>
      <c r="Z4" s="525" t="s">
        <v>586</v>
      </c>
      <c r="AA4" s="525" t="s">
        <v>587</v>
      </c>
      <c r="AB4" s="736"/>
      <c r="AC4" s="736"/>
      <c r="AD4" s="525" t="s">
        <v>588</v>
      </c>
      <c r="AE4" s="39" t="s">
        <v>589</v>
      </c>
      <c r="AF4" s="727"/>
      <c r="AG4" s="729"/>
      <c r="AH4" s="703"/>
    </row>
    <row r="5" spans="1:34" ht="18.75" customHeight="1">
      <c r="A5" s="719" t="s">
        <v>590</v>
      </c>
      <c r="B5" s="40" t="s">
        <v>122</v>
      </c>
      <c r="C5" s="41"/>
      <c r="D5" s="42" t="s">
        <v>52</v>
      </c>
      <c r="E5" s="43"/>
      <c r="F5" s="343">
        <v>37.83</v>
      </c>
      <c r="G5" s="44">
        <v>5610.24</v>
      </c>
      <c r="H5" s="45">
        <f t="shared" ref="H5:H16" si="0">F5*G5</f>
        <v>212235.3792</v>
      </c>
      <c r="I5" s="526"/>
      <c r="J5" s="46">
        <v>20</v>
      </c>
      <c r="K5" s="44">
        <v>2400</v>
      </c>
      <c r="L5" s="47">
        <v>120</v>
      </c>
      <c r="M5" s="527">
        <v>20</v>
      </c>
      <c r="N5" s="44">
        <f t="shared" ref="N5:N11" si="1">G5/W5*60</f>
        <v>2353.9468531468538</v>
      </c>
      <c r="O5" s="47">
        <f t="shared" ref="O5:O11" si="2">N5/M5</f>
        <v>117.69734265734269</v>
      </c>
      <c r="P5" s="48">
        <f t="shared" ref="P5:P11" si="3">M5-J5</f>
        <v>0</v>
      </c>
      <c r="Q5" s="49">
        <f t="shared" ref="Q5:Q11" si="4">O5-L5</f>
        <v>-2.3026573426573123</v>
      </c>
      <c r="R5" s="517">
        <f t="shared" ref="R5:R11" si="5">O5/L5</f>
        <v>0.98081118881118912</v>
      </c>
      <c r="S5" s="688">
        <f>R17</f>
        <v>0.92284450337921209</v>
      </c>
      <c r="T5" s="89">
        <v>0.25</v>
      </c>
      <c r="U5" s="89">
        <v>0.34930555555555554</v>
      </c>
      <c r="V5" s="515">
        <v>5</v>
      </c>
      <c r="W5" s="526">
        <f>(U5-T5)*24*60</f>
        <v>142.99999999999997</v>
      </c>
      <c r="X5" s="515"/>
      <c r="Y5" s="515"/>
      <c r="Z5" s="51"/>
      <c r="AA5" s="51"/>
      <c r="AB5" s="673"/>
      <c r="AC5" s="673"/>
      <c r="AD5" s="52">
        <v>1</v>
      </c>
      <c r="AE5" s="52"/>
      <c r="AF5" s="48">
        <f t="shared" ref="AF5:AF70" si="6">N5-K5</f>
        <v>-46.053146853146245</v>
      </c>
      <c r="AG5" s="517">
        <f t="shared" ref="AG5:AG70" si="7">N5/K5</f>
        <v>0.98081118881118912</v>
      </c>
      <c r="AH5" s="688">
        <f>AG17</f>
        <v>0.92336994788493254</v>
      </c>
    </row>
    <row r="6" spans="1:34" ht="19.2" customHeight="1">
      <c r="A6" s="720"/>
      <c r="B6" s="40" t="s">
        <v>122</v>
      </c>
      <c r="C6" s="41"/>
      <c r="D6" s="42" t="s">
        <v>204</v>
      </c>
      <c r="E6" s="43"/>
      <c r="F6" s="343">
        <v>46.93</v>
      </c>
      <c r="G6" s="44">
        <v>3075</v>
      </c>
      <c r="H6" s="45">
        <f t="shared" si="0"/>
        <v>144309.75</v>
      </c>
      <c r="I6" s="526"/>
      <c r="J6" s="46">
        <v>21</v>
      </c>
      <c r="K6" s="44">
        <v>2400</v>
      </c>
      <c r="L6" s="47">
        <v>114.28571428571429</v>
      </c>
      <c r="M6" s="527">
        <v>21</v>
      </c>
      <c r="N6" s="44">
        <f t="shared" si="1"/>
        <v>2222.8915662650593</v>
      </c>
      <c r="O6" s="47">
        <f t="shared" si="2"/>
        <v>105.8519793459552</v>
      </c>
      <c r="P6" s="48">
        <f t="shared" si="3"/>
        <v>0</v>
      </c>
      <c r="Q6" s="49">
        <f t="shared" si="4"/>
        <v>-8.4337349397590913</v>
      </c>
      <c r="R6" s="517">
        <f t="shared" si="5"/>
        <v>0.92620481927710796</v>
      </c>
      <c r="S6" s="688"/>
      <c r="T6" s="89">
        <v>0.36527777777777776</v>
      </c>
      <c r="U6" s="89">
        <v>0.42291666666666666</v>
      </c>
      <c r="V6" s="515">
        <v>23</v>
      </c>
      <c r="W6" s="526">
        <f t="shared" ref="W6:W17" si="8">(U6-T6)*24*60</f>
        <v>83.000000000000028</v>
      </c>
      <c r="X6" s="53">
        <v>0.35416666666666669</v>
      </c>
      <c r="Y6" s="53">
        <v>0.36458333333333331</v>
      </c>
      <c r="Z6" s="54"/>
      <c r="AA6" s="54"/>
      <c r="AB6" s="673"/>
      <c r="AC6" s="673"/>
      <c r="AD6" s="513"/>
      <c r="AE6" s="513"/>
      <c r="AF6" s="48">
        <f t="shared" si="6"/>
        <v>-177.10843373494072</v>
      </c>
      <c r="AG6" s="517">
        <f t="shared" si="7"/>
        <v>0.92620481927710807</v>
      </c>
      <c r="AH6" s="688"/>
    </row>
    <row r="7" spans="1:34" ht="19.2" customHeight="1">
      <c r="A7" s="720"/>
      <c r="B7" s="40" t="s">
        <v>122</v>
      </c>
      <c r="C7" s="41"/>
      <c r="D7" s="42" t="s">
        <v>178</v>
      </c>
      <c r="E7" s="43"/>
      <c r="F7" s="343">
        <v>28.86</v>
      </c>
      <c r="G7" s="44">
        <v>1860</v>
      </c>
      <c r="H7" s="45">
        <f t="shared" si="0"/>
        <v>53679.6</v>
      </c>
      <c r="I7" s="526"/>
      <c r="J7" s="46">
        <v>17</v>
      </c>
      <c r="K7" s="44">
        <v>2571</v>
      </c>
      <c r="L7" s="47">
        <v>151.23529411764707</v>
      </c>
      <c r="M7" s="527">
        <v>17</v>
      </c>
      <c r="N7" s="44">
        <f t="shared" si="1"/>
        <v>2374.4680851063831</v>
      </c>
      <c r="O7" s="47">
        <f t="shared" si="2"/>
        <v>139.67459324155195</v>
      </c>
      <c r="P7" s="48">
        <f t="shared" si="3"/>
        <v>0</v>
      </c>
      <c r="Q7" s="49">
        <f t="shared" si="4"/>
        <v>-11.560700876095126</v>
      </c>
      <c r="R7" s="517">
        <f t="shared" si="5"/>
        <v>0.92355818168276271</v>
      </c>
      <c r="S7" s="688"/>
      <c r="T7" s="89">
        <v>0.42777777777777776</v>
      </c>
      <c r="U7" s="89">
        <v>0.46041666666666664</v>
      </c>
      <c r="V7" s="515">
        <v>7</v>
      </c>
      <c r="W7" s="526">
        <f t="shared" si="8"/>
        <v>46.999999999999993</v>
      </c>
      <c r="X7" s="53"/>
      <c r="Y7" s="53"/>
      <c r="Z7" s="54"/>
      <c r="AA7" s="54"/>
      <c r="AB7" s="673"/>
      <c r="AC7" s="673"/>
      <c r="AD7" s="513"/>
      <c r="AE7" s="513"/>
      <c r="AF7" s="48">
        <f t="shared" si="6"/>
        <v>-196.53191489361689</v>
      </c>
      <c r="AG7" s="517">
        <f t="shared" si="7"/>
        <v>0.92355818168276282</v>
      </c>
      <c r="AH7" s="688"/>
    </row>
    <row r="8" spans="1:34" ht="19.2" customHeight="1">
      <c r="A8" s="720"/>
      <c r="B8" s="40" t="s">
        <v>122</v>
      </c>
      <c r="C8" s="41"/>
      <c r="D8" s="42" t="s">
        <v>180</v>
      </c>
      <c r="E8" s="43"/>
      <c r="F8" s="343">
        <v>38.99</v>
      </c>
      <c r="G8" s="44">
        <v>1169</v>
      </c>
      <c r="H8" s="45">
        <f t="shared" si="0"/>
        <v>45579.310000000005</v>
      </c>
      <c r="I8" s="526"/>
      <c r="J8" s="46">
        <v>18</v>
      </c>
      <c r="K8" s="44">
        <v>2571</v>
      </c>
      <c r="L8" s="47">
        <v>142.83333333333334</v>
      </c>
      <c r="M8" s="527">
        <v>18</v>
      </c>
      <c r="N8" s="44">
        <f t="shared" si="1"/>
        <v>2338.0000000000023</v>
      </c>
      <c r="O8" s="47">
        <f t="shared" si="2"/>
        <v>129.88888888888903</v>
      </c>
      <c r="P8" s="48">
        <f t="shared" si="3"/>
        <v>0</v>
      </c>
      <c r="Q8" s="49">
        <f t="shared" si="4"/>
        <v>-12.944444444444315</v>
      </c>
      <c r="R8" s="517">
        <f t="shared" si="5"/>
        <v>0.90937378451964312</v>
      </c>
      <c r="S8" s="688"/>
      <c r="T8" s="89">
        <v>0.46458333333333329</v>
      </c>
      <c r="U8" s="89">
        <v>0.48541666666666661</v>
      </c>
      <c r="V8" s="515">
        <v>6</v>
      </c>
      <c r="W8" s="526">
        <f t="shared" si="8"/>
        <v>29.999999999999972</v>
      </c>
      <c r="X8" s="53"/>
      <c r="Y8" s="53"/>
      <c r="Z8" s="54"/>
      <c r="AA8" s="54"/>
      <c r="AB8" s="673"/>
      <c r="AC8" s="673"/>
      <c r="AD8" s="513"/>
      <c r="AE8" s="513"/>
      <c r="AF8" s="48">
        <f t="shared" si="6"/>
        <v>-232.99999999999773</v>
      </c>
      <c r="AG8" s="517">
        <f t="shared" si="7"/>
        <v>0.90937378451964301</v>
      </c>
      <c r="AH8" s="688"/>
    </row>
    <row r="9" spans="1:34" ht="19.2" customHeight="1">
      <c r="A9" s="720"/>
      <c r="B9" s="40" t="s">
        <v>122</v>
      </c>
      <c r="C9" s="55"/>
      <c r="D9" s="42" t="s">
        <v>198</v>
      </c>
      <c r="E9" s="56"/>
      <c r="F9" s="343">
        <v>35.89</v>
      </c>
      <c r="G9" s="57">
        <v>3499</v>
      </c>
      <c r="H9" s="45">
        <f t="shared" si="0"/>
        <v>125579.11</v>
      </c>
      <c r="I9" s="513"/>
      <c r="J9" s="46">
        <v>18</v>
      </c>
      <c r="K9" s="44">
        <v>2571</v>
      </c>
      <c r="L9" s="47">
        <v>142.83333333333334</v>
      </c>
      <c r="M9" s="527">
        <v>18</v>
      </c>
      <c r="N9" s="44">
        <f t="shared" si="1"/>
        <v>2332.666666666667</v>
      </c>
      <c r="O9" s="47">
        <f t="shared" si="2"/>
        <v>129.59259259259261</v>
      </c>
      <c r="P9" s="48">
        <f t="shared" si="3"/>
        <v>0</v>
      </c>
      <c r="Q9" s="49">
        <f t="shared" si="4"/>
        <v>-13.240740740740733</v>
      </c>
      <c r="R9" s="517">
        <f t="shared" si="5"/>
        <v>0.90729936470893302</v>
      </c>
      <c r="S9" s="688"/>
      <c r="T9" s="89">
        <v>0.52499999999999991</v>
      </c>
      <c r="U9" s="89">
        <v>0.58749999999999991</v>
      </c>
      <c r="V9" s="515">
        <v>4</v>
      </c>
      <c r="W9" s="526">
        <f t="shared" si="8"/>
        <v>90</v>
      </c>
      <c r="X9" s="53"/>
      <c r="Y9" s="53"/>
      <c r="Z9" s="54"/>
      <c r="AA9" s="54"/>
      <c r="AB9" s="673"/>
      <c r="AC9" s="673"/>
      <c r="AD9" s="513"/>
      <c r="AE9" s="513">
        <v>1</v>
      </c>
      <c r="AF9" s="48">
        <f t="shared" si="6"/>
        <v>-238.33333333333303</v>
      </c>
      <c r="AG9" s="517">
        <f t="shared" si="7"/>
        <v>0.90729936470893313</v>
      </c>
      <c r="AH9" s="688"/>
    </row>
    <row r="10" spans="1:34" ht="19.2" customHeight="1">
      <c r="A10" s="721"/>
      <c r="B10" s="40" t="s">
        <v>122</v>
      </c>
      <c r="C10" s="41"/>
      <c r="D10" s="42" t="s">
        <v>53</v>
      </c>
      <c r="E10" s="43"/>
      <c r="F10" s="343">
        <v>31.11</v>
      </c>
      <c r="G10" s="44">
        <v>3139</v>
      </c>
      <c r="H10" s="45">
        <f t="shared" si="0"/>
        <v>97654.29</v>
      </c>
      <c r="I10" s="526"/>
      <c r="J10" s="46">
        <v>18</v>
      </c>
      <c r="K10" s="44">
        <v>2769</v>
      </c>
      <c r="L10" s="47">
        <v>153.83333333333334</v>
      </c>
      <c r="M10" s="527">
        <v>18</v>
      </c>
      <c r="N10" s="44">
        <f t="shared" si="1"/>
        <v>2545.1351351351332</v>
      </c>
      <c r="O10" s="47">
        <f t="shared" si="2"/>
        <v>141.39639639639628</v>
      </c>
      <c r="P10" s="48">
        <f t="shared" si="3"/>
        <v>0</v>
      </c>
      <c r="Q10" s="49">
        <f t="shared" si="4"/>
        <v>-12.436936936937059</v>
      </c>
      <c r="R10" s="517">
        <f t="shared" si="5"/>
        <v>0.91915317267429864</v>
      </c>
      <c r="S10" s="689"/>
      <c r="T10" s="89">
        <v>0.59236111111111101</v>
      </c>
      <c r="U10" s="89">
        <v>0.64374999999999993</v>
      </c>
      <c r="V10" s="515">
        <v>7</v>
      </c>
      <c r="W10" s="526">
        <f t="shared" si="8"/>
        <v>74.000000000000057</v>
      </c>
      <c r="X10" s="53"/>
      <c r="Y10" s="53"/>
      <c r="Z10" s="54"/>
      <c r="AA10" s="54"/>
      <c r="AB10" s="673"/>
      <c r="AC10" s="673"/>
      <c r="AD10" s="513"/>
      <c r="AE10" s="513"/>
      <c r="AF10" s="48">
        <f t="shared" si="6"/>
        <v>-223.86486486486683</v>
      </c>
      <c r="AG10" s="517">
        <f t="shared" si="7"/>
        <v>0.91915317267429875</v>
      </c>
      <c r="AH10" s="689"/>
    </row>
    <row r="11" spans="1:34" ht="19.2" customHeight="1">
      <c r="A11" s="721"/>
      <c r="B11" s="40" t="s">
        <v>122</v>
      </c>
      <c r="C11" s="41"/>
      <c r="D11" s="42" t="s">
        <v>55</v>
      </c>
      <c r="E11" s="43"/>
      <c r="F11" s="343">
        <v>37.799999999999997</v>
      </c>
      <c r="G11" s="44">
        <v>5084.6400000000003</v>
      </c>
      <c r="H11" s="45">
        <f t="shared" si="0"/>
        <v>192199.39199999999</v>
      </c>
      <c r="I11" s="526"/>
      <c r="J11" s="46">
        <v>20</v>
      </c>
      <c r="K11" s="44">
        <v>2769</v>
      </c>
      <c r="L11" s="47">
        <v>138.44999999999999</v>
      </c>
      <c r="M11" s="527">
        <v>20</v>
      </c>
      <c r="N11" s="44">
        <f t="shared" si="1"/>
        <v>2500.6426229508188</v>
      </c>
      <c r="O11" s="47">
        <f t="shared" si="2"/>
        <v>125.03213114754094</v>
      </c>
      <c r="P11" s="48">
        <f t="shared" si="3"/>
        <v>0</v>
      </c>
      <c r="Q11" s="49">
        <f t="shared" si="4"/>
        <v>-13.417868852459051</v>
      </c>
      <c r="R11" s="517">
        <f t="shared" si="5"/>
        <v>0.90308509315666985</v>
      </c>
      <c r="S11" s="689"/>
      <c r="T11" s="89">
        <v>0.6597222222222221</v>
      </c>
      <c r="U11" s="89">
        <v>0.74444444444444435</v>
      </c>
      <c r="V11" s="515">
        <v>23</v>
      </c>
      <c r="W11" s="526">
        <f t="shared" si="8"/>
        <v>122.00000000000004</v>
      </c>
      <c r="X11" s="53">
        <v>0.64861111111111114</v>
      </c>
      <c r="Y11" s="53">
        <v>0.65833333333333333</v>
      </c>
      <c r="Z11" s="54"/>
      <c r="AA11" s="54"/>
      <c r="AB11" s="673"/>
      <c r="AC11" s="673"/>
      <c r="AD11" s="513">
        <v>1</v>
      </c>
      <c r="AE11" s="513"/>
      <c r="AF11" s="48">
        <f t="shared" si="6"/>
        <v>-268.3573770491812</v>
      </c>
      <c r="AG11" s="517">
        <f t="shared" si="7"/>
        <v>0.90308509315666985</v>
      </c>
      <c r="AH11" s="689"/>
    </row>
    <row r="12" spans="1:34" ht="19.2" customHeight="1">
      <c r="A12" s="721"/>
      <c r="B12" s="40">
        <v>0</v>
      </c>
      <c r="C12" s="41"/>
      <c r="D12" s="59"/>
      <c r="E12" s="43"/>
      <c r="F12" s="343" t="s">
        <v>128</v>
      </c>
      <c r="G12" s="44"/>
      <c r="H12" s="45">
        <f t="shared" si="0"/>
        <v>0</v>
      </c>
      <c r="I12" s="526"/>
      <c r="J12" s="46"/>
      <c r="K12" s="44"/>
      <c r="L12" s="47"/>
      <c r="M12" s="527"/>
      <c r="N12" s="44"/>
      <c r="O12" s="47"/>
      <c r="P12" s="48"/>
      <c r="Q12" s="49"/>
      <c r="R12" s="517"/>
      <c r="S12" s="689"/>
      <c r="T12" s="89"/>
      <c r="U12" s="89"/>
      <c r="V12" s="515"/>
      <c r="W12" s="526">
        <f t="shared" si="8"/>
        <v>0</v>
      </c>
      <c r="X12" s="53"/>
      <c r="Y12" s="53"/>
      <c r="Z12" s="54"/>
      <c r="AA12" s="54"/>
      <c r="AB12" s="673"/>
      <c r="AC12" s="673"/>
      <c r="AD12" s="513"/>
      <c r="AE12" s="513"/>
      <c r="AF12" s="48">
        <f t="shared" si="6"/>
        <v>0</v>
      </c>
      <c r="AG12" s="517" t="e">
        <f t="shared" si="7"/>
        <v>#DIV/0!</v>
      </c>
      <c r="AH12" s="689"/>
    </row>
    <row r="13" spans="1:34" ht="19.2" customHeight="1">
      <c r="A13" s="721"/>
      <c r="B13" s="40">
        <v>0</v>
      </c>
      <c r="C13" s="58"/>
      <c r="D13" s="59"/>
      <c r="E13" s="60"/>
      <c r="F13" s="343" t="s">
        <v>128</v>
      </c>
      <c r="G13" s="61"/>
      <c r="H13" s="45">
        <f t="shared" si="0"/>
        <v>0</v>
      </c>
      <c r="I13" s="528"/>
      <c r="J13" s="46"/>
      <c r="K13" s="44"/>
      <c r="L13" s="47"/>
      <c r="M13" s="62"/>
      <c r="N13" s="44"/>
      <c r="O13" s="47"/>
      <c r="P13" s="48"/>
      <c r="Q13" s="49"/>
      <c r="R13" s="517"/>
      <c r="S13" s="689"/>
      <c r="T13" s="89"/>
      <c r="U13" s="89"/>
      <c r="V13" s="528"/>
      <c r="W13" s="526">
        <f t="shared" si="8"/>
        <v>0</v>
      </c>
      <c r="X13" s="64"/>
      <c r="Y13" s="64"/>
      <c r="Z13" s="54"/>
      <c r="AA13" s="54"/>
      <c r="AB13" s="673"/>
      <c r="AC13" s="673"/>
      <c r="AD13" s="513"/>
      <c r="AE13" s="513"/>
      <c r="AF13" s="48">
        <f t="shared" si="6"/>
        <v>0</v>
      </c>
      <c r="AG13" s="517" t="e">
        <f t="shared" si="7"/>
        <v>#DIV/0!</v>
      </c>
      <c r="AH13" s="689"/>
    </row>
    <row r="14" spans="1:34" ht="19.2" customHeight="1">
      <c r="A14" s="721"/>
      <c r="B14" s="40">
        <v>0</v>
      </c>
      <c r="C14" s="66"/>
      <c r="D14" s="42"/>
      <c r="E14" s="43"/>
      <c r="F14" s="343" t="s">
        <v>128</v>
      </c>
      <c r="G14" s="61"/>
      <c r="H14" s="45">
        <f t="shared" si="0"/>
        <v>0</v>
      </c>
      <c r="I14" s="528"/>
      <c r="J14" s="46"/>
      <c r="K14" s="44"/>
      <c r="L14" s="47"/>
      <c r="M14" s="62"/>
      <c r="N14" s="44"/>
      <c r="O14" s="47"/>
      <c r="P14" s="48"/>
      <c r="Q14" s="49"/>
      <c r="R14" s="517"/>
      <c r="S14" s="689"/>
      <c r="T14" s="89"/>
      <c r="U14" s="89"/>
      <c r="V14" s="528"/>
      <c r="W14" s="526">
        <f t="shared" si="8"/>
        <v>0</v>
      </c>
      <c r="X14" s="64"/>
      <c r="Y14" s="64"/>
      <c r="Z14" s="54"/>
      <c r="AA14" s="54"/>
      <c r="AB14" s="673"/>
      <c r="AC14" s="673"/>
      <c r="AD14" s="513"/>
      <c r="AE14" s="513"/>
      <c r="AF14" s="48">
        <f t="shared" si="6"/>
        <v>0</v>
      </c>
      <c r="AG14" s="517" t="e">
        <f t="shared" si="7"/>
        <v>#DIV/0!</v>
      </c>
      <c r="AH14" s="689"/>
    </row>
    <row r="15" spans="1:34" ht="19.2" customHeight="1">
      <c r="A15" s="721"/>
      <c r="B15" s="67">
        <v>0</v>
      </c>
      <c r="C15" s="58"/>
      <c r="D15" s="59"/>
      <c r="E15" s="60"/>
      <c r="F15" s="343" t="s">
        <v>128</v>
      </c>
      <c r="G15" s="61"/>
      <c r="H15" s="45">
        <f t="shared" si="0"/>
        <v>0</v>
      </c>
      <c r="I15" s="528"/>
      <c r="J15" s="46"/>
      <c r="K15" s="44"/>
      <c r="L15" s="47"/>
      <c r="M15" s="62"/>
      <c r="N15" s="68"/>
      <c r="O15" s="47"/>
      <c r="P15" s="48"/>
      <c r="Q15" s="49"/>
      <c r="R15" s="517"/>
      <c r="S15" s="689"/>
      <c r="T15" s="89"/>
      <c r="U15" s="89"/>
      <c r="V15" s="528"/>
      <c r="W15" s="526">
        <f t="shared" si="8"/>
        <v>0</v>
      </c>
      <c r="X15" s="64"/>
      <c r="Y15" s="64"/>
      <c r="Z15" s="54"/>
      <c r="AA15" s="54"/>
      <c r="AB15" s="673"/>
      <c r="AC15" s="673"/>
      <c r="AD15" s="513"/>
      <c r="AE15" s="513"/>
      <c r="AF15" s="48">
        <f t="shared" si="6"/>
        <v>0</v>
      </c>
      <c r="AG15" s="517" t="e">
        <f t="shared" si="7"/>
        <v>#DIV/0!</v>
      </c>
      <c r="AH15" s="689"/>
    </row>
    <row r="16" spans="1:34" ht="19.2" customHeight="1">
      <c r="A16" s="721"/>
      <c r="B16" s="67">
        <v>0</v>
      </c>
      <c r="C16" s="58"/>
      <c r="D16" s="59"/>
      <c r="E16" s="60"/>
      <c r="F16" s="343" t="s">
        <v>128</v>
      </c>
      <c r="G16" s="61"/>
      <c r="H16" s="45">
        <f t="shared" si="0"/>
        <v>0</v>
      </c>
      <c r="I16" s="528"/>
      <c r="J16" s="46"/>
      <c r="K16" s="44"/>
      <c r="L16" s="47"/>
      <c r="M16" s="62"/>
      <c r="N16" s="68"/>
      <c r="O16" s="47"/>
      <c r="P16" s="48"/>
      <c r="Q16" s="49"/>
      <c r="R16" s="517"/>
      <c r="S16" s="689"/>
      <c r="T16" s="89"/>
      <c r="U16" s="89"/>
      <c r="V16" s="528"/>
      <c r="W16" s="526">
        <f t="shared" si="8"/>
        <v>0</v>
      </c>
      <c r="X16" s="64"/>
      <c r="Y16" s="64"/>
      <c r="Z16" s="54"/>
      <c r="AA16" s="54"/>
      <c r="AB16" s="673"/>
      <c r="AC16" s="673"/>
      <c r="AD16" s="513"/>
      <c r="AE16" s="513"/>
      <c r="AF16" s="48">
        <f t="shared" si="6"/>
        <v>0</v>
      </c>
      <c r="AG16" s="517" t="e">
        <f t="shared" si="7"/>
        <v>#DIV/0!</v>
      </c>
      <c r="AH16" s="689"/>
    </row>
    <row r="17" spans="1:34" ht="19.2" customHeight="1">
      <c r="A17" s="721"/>
      <c r="B17" s="69">
        <v>0</v>
      </c>
      <c r="C17" s="69" t="s">
        <v>591</v>
      </c>
      <c r="D17" s="683" t="s">
        <v>592</v>
      </c>
      <c r="E17" s="683"/>
      <c r="F17" s="344"/>
      <c r="G17" s="70"/>
      <c r="H17" s="71"/>
      <c r="I17" s="72"/>
      <c r="J17" s="70">
        <v>18.857142857142858</v>
      </c>
      <c r="K17" s="70">
        <v>2578.7142857142858</v>
      </c>
      <c r="L17" s="73">
        <v>137.63871548619449</v>
      </c>
      <c r="M17" s="70">
        <f t="shared" ref="M17:O17" si="9">AVERAGE(M5:M16)</f>
        <v>18.857142857142858</v>
      </c>
      <c r="N17" s="70">
        <f t="shared" si="9"/>
        <v>2381.1072756101312</v>
      </c>
      <c r="O17" s="73">
        <f t="shared" si="9"/>
        <v>127.01913203860981</v>
      </c>
      <c r="P17" s="65">
        <f t="shared" ref="P17:P24" si="10">M17-J17</f>
        <v>0</v>
      </c>
      <c r="Q17" s="74">
        <f t="shared" ref="Q17:Q24" si="11">O17-L17</f>
        <v>-10.619583447584674</v>
      </c>
      <c r="R17" s="75">
        <f>O17/L17</f>
        <v>0.92284450337921209</v>
      </c>
      <c r="S17" s="689"/>
      <c r="T17" s="89"/>
      <c r="U17" s="89"/>
      <c r="V17" s="528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673"/>
      <c r="AC17" s="673"/>
      <c r="AD17" s="79">
        <f>SUM(AD5:AD16)</f>
        <v>2</v>
      </c>
      <c r="AE17" s="79">
        <f>SUM(AE5:AE16)</f>
        <v>1</v>
      </c>
      <c r="AF17" s="65">
        <f t="shared" si="6"/>
        <v>-197.6070101041546</v>
      </c>
      <c r="AG17" s="518">
        <f t="shared" si="7"/>
        <v>0.92336994788493254</v>
      </c>
      <c r="AH17" s="689"/>
    </row>
    <row r="18" spans="1:34" ht="19.2" customHeight="1">
      <c r="A18" s="671" t="s">
        <v>593</v>
      </c>
      <c r="B18" s="80" t="s">
        <v>125</v>
      </c>
      <c r="C18" s="81"/>
      <c r="D18" s="82" t="s">
        <v>189</v>
      </c>
      <c r="E18" s="83"/>
      <c r="F18" s="345">
        <v>27.5</v>
      </c>
      <c r="G18" s="57">
        <v>833</v>
      </c>
      <c r="H18" s="84">
        <f t="shared" ref="H18:H29" si="12">F18*G18</f>
        <v>22907.5</v>
      </c>
      <c r="I18" s="513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1514.5454545454545</v>
      </c>
      <c r="O18" s="86">
        <f t="shared" ref="O18:O24" si="14">N18/M18</f>
        <v>126.2121212121212</v>
      </c>
      <c r="P18" s="54">
        <f t="shared" si="10"/>
        <v>0</v>
      </c>
      <c r="Q18" s="88">
        <f t="shared" si="11"/>
        <v>-40.454545454545453</v>
      </c>
      <c r="R18" s="514">
        <f t="shared" ref="R18:R24" si="15">O18/L18</f>
        <v>0.75727272727272732</v>
      </c>
      <c r="S18" s="672">
        <f>R30</f>
        <v>0.87379773613343847</v>
      </c>
      <c r="T18" s="89">
        <v>0.125</v>
      </c>
      <c r="U18" s="89">
        <v>0.14791666666666667</v>
      </c>
      <c r="V18" s="513">
        <v>5</v>
      </c>
      <c r="W18" s="90">
        <f>(U18-T18)*24*60</f>
        <v>33</v>
      </c>
      <c r="X18" s="86"/>
      <c r="Y18" s="86"/>
      <c r="Z18" s="54"/>
      <c r="AA18" s="54"/>
      <c r="AB18" s="673"/>
      <c r="AC18" s="673"/>
      <c r="AD18" s="513"/>
      <c r="AE18" s="513"/>
      <c r="AF18" s="91">
        <f t="shared" si="6"/>
        <v>-485.4545454545455</v>
      </c>
      <c r="AG18" s="92">
        <f t="shared" si="7"/>
        <v>0.75727272727272721</v>
      </c>
      <c r="AH18" s="714">
        <f>AG30</f>
        <v>0.88164902597286887</v>
      </c>
    </row>
    <row r="19" spans="1:34" ht="19.2" customHeight="1">
      <c r="A19" s="671"/>
      <c r="B19" s="523" t="s">
        <v>122</v>
      </c>
      <c r="C19" s="522"/>
      <c r="D19" s="82" t="s">
        <v>59</v>
      </c>
      <c r="E19" s="83"/>
      <c r="F19" s="343">
        <v>36.729999999999997</v>
      </c>
      <c r="G19" s="57">
        <v>4124.25</v>
      </c>
      <c r="H19" s="84">
        <f t="shared" si="12"/>
        <v>151483.70249999998</v>
      </c>
      <c r="I19" s="513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2189.8672566371679</v>
      </c>
      <c r="O19" s="95">
        <f t="shared" si="14"/>
        <v>121.65929203539821</v>
      </c>
      <c r="P19" s="54">
        <f t="shared" si="10"/>
        <v>0</v>
      </c>
      <c r="Q19" s="88">
        <f t="shared" si="11"/>
        <v>-11.674041297935133</v>
      </c>
      <c r="R19" s="514">
        <f t="shared" si="15"/>
        <v>0.91244469026548647</v>
      </c>
      <c r="S19" s="672"/>
      <c r="T19" s="89">
        <v>0.15208333333333335</v>
      </c>
      <c r="U19" s="89">
        <v>0.23055555555555557</v>
      </c>
      <c r="V19" s="513">
        <v>6</v>
      </c>
      <c r="W19" s="90">
        <f>(U19-T19)*24*60</f>
        <v>113</v>
      </c>
      <c r="X19" s="96"/>
      <c r="Y19" s="96"/>
      <c r="Z19" s="54"/>
      <c r="AA19" s="54"/>
      <c r="AB19" s="673"/>
      <c r="AC19" s="673"/>
      <c r="AD19" s="513">
        <v>1</v>
      </c>
      <c r="AE19" s="513"/>
      <c r="AF19" s="48">
        <f t="shared" si="6"/>
        <v>-210.13274336283212</v>
      </c>
      <c r="AG19" s="517">
        <f t="shared" si="7"/>
        <v>0.91244469026548658</v>
      </c>
      <c r="AH19" s="715"/>
    </row>
    <row r="20" spans="1:34" ht="19.2" customHeight="1">
      <c r="A20" s="671"/>
      <c r="B20" s="523" t="s">
        <v>125</v>
      </c>
      <c r="C20" s="55"/>
      <c r="D20" s="42" t="s">
        <v>60</v>
      </c>
      <c r="E20" s="83"/>
      <c r="F20" s="343">
        <v>43.14</v>
      </c>
      <c r="G20" s="57">
        <v>2050</v>
      </c>
      <c r="H20" s="84">
        <f t="shared" si="12"/>
        <v>88437</v>
      </c>
      <c r="I20" s="513"/>
      <c r="J20" s="93">
        <v>17</v>
      </c>
      <c r="K20" s="44">
        <v>1500</v>
      </c>
      <c r="L20" s="47">
        <v>88.235294117647058</v>
      </c>
      <c r="M20" s="93">
        <v>17</v>
      </c>
      <c r="N20" s="94">
        <f t="shared" si="13"/>
        <v>1397.7272727272727</v>
      </c>
      <c r="O20" s="95">
        <f t="shared" si="14"/>
        <v>82.219251336898395</v>
      </c>
      <c r="P20" s="54">
        <f t="shared" si="10"/>
        <v>0</v>
      </c>
      <c r="Q20" s="88">
        <f t="shared" si="11"/>
        <v>-6.0160427807486627</v>
      </c>
      <c r="R20" s="514">
        <f t="shared" si="15"/>
        <v>0.93181818181818177</v>
      </c>
      <c r="S20" s="672"/>
      <c r="T20" s="89">
        <v>0.24583333333333335</v>
      </c>
      <c r="U20" s="89">
        <v>0.30694444444444446</v>
      </c>
      <c r="V20" s="513">
        <v>22</v>
      </c>
      <c r="W20" s="90">
        <f t="shared" ref="W20:W29" si="16">(U20-T20)*24*60</f>
        <v>88</v>
      </c>
      <c r="X20" s="96">
        <v>0.23472222222222219</v>
      </c>
      <c r="Y20" s="96">
        <v>0.24444444444444446</v>
      </c>
      <c r="Z20" s="54"/>
      <c r="AA20" s="54"/>
      <c r="AB20" s="673"/>
      <c r="AC20" s="673"/>
      <c r="AD20" s="513"/>
      <c r="AE20" s="513"/>
      <c r="AF20" s="91">
        <f t="shared" si="6"/>
        <v>-102.27272727272725</v>
      </c>
      <c r="AG20" s="92">
        <f t="shared" si="7"/>
        <v>0.93181818181818188</v>
      </c>
      <c r="AH20" s="715"/>
    </row>
    <row r="21" spans="1:34" ht="19.2" customHeight="1">
      <c r="A21" s="671"/>
      <c r="B21" s="523" t="s">
        <v>124</v>
      </c>
      <c r="C21" s="97"/>
      <c r="D21" s="98" t="s">
        <v>199</v>
      </c>
      <c r="E21" s="43"/>
      <c r="F21" s="343">
        <v>44.3</v>
      </c>
      <c r="G21" s="44">
        <v>2326.4899999999998</v>
      </c>
      <c r="H21" s="84">
        <f t="shared" si="12"/>
        <v>103063.50699999998</v>
      </c>
      <c r="I21" s="515"/>
      <c r="J21" s="93">
        <v>18</v>
      </c>
      <c r="K21" s="44">
        <v>1565</v>
      </c>
      <c r="L21" s="47">
        <v>86.944444444444443</v>
      </c>
      <c r="M21" s="93">
        <v>18</v>
      </c>
      <c r="N21" s="94">
        <f t="shared" si="13"/>
        <v>1424.3816326530616</v>
      </c>
      <c r="O21" s="95">
        <f t="shared" si="14"/>
        <v>79.132312925170083</v>
      </c>
      <c r="P21" s="54">
        <f t="shared" si="10"/>
        <v>0</v>
      </c>
      <c r="Q21" s="88">
        <f t="shared" si="11"/>
        <v>-7.8121315192743594</v>
      </c>
      <c r="R21" s="514">
        <f t="shared" si="15"/>
        <v>0.91014800808502339</v>
      </c>
      <c r="S21" s="672"/>
      <c r="T21" s="89">
        <v>0.31180555555555556</v>
      </c>
      <c r="U21" s="89">
        <v>0.37986111111111109</v>
      </c>
      <c r="V21" s="513">
        <v>7</v>
      </c>
      <c r="W21" s="90">
        <f t="shared" si="16"/>
        <v>97.999999999999972</v>
      </c>
      <c r="X21" s="96"/>
      <c r="Y21" s="96"/>
      <c r="Z21" s="54"/>
      <c r="AA21" s="54"/>
      <c r="AB21" s="673"/>
      <c r="AC21" s="673"/>
      <c r="AD21" s="513"/>
      <c r="AE21" s="513"/>
      <c r="AF21" s="48">
        <f t="shared" si="6"/>
        <v>-140.61836734693838</v>
      </c>
      <c r="AG21" s="517">
        <f t="shared" si="7"/>
        <v>0.91014800808502339</v>
      </c>
      <c r="AH21" s="716"/>
    </row>
    <row r="22" spans="1:34" ht="19.2" customHeight="1">
      <c r="A22" s="671"/>
      <c r="B22" s="523" t="s">
        <v>124</v>
      </c>
      <c r="C22" s="97"/>
      <c r="D22" s="42" t="s">
        <v>205</v>
      </c>
      <c r="E22" s="43"/>
      <c r="F22" s="343">
        <v>49.91</v>
      </c>
      <c r="G22" s="44">
        <v>3297.24</v>
      </c>
      <c r="H22" s="84">
        <f t="shared" si="12"/>
        <v>164565.24839999998</v>
      </c>
      <c r="I22" s="515"/>
      <c r="J22" s="85">
        <v>17</v>
      </c>
      <c r="K22" s="57">
        <v>1565</v>
      </c>
      <c r="L22" s="86">
        <v>92.058823529411768</v>
      </c>
      <c r="M22" s="93">
        <v>17</v>
      </c>
      <c r="N22" s="94">
        <f t="shared" si="13"/>
        <v>1393.2</v>
      </c>
      <c r="O22" s="95">
        <f t="shared" si="14"/>
        <v>81.952941176470588</v>
      </c>
      <c r="P22" s="54">
        <f t="shared" si="10"/>
        <v>0</v>
      </c>
      <c r="Q22" s="88">
        <f t="shared" si="11"/>
        <v>-10.10588235294118</v>
      </c>
      <c r="R22" s="514">
        <f t="shared" si="15"/>
        <v>0.89022364217252392</v>
      </c>
      <c r="S22" s="672"/>
      <c r="T22" s="89">
        <v>0.39583333333333331</v>
      </c>
      <c r="U22" s="89">
        <v>0.49444444444444441</v>
      </c>
      <c r="V22" s="513">
        <v>23</v>
      </c>
      <c r="W22" s="90">
        <f t="shared" si="16"/>
        <v>141.99999999999997</v>
      </c>
      <c r="X22" s="96">
        <v>0.38472222222222219</v>
      </c>
      <c r="Y22" s="96">
        <v>0.39444444444444443</v>
      </c>
      <c r="Z22" s="54"/>
      <c r="AA22" s="54"/>
      <c r="AB22" s="673"/>
      <c r="AC22" s="673"/>
      <c r="AD22" s="513"/>
      <c r="AE22" s="513"/>
      <c r="AF22" s="91">
        <f t="shared" si="6"/>
        <v>-171.79999999999995</v>
      </c>
      <c r="AG22" s="92">
        <f t="shared" si="7"/>
        <v>0.89022364217252403</v>
      </c>
      <c r="AH22" s="716"/>
    </row>
    <row r="23" spans="1:34" ht="19.2" customHeight="1">
      <c r="A23" s="671"/>
      <c r="B23" s="523" t="s">
        <v>122</v>
      </c>
      <c r="C23" s="97"/>
      <c r="D23" s="42" t="s">
        <v>59</v>
      </c>
      <c r="E23" s="43"/>
      <c r="F23" s="343">
        <v>36.729999999999997</v>
      </c>
      <c r="G23" s="44">
        <v>2220.75</v>
      </c>
      <c r="H23" s="84">
        <f t="shared" si="12"/>
        <v>81568.147499999992</v>
      </c>
      <c r="I23" s="515"/>
      <c r="J23" s="93">
        <v>18</v>
      </c>
      <c r="K23" s="44">
        <v>2400</v>
      </c>
      <c r="L23" s="47">
        <v>133.33333333333334</v>
      </c>
      <c r="M23" s="93">
        <v>18</v>
      </c>
      <c r="N23" s="94">
        <f t="shared" si="13"/>
        <v>2149.1129032258082</v>
      </c>
      <c r="O23" s="95">
        <f t="shared" si="14"/>
        <v>119.39516129032268</v>
      </c>
      <c r="P23" s="54">
        <f t="shared" si="10"/>
        <v>0</v>
      </c>
      <c r="Q23" s="88">
        <f t="shared" si="11"/>
        <v>-13.938172043010667</v>
      </c>
      <c r="R23" s="514">
        <f t="shared" si="15"/>
        <v>0.89546370967742006</v>
      </c>
      <c r="S23" s="672"/>
      <c r="T23" s="89">
        <v>0.53472222222222221</v>
      </c>
      <c r="U23" s="89">
        <v>0.57777777777777772</v>
      </c>
      <c r="V23" s="513">
        <v>5</v>
      </c>
      <c r="W23" s="90">
        <f t="shared" si="16"/>
        <v>61.999999999999943</v>
      </c>
      <c r="X23" s="96"/>
      <c r="Y23" s="96"/>
      <c r="Z23" s="54"/>
      <c r="AA23" s="54"/>
      <c r="AB23" s="673"/>
      <c r="AC23" s="673"/>
      <c r="AD23" s="513"/>
      <c r="AE23" s="513"/>
      <c r="AF23" s="48">
        <f t="shared" si="6"/>
        <v>-250.88709677419183</v>
      </c>
      <c r="AG23" s="517">
        <f t="shared" si="7"/>
        <v>0.89546370967742006</v>
      </c>
      <c r="AH23" s="716"/>
    </row>
    <row r="24" spans="1:34" ht="19.2" customHeight="1">
      <c r="A24" s="671"/>
      <c r="B24" s="523" t="s">
        <v>122</v>
      </c>
      <c r="C24" s="81"/>
      <c r="D24" s="82" t="s">
        <v>54</v>
      </c>
      <c r="E24" s="83"/>
      <c r="F24" s="343">
        <v>38.479999999999997</v>
      </c>
      <c r="G24" s="57">
        <v>2204.73</v>
      </c>
      <c r="H24" s="84">
        <f t="shared" si="12"/>
        <v>84838.010399999999</v>
      </c>
      <c r="I24" s="515"/>
      <c r="J24" s="93">
        <v>19</v>
      </c>
      <c r="K24" s="44">
        <v>2769</v>
      </c>
      <c r="L24" s="47">
        <v>145.73684210526315</v>
      </c>
      <c r="M24" s="93">
        <v>19</v>
      </c>
      <c r="N24" s="94">
        <f t="shared" si="13"/>
        <v>2449.7000000000012</v>
      </c>
      <c r="O24" s="95">
        <f t="shared" si="14"/>
        <v>128.93157894736848</v>
      </c>
      <c r="P24" s="54">
        <f t="shared" si="10"/>
        <v>0</v>
      </c>
      <c r="Q24" s="88">
        <f t="shared" si="11"/>
        <v>-16.805263157894672</v>
      </c>
      <c r="R24" s="514">
        <f t="shared" si="15"/>
        <v>0.88468761285662734</v>
      </c>
      <c r="S24" s="672"/>
      <c r="T24" s="89">
        <v>0.58263888888888882</v>
      </c>
      <c r="U24" s="89">
        <v>0.6201388888888888</v>
      </c>
      <c r="V24" s="513">
        <v>7</v>
      </c>
      <c r="W24" s="90">
        <f t="shared" si="16"/>
        <v>53.999999999999972</v>
      </c>
      <c r="X24" s="96"/>
      <c r="Y24" s="96"/>
      <c r="Z24" s="54"/>
      <c r="AA24" s="54"/>
      <c r="AB24" s="673"/>
      <c r="AC24" s="673"/>
      <c r="AD24" s="513"/>
      <c r="AE24" s="513"/>
      <c r="AF24" s="91">
        <f t="shared" si="6"/>
        <v>-319.29999999999882</v>
      </c>
      <c r="AG24" s="92">
        <f t="shared" si="7"/>
        <v>0.88468761285662734</v>
      </c>
      <c r="AH24" s="716"/>
    </row>
    <row r="25" spans="1:34" ht="19.2" customHeight="1">
      <c r="A25" s="671"/>
      <c r="B25" s="523">
        <v>0</v>
      </c>
      <c r="C25" s="81"/>
      <c r="D25" s="82"/>
      <c r="E25" s="83"/>
      <c r="F25" s="343" t="s">
        <v>128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514"/>
      <c r="S25" s="672"/>
      <c r="T25" s="89"/>
      <c r="U25" s="89"/>
      <c r="V25" s="513"/>
      <c r="W25" s="90">
        <f t="shared" si="16"/>
        <v>0</v>
      </c>
      <c r="X25" s="513"/>
      <c r="Y25" s="513"/>
      <c r="Z25" s="54"/>
      <c r="AA25" s="54"/>
      <c r="AB25" s="673"/>
      <c r="AC25" s="673"/>
      <c r="AD25" s="513"/>
      <c r="AE25" s="513"/>
      <c r="AF25" s="48">
        <f t="shared" si="6"/>
        <v>0</v>
      </c>
      <c r="AG25" s="517" t="e">
        <f t="shared" si="7"/>
        <v>#DIV/0!</v>
      </c>
      <c r="AH25" s="716"/>
    </row>
    <row r="26" spans="1:34" ht="19.2" customHeight="1">
      <c r="A26" s="671"/>
      <c r="B26" s="523">
        <v>0</v>
      </c>
      <c r="C26" s="81"/>
      <c r="D26" s="82"/>
      <c r="E26" s="83"/>
      <c r="F26" s="343" t="s">
        <v>128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514"/>
      <c r="S26" s="672"/>
      <c r="T26" s="89"/>
      <c r="U26" s="89"/>
      <c r="V26" s="513"/>
      <c r="W26" s="90">
        <f t="shared" si="16"/>
        <v>0</v>
      </c>
      <c r="X26" s="513"/>
      <c r="Y26" s="513"/>
      <c r="Z26" s="54"/>
      <c r="AA26" s="54"/>
      <c r="AB26" s="673"/>
      <c r="AC26" s="673"/>
      <c r="AD26" s="513"/>
      <c r="AE26" s="513"/>
      <c r="AF26" s="91">
        <f t="shared" si="6"/>
        <v>0</v>
      </c>
      <c r="AG26" s="92" t="e">
        <f t="shared" si="7"/>
        <v>#DIV/0!</v>
      </c>
      <c r="AH26" s="716"/>
    </row>
    <row r="27" spans="1:34" ht="19.2" customHeight="1">
      <c r="A27" s="671"/>
      <c r="B27" s="80">
        <v>0</v>
      </c>
      <c r="C27" s="81"/>
      <c r="D27" s="82"/>
      <c r="E27" s="83"/>
      <c r="F27" s="346" t="s">
        <v>128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514"/>
      <c r="S27" s="672"/>
      <c r="T27" s="89"/>
      <c r="U27" s="89"/>
      <c r="V27" s="513"/>
      <c r="W27" s="90">
        <f t="shared" si="16"/>
        <v>0</v>
      </c>
      <c r="X27" s="513"/>
      <c r="Y27" s="513"/>
      <c r="Z27" s="54"/>
      <c r="AA27" s="54"/>
      <c r="AB27" s="673"/>
      <c r="AC27" s="673"/>
      <c r="AD27" s="513"/>
      <c r="AE27" s="513"/>
      <c r="AF27" s="48">
        <f t="shared" si="6"/>
        <v>0</v>
      </c>
      <c r="AG27" s="517" t="e">
        <f t="shared" si="7"/>
        <v>#DIV/0!</v>
      </c>
      <c r="AH27" s="716"/>
    </row>
    <row r="28" spans="1:34" ht="19.2" customHeight="1">
      <c r="A28" s="671"/>
      <c r="B28" s="80">
        <v>0</v>
      </c>
      <c r="C28" s="81"/>
      <c r="D28" s="82"/>
      <c r="E28" s="83"/>
      <c r="F28" s="346" t="s">
        <v>128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514"/>
      <c r="S28" s="672"/>
      <c r="T28" s="89"/>
      <c r="U28" s="89"/>
      <c r="V28" s="513"/>
      <c r="W28" s="90">
        <f t="shared" si="16"/>
        <v>0</v>
      </c>
      <c r="X28" s="513"/>
      <c r="Y28" s="513"/>
      <c r="Z28" s="54"/>
      <c r="AA28" s="54"/>
      <c r="AB28" s="673"/>
      <c r="AC28" s="673"/>
      <c r="AD28" s="513"/>
      <c r="AE28" s="513"/>
      <c r="AF28" s="91">
        <f t="shared" si="6"/>
        <v>0</v>
      </c>
      <c r="AG28" s="92" t="e">
        <f t="shared" si="7"/>
        <v>#DIV/0!</v>
      </c>
      <c r="AH28" s="716"/>
    </row>
    <row r="29" spans="1:34" ht="19.2" customHeight="1">
      <c r="A29" s="671"/>
      <c r="B29" s="80">
        <v>0</v>
      </c>
      <c r="C29" s="81"/>
      <c r="D29" s="82"/>
      <c r="E29" s="83"/>
      <c r="F29" s="346" t="s">
        <v>128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514"/>
      <c r="S29" s="672"/>
      <c r="T29" s="89"/>
      <c r="U29" s="89"/>
      <c r="V29" s="513"/>
      <c r="W29" s="90">
        <f t="shared" si="16"/>
        <v>0</v>
      </c>
      <c r="X29" s="513"/>
      <c r="Y29" s="513"/>
      <c r="Z29" s="54"/>
      <c r="AA29" s="54"/>
      <c r="AB29" s="673"/>
      <c r="AC29" s="673"/>
      <c r="AD29" s="513"/>
      <c r="AE29" s="513"/>
      <c r="AF29" s="48">
        <f t="shared" si="6"/>
        <v>0</v>
      </c>
      <c r="AG29" s="517"/>
      <c r="AH29" s="716"/>
    </row>
    <row r="30" spans="1:34" ht="19.2" customHeight="1">
      <c r="A30" s="671"/>
      <c r="B30" s="99">
        <v>0</v>
      </c>
      <c r="C30" s="100" t="s">
        <v>594</v>
      </c>
      <c r="D30" s="718" t="s">
        <v>592</v>
      </c>
      <c r="E30" s="718"/>
      <c r="F30" s="347"/>
      <c r="G30" s="101"/>
      <c r="H30" s="102"/>
      <c r="I30" s="103"/>
      <c r="J30" s="101">
        <v>17</v>
      </c>
      <c r="K30" s="101">
        <v>2028.4285714285713</v>
      </c>
      <c r="L30" s="104">
        <v>120.90124821858569</v>
      </c>
      <c r="M30" s="101">
        <f t="shared" ref="M30:O30" si="17">AVERAGE(M18:M29)</f>
        <v>17</v>
      </c>
      <c r="N30" s="101">
        <f t="shared" si="17"/>
        <v>1788.3620742555379</v>
      </c>
      <c r="O30" s="104">
        <f t="shared" si="17"/>
        <v>105.64323698910709</v>
      </c>
      <c r="P30" s="54">
        <f t="shared" ref="P30:P38" si="18">M30-J30</f>
        <v>0</v>
      </c>
      <c r="Q30" s="88">
        <f t="shared" ref="Q30:Q38" si="19">O30-L30</f>
        <v>-15.258011229478598</v>
      </c>
      <c r="R30" s="105">
        <f t="shared" ref="R30:R38" si="20">O30/L30</f>
        <v>0.87379773613343847</v>
      </c>
      <c r="S30" s="672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673"/>
      <c r="AC30" s="673"/>
      <c r="AD30" s="107">
        <f>SUM(AD18:AD29)</f>
        <v>1</v>
      </c>
      <c r="AE30" s="107">
        <f>SUM(AE18:AE29)</f>
        <v>0</v>
      </c>
      <c r="AF30" s="108">
        <f t="shared" si="6"/>
        <v>-240.06649717303344</v>
      </c>
      <c r="AG30" s="109">
        <f t="shared" ref="AG30" si="21">N30/K30</f>
        <v>0.88164902597286887</v>
      </c>
      <c r="AH30" s="717"/>
    </row>
    <row r="31" spans="1:34" ht="19.2" customHeight="1">
      <c r="A31" s="708" t="s">
        <v>595</v>
      </c>
      <c r="B31" s="110" t="s">
        <v>125</v>
      </c>
      <c r="C31" s="66"/>
      <c r="D31" s="42" t="s">
        <v>190</v>
      </c>
      <c r="E31" s="111"/>
      <c r="F31" s="348">
        <v>26.5</v>
      </c>
      <c r="G31" s="134">
        <v>1807</v>
      </c>
      <c r="H31" s="112">
        <f t="shared" ref="H31:H40" si="22">F31*G31</f>
        <v>47885.5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1465.1351351351359</v>
      </c>
      <c r="O31" s="115">
        <f t="shared" ref="O31:O38" si="24">N31/M31</f>
        <v>122.09459459459465</v>
      </c>
      <c r="P31" s="116">
        <f t="shared" si="18"/>
        <v>0</v>
      </c>
      <c r="Q31" s="117">
        <f t="shared" si="19"/>
        <v>-44.572072072072004</v>
      </c>
      <c r="R31" s="516">
        <f t="shared" si="20"/>
        <v>0.73256756756756791</v>
      </c>
      <c r="S31" s="709">
        <f>R43</f>
        <v>0.86735492533325587</v>
      </c>
      <c r="T31" s="118">
        <v>0.125</v>
      </c>
      <c r="U31" s="118">
        <v>0.17638888888888887</v>
      </c>
      <c r="V31" s="142">
        <v>5</v>
      </c>
      <c r="W31" s="119">
        <f t="shared" ref="W31:W42" si="25">(U31-T31)*24*60</f>
        <v>73.999999999999972</v>
      </c>
      <c r="X31" s="52"/>
      <c r="Y31" s="52"/>
      <c r="Z31" s="51"/>
      <c r="AA31" s="51"/>
      <c r="AB31" s="673"/>
      <c r="AC31" s="673"/>
      <c r="AD31" s="52"/>
      <c r="AE31" s="52"/>
      <c r="AF31" s="116">
        <f t="shared" si="6"/>
        <v>-534.8648648648641</v>
      </c>
      <c r="AG31" s="120">
        <f t="shared" si="7"/>
        <v>0.73256756756756791</v>
      </c>
      <c r="AH31" s="687">
        <f>AG43</f>
        <v>0.86087128097266441</v>
      </c>
    </row>
    <row r="32" spans="1:34" ht="19.2" customHeight="1">
      <c r="A32" s="701"/>
      <c r="B32" s="121" t="s">
        <v>126</v>
      </c>
      <c r="C32" s="122"/>
      <c r="D32" s="42" t="s">
        <v>61</v>
      </c>
      <c r="E32" s="43"/>
      <c r="F32" s="343">
        <v>35.33</v>
      </c>
      <c r="G32" s="134">
        <v>2411</v>
      </c>
      <c r="H32" s="84">
        <f t="shared" si="22"/>
        <v>85180.62999999999</v>
      </c>
      <c r="I32" s="526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1928.7999999999997</v>
      </c>
      <c r="O32" s="47">
        <f t="shared" si="24"/>
        <v>160.73333333333332</v>
      </c>
      <c r="P32" s="116">
        <f t="shared" si="18"/>
        <v>0</v>
      </c>
      <c r="Q32" s="49">
        <f t="shared" si="19"/>
        <v>-15.76666666666668</v>
      </c>
      <c r="R32" s="517">
        <f t="shared" si="20"/>
        <v>0.91067044381491968</v>
      </c>
      <c r="S32" s="672"/>
      <c r="T32" s="89">
        <v>0.18055555555555555</v>
      </c>
      <c r="U32" s="89">
        <v>0.2326388888888889</v>
      </c>
      <c r="V32" s="142">
        <v>6</v>
      </c>
      <c r="W32" s="90">
        <f t="shared" si="25"/>
        <v>75.000000000000014</v>
      </c>
      <c r="X32" s="123"/>
      <c r="Y32" s="123"/>
      <c r="Z32" s="124"/>
      <c r="AA32" s="124"/>
      <c r="AB32" s="673"/>
      <c r="AC32" s="673"/>
      <c r="AD32" s="513"/>
      <c r="AE32" s="513"/>
      <c r="AF32" s="48">
        <f t="shared" si="6"/>
        <v>-189.20000000000027</v>
      </c>
      <c r="AG32" s="517">
        <f t="shared" si="7"/>
        <v>0.91067044381491957</v>
      </c>
      <c r="AH32" s="688"/>
    </row>
    <row r="33" spans="1:34" ht="19.2" customHeight="1">
      <c r="A33" s="701"/>
      <c r="B33" s="121" t="s">
        <v>126</v>
      </c>
      <c r="C33" s="513"/>
      <c r="D33" s="42" t="s">
        <v>88</v>
      </c>
      <c r="E33" s="83"/>
      <c r="F33" s="343">
        <v>34.229999999999997</v>
      </c>
      <c r="G33" s="134">
        <v>3670</v>
      </c>
      <c r="H33" s="84">
        <f t="shared" si="22"/>
        <v>125624.09999999999</v>
      </c>
      <c r="I33" s="513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2057.9439252336447</v>
      </c>
      <c r="O33" s="47">
        <f t="shared" si="24"/>
        <v>158.3033788641265</v>
      </c>
      <c r="P33" s="116">
        <f t="shared" si="18"/>
        <v>0</v>
      </c>
      <c r="Q33" s="49">
        <f t="shared" si="19"/>
        <v>-14.773544212796565</v>
      </c>
      <c r="R33" s="517">
        <f t="shared" si="20"/>
        <v>0.91464174454828651</v>
      </c>
      <c r="S33" s="672"/>
      <c r="T33" s="89">
        <v>0.24861111111111112</v>
      </c>
      <c r="U33" s="89">
        <v>0.32291666666666669</v>
      </c>
      <c r="V33" s="142">
        <v>23</v>
      </c>
      <c r="W33" s="90">
        <f t="shared" si="25"/>
        <v>107.00000000000001</v>
      </c>
      <c r="X33" s="123">
        <v>0.23750000000000002</v>
      </c>
      <c r="Y33" s="123">
        <v>0.24722222222222223</v>
      </c>
      <c r="Z33" s="124"/>
      <c r="AA33" s="124"/>
      <c r="AB33" s="673"/>
      <c r="AC33" s="673"/>
      <c r="AD33" s="513"/>
      <c r="AE33" s="513"/>
      <c r="AF33" s="48">
        <f t="shared" si="6"/>
        <v>-192.05607476635532</v>
      </c>
      <c r="AG33" s="125">
        <f t="shared" si="7"/>
        <v>0.91464174454828651</v>
      </c>
      <c r="AH33" s="688"/>
    </row>
    <row r="34" spans="1:34" ht="19.2" customHeight="1">
      <c r="A34" s="701"/>
      <c r="B34" s="121" t="s">
        <v>126</v>
      </c>
      <c r="C34" s="126"/>
      <c r="D34" s="147" t="s">
        <v>90</v>
      </c>
      <c r="E34" s="83"/>
      <c r="F34" s="343">
        <v>35.83</v>
      </c>
      <c r="G34" s="137">
        <v>2267.6</v>
      </c>
      <c r="H34" s="84">
        <f t="shared" si="22"/>
        <v>81248.107999999993</v>
      </c>
      <c r="I34" s="513"/>
      <c r="J34" s="113">
        <v>11</v>
      </c>
      <c r="K34" s="94">
        <v>2250</v>
      </c>
      <c r="L34" s="95">
        <v>204.54545454545453</v>
      </c>
      <c r="M34" s="149">
        <v>11</v>
      </c>
      <c r="N34" s="44">
        <f t="shared" si="23"/>
        <v>2030.6865671641792</v>
      </c>
      <c r="O34" s="47">
        <f t="shared" si="24"/>
        <v>184.60786974219812</v>
      </c>
      <c r="P34" s="116">
        <f t="shared" si="18"/>
        <v>0</v>
      </c>
      <c r="Q34" s="49">
        <f t="shared" si="19"/>
        <v>-19.937584803256414</v>
      </c>
      <c r="R34" s="517">
        <f t="shared" si="20"/>
        <v>0.90252736318407978</v>
      </c>
      <c r="S34" s="672"/>
      <c r="T34" s="89">
        <v>0.32777777777777778</v>
      </c>
      <c r="U34" s="89">
        <v>0.37430555555555556</v>
      </c>
      <c r="V34" s="137">
        <v>7</v>
      </c>
      <c r="W34" s="90">
        <f t="shared" si="25"/>
        <v>67</v>
      </c>
      <c r="X34" s="123"/>
      <c r="Y34" s="123"/>
      <c r="Z34" s="124"/>
      <c r="AA34" s="124"/>
      <c r="AB34" s="673"/>
      <c r="AC34" s="673"/>
      <c r="AD34" s="513"/>
      <c r="AE34" s="513"/>
      <c r="AF34" s="48">
        <f t="shared" si="6"/>
        <v>-219.31343283582078</v>
      </c>
      <c r="AG34" s="125">
        <f t="shared" si="7"/>
        <v>0.90252736318407967</v>
      </c>
      <c r="AH34" s="688"/>
    </row>
    <row r="35" spans="1:34" ht="19.2" customHeight="1">
      <c r="A35" s="701"/>
      <c r="B35" s="121" t="s">
        <v>124</v>
      </c>
      <c r="C35" s="41"/>
      <c r="D35" s="150" t="s">
        <v>173</v>
      </c>
      <c r="E35" s="43"/>
      <c r="F35" s="343">
        <v>49.91</v>
      </c>
      <c r="G35" s="137">
        <v>3808.6200000000003</v>
      </c>
      <c r="H35" s="84">
        <f t="shared" si="22"/>
        <v>190088.2242</v>
      </c>
      <c r="I35" s="515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1360.221428571429</v>
      </c>
      <c r="O35" s="47">
        <f t="shared" si="24"/>
        <v>80.013025210084052</v>
      </c>
      <c r="P35" s="116">
        <f t="shared" si="18"/>
        <v>0</v>
      </c>
      <c r="Q35" s="49">
        <f t="shared" si="19"/>
        <v>-12.045798319327716</v>
      </c>
      <c r="R35" s="517">
        <f t="shared" si="20"/>
        <v>0.86915107256960311</v>
      </c>
      <c r="S35" s="672"/>
      <c r="T35" s="89">
        <v>0.38958333333333334</v>
      </c>
      <c r="U35" s="89">
        <v>0.50624999999999998</v>
      </c>
      <c r="V35" s="134">
        <v>22</v>
      </c>
      <c r="W35" s="90">
        <f t="shared" si="25"/>
        <v>167.99999999999997</v>
      </c>
      <c r="X35" s="123">
        <v>0.37847222222222227</v>
      </c>
      <c r="Y35" s="123">
        <v>0.3888888888888889</v>
      </c>
      <c r="Z35" s="124"/>
      <c r="AA35" s="124"/>
      <c r="AB35" s="673"/>
      <c r="AC35" s="673"/>
      <c r="AD35" s="513"/>
      <c r="AE35" s="513"/>
      <c r="AF35" s="116">
        <f t="shared" si="6"/>
        <v>-204.77857142857101</v>
      </c>
      <c r="AG35" s="120">
        <f t="shared" si="7"/>
        <v>0.86915107256960322</v>
      </c>
      <c r="AH35" s="689"/>
    </row>
    <row r="36" spans="1:34" ht="19.2" customHeight="1">
      <c r="A36" s="701"/>
      <c r="B36" s="121" t="s">
        <v>122</v>
      </c>
      <c r="C36" s="128"/>
      <c r="D36" s="150" t="s">
        <v>194</v>
      </c>
      <c r="E36" s="83"/>
      <c r="F36" s="343">
        <v>46.93</v>
      </c>
      <c r="G36" s="134">
        <v>1275</v>
      </c>
      <c r="H36" s="84">
        <f t="shared" si="22"/>
        <v>59835.75</v>
      </c>
      <c r="I36" s="513"/>
      <c r="J36" s="113">
        <v>19</v>
      </c>
      <c r="K36" s="94">
        <v>2400</v>
      </c>
      <c r="L36" s="95">
        <v>126.31578947368421</v>
      </c>
      <c r="M36" s="149">
        <v>18</v>
      </c>
      <c r="N36" s="44">
        <f t="shared" si="23"/>
        <v>2013.1578947368405</v>
      </c>
      <c r="O36" s="47">
        <f t="shared" si="24"/>
        <v>111.8421052631578</v>
      </c>
      <c r="P36" s="116">
        <f t="shared" si="18"/>
        <v>-1</v>
      </c>
      <c r="Q36" s="49">
        <f t="shared" si="19"/>
        <v>-14.4736842105264</v>
      </c>
      <c r="R36" s="517">
        <f t="shared" si="20"/>
        <v>0.88541666666666596</v>
      </c>
      <c r="S36" s="672"/>
      <c r="T36" s="89">
        <v>0.54652777777777772</v>
      </c>
      <c r="U36" s="89">
        <v>0.57291666666666663</v>
      </c>
      <c r="V36" s="134">
        <v>5</v>
      </c>
      <c r="W36" s="90">
        <f t="shared" si="25"/>
        <v>38.000000000000028</v>
      </c>
      <c r="X36" s="123"/>
      <c r="Y36" s="123"/>
      <c r="Z36" s="124"/>
      <c r="AA36" s="124"/>
      <c r="AB36" s="673"/>
      <c r="AC36" s="673"/>
      <c r="AD36" s="513"/>
      <c r="AE36" s="513"/>
      <c r="AF36" s="48">
        <f t="shared" si="6"/>
        <v>-386.84210526315951</v>
      </c>
      <c r="AG36" s="517">
        <f t="shared" si="7"/>
        <v>0.83881578947368352</v>
      </c>
      <c r="AH36" s="689"/>
    </row>
    <row r="37" spans="1:34" ht="19.2" customHeight="1">
      <c r="A37" s="701"/>
      <c r="B37" s="121" t="s">
        <v>122</v>
      </c>
      <c r="C37" s="128"/>
      <c r="D37" s="150" t="s">
        <v>201</v>
      </c>
      <c r="E37" s="83"/>
      <c r="F37" s="343">
        <v>43.96</v>
      </c>
      <c r="G37" s="134">
        <v>1589</v>
      </c>
      <c r="H37" s="84">
        <f t="shared" si="22"/>
        <v>69852.44</v>
      </c>
      <c r="I37" s="513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2072.608695652174</v>
      </c>
      <c r="O37" s="47">
        <f t="shared" si="24"/>
        <v>109.08466819221968</v>
      </c>
      <c r="P37" s="116">
        <f t="shared" si="18"/>
        <v>0</v>
      </c>
      <c r="Q37" s="49">
        <f t="shared" si="19"/>
        <v>-17.231121281464524</v>
      </c>
      <c r="R37" s="517">
        <f t="shared" si="20"/>
        <v>0.86358695652173922</v>
      </c>
      <c r="S37" s="672"/>
      <c r="T37" s="89">
        <v>0.57777777777777772</v>
      </c>
      <c r="U37" s="89">
        <v>0.60972222222222217</v>
      </c>
      <c r="V37" s="134">
        <v>7</v>
      </c>
      <c r="W37" s="90">
        <f t="shared" si="25"/>
        <v>46</v>
      </c>
      <c r="X37" s="123"/>
      <c r="Y37" s="123"/>
      <c r="Z37" s="124"/>
      <c r="AA37" s="124"/>
      <c r="AB37" s="673"/>
      <c r="AC37" s="673"/>
      <c r="AD37" s="513"/>
      <c r="AE37" s="513"/>
      <c r="AF37" s="48">
        <f t="shared" si="6"/>
        <v>-327.39130434782601</v>
      </c>
      <c r="AG37" s="125">
        <f t="shared" si="7"/>
        <v>0.86358695652173911</v>
      </c>
      <c r="AH37" s="689"/>
    </row>
    <row r="38" spans="1:34" ht="19.2" customHeight="1">
      <c r="A38" s="701"/>
      <c r="B38" s="121" t="s">
        <v>122</v>
      </c>
      <c r="C38" s="128"/>
      <c r="D38" s="150" t="s">
        <v>54</v>
      </c>
      <c r="E38" s="83"/>
      <c r="F38" s="343">
        <v>38.479999999999997</v>
      </c>
      <c r="G38" s="134">
        <v>2118.27</v>
      </c>
      <c r="H38" s="84">
        <f t="shared" si="22"/>
        <v>81511.029599999994</v>
      </c>
      <c r="I38" s="513">
        <v>1</v>
      </c>
      <c r="J38" s="46">
        <v>19</v>
      </c>
      <c r="K38" s="44">
        <v>2769</v>
      </c>
      <c r="L38" s="47">
        <v>145.73684210526315</v>
      </c>
      <c r="M38" s="149">
        <v>19</v>
      </c>
      <c r="N38" s="44">
        <f t="shared" si="23"/>
        <v>2353.6333333333346</v>
      </c>
      <c r="O38" s="47">
        <f t="shared" si="24"/>
        <v>123.87543859649129</v>
      </c>
      <c r="P38" s="116">
        <f t="shared" si="18"/>
        <v>0</v>
      </c>
      <c r="Q38" s="49">
        <f t="shared" si="19"/>
        <v>-21.861403508771858</v>
      </c>
      <c r="R38" s="517">
        <f t="shared" si="20"/>
        <v>0.84999398097989698</v>
      </c>
      <c r="S38" s="672"/>
      <c r="T38" s="151">
        <v>0.61458333333333326</v>
      </c>
      <c r="U38" s="151">
        <v>0.65208333333333324</v>
      </c>
      <c r="V38" s="134">
        <v>7</v>
      </c>
      <c r="W38" s="90">
        <f t="shared" si="25"/>
        <v>53.999999999999972</v>
      </c>
      <c r="X38" s="123"/>
      <c r="Y38" s="123"/>
      <c r="Z38" s="124"/>
      <c r="AA38" s="124"/>
      <c r="AB38" s="673"/>
      <c r="AC38" s="673"/>
      <c r="AD38" s="513"/>
      <c r="AE38" s="513"/>
      <c r="AF38" s="48">
        <f t="shared" si="6"/>
        <v>-415.36666666666542</v>
      </c>
      <c r="AG38" s="125">
        <f t="shared" si="7"/>
        <v>0.84999398097989687</v>
      </c>
      <c r="AH38" s="689"/>
    </row>
    <row r="39" spans="1:34" ht="19.2" customHeight="1">
      <c r="A39" s="701"/>
      <c r="B39" s="121">
        <v>0</v>
      </c>
      <c r="C39" s="126"/>
      <c r="D39" s="42"/>
      <c r="E39" s="43"/>
      <c r="F39" s="343" t="s">
        <v>128</v>
      </c>
      <c r="G39" s="57"/>
      <c r="H39" s="84">
        <f t="shared" si="22"/>
        <v>0</v>
      </c>
      <c r="I39" s="513"/>
      <c r="J39" s="113"/>
      <c r="K39" s="94"/>
      <c r="L39" s="95"/>
      <c r="M39" s="524"/>
      <c r="N39" s="44"/>
      <c r="O39" s="47"/>
      <c r="P39" s="116"/>
      <c r="Q39" s="49"/>
      <c r="R39" s="517"/>
      <c r="S39" s="672"/>
      <c r="T39" s="89"/>
      <c r="U39" s="89"/>
      <c r="V39" s="513" t="s">
        <v>15</v>
      </c>
      <c r="W39" s="90">
        <f t="shared" si="25"/>
        <v>0</v>
      </c>
      <c r="X39" s="123"/>
      <c r="Y39" s="123"/>
      <c r="Z39" s="124"/>
      <c r="AA39" s="124"/>
      <c r="AB39" s="673"/>
      <c r="AC39" s="673"/>
      <c r="AD39" s="513"/>
      <c r="AE39" s="513"/>
      <c r="AF39" s="116">
        <f t="shared" si="6"/>
        <v>0</v>
      </c>
      <c r="AG39" s="120" t="e">
        <f t="shared" si="7"/>
        <v>#DIV/0!</v>
      </c>
      <c r="AH39" s="689"/>
    </row>
    <row r="40" spans="1:34" ht="19.2" customHeight="1">
      <c r="A40" s="701"/>
      <c r="B40" s="130">
        <v>0</v>
      </c>
      <c r="C40" s="97"/>
      <c r="D40" s="42"/>
      <c r="E40" s="43"/>
      <c r="F40" s="343" t="s">
        <v>128</v>
      </c>
      <c r="G40" s="44"/>
      <c r="H40" s="84">
        <f t="shared" si="22"/>
        <v>0</v>
      </c>
      <c r="I40" s="515"/>
      <c r="J40" s="46"/>
      <c r="K40" s="44"/>
      <c r="L40" s="47"/>
      <c r="M40" s="527" t="s">
        <v>15</v>
      </c>
      <c r="N40" s="44"/>
      <c r="O40" s="47"/>
      <c r="P40" s="116"/>
      <c r="Q40" s="49"/>
      <c r="R40" s="517"/>
      <c r="S40" s="672"/>
      <c r="T40" s="89"/>
      <c r="U40" s="89"/>
      <c r="V40" s="513"/>
      <c r="W40" s="90">
        <f t="shared" si="25"/>
        <v>0</v>
      </c>
      <c r="X40" s="123"/>
      <c r="Y40" s="123"/>
      <c r="Z40" s="124"/>
      <c r="AA40" s="124"/>
      <c r="AB40" s="673"/>
      <c r="AC40" s="673"/>
      <c r="AD40" s="513"/>
      <c r="AE40" s="513"/>
      <c r="AF40" s="48">
        <f t="shared" si="6"/>
        <v>0</v>
      </c>
      <c r="AG40" s="517" t="e">
        <f t="shared" si="7"/>
        <v>#DIV/0!</v>
      </c>
      <c r="AH40" s="689"/>
    </row>
    <row r="41" spans="1:34" ht="19.2" customHeight="1">
      <c r="A41" s="701"/>
      <c r="B41" s="513">
        <v>0</v>
      </c>
      <c r="C41" s="55"/>
      <c r="D41" s="82"/>
      <c r="E41" s="83"/>
      <c r="F41" s="343" t="s">
        <v>128</v>
      </c>
      <c r="G41" s="57"/>
      <c r="H41" s="84"/>
      <c r="I41" s="513"/>
      <c r="J41" s="87"/>
      <c r="K41" s="57"/>
      <c r="L41" s="86"/>
      <c r="M41" s="524"/>
      <c r="N41" s="57"/>
      <c r="O41" s="86"/>
      <c r="P41" s="54"/>
      <c r="Q41" s="88"/>
      <c r="R41" s="514"/>
      <c r="S41" s="672"/>
      <c r="T41" s="89"/>
      <c r="U41" s="89"/>
      <c r="V41" s="513"/>
      <c r="W41" s="90">
        <f t="shared" si="25"/>
        <v>0</v>
      </c>
      <c r="X41" s="123"/>
      <c r="Y41" s="123"/>
      <c r="Z41" s="124"/>
      <c r="AA41" s="124"/>
      <c r="AB41" s="673"/>
      <c r="AC41" s="673"/>
      <c r="AD41" s="513"/>
      <c r="AE41" s="513"/>
      <c r="AF41" s="48"/>
      <c r="AG41" s="129"/>
      <c r="AH41" s="689"/>
    </row>
    <row r="42" spans="1:34" ht="19.2" customHeight="1">
      <c r="A42" s="701"/>
      <c r="B42" s="513">
        <v>0</v>
      </c>
      <c r="C42" s="55"/>
      <c r="D42" s="82"/>
      <c r="E42" s="83"/>
      <c r="F42" s="349" t="s">
        <v>128</v>
      </c>
      <c r="G42" s="57"/>
      <c r="H42" s="84">
        <f>F42*G42</f>
        <v>0</v>
      </c>
      <c r="I42" s="513"/>
      <c r="J42" s="87"/>
      <c r="K42" s="57"/>
      <c r="L42" s="86"/>
      <c r="M42" s="524"/>
      <c r="N42" s="57"/>
      <c r="O42" s="86"/>
      <c r="P42" s="54"/>
      <c r="Q42" s="88"/>
      <c r="R42" s="514"/>
      <c r="S42" s="672"/>
      <c r="T42" s="89"/>
      <c r="U42" s="89"/>
      <c r="V42" s="513"/>
      <c r="W42" s="90">
        <f t="shared" si="25"/>
        <v>0</v>
      </c>
      <c r="X42" s="123"/>
      <c r="Y42" s="123"/>
      <c r="Z42" s="124"/>
      <c r="AA42" s="124"/>
      <c r="AB42" s="673"/>
      <c r="AC42" s="673"/>
      <c r="AD42" s="513"/>
      <c r="AE42" s="513"/>
      <c r="AF42" s="48"/>
      <c r="AG42" s="129"/>
      <c r="AH42" s="689"/>
    </row>
    <row r="43" spans="1:34" ht="19.2" customHeight="1">
      <c r="A43" s="701"/>
      <c r="B43" s="121">
        <v>0</v>
      </c>
      <c r="C43" s="100" t="s">
        <v>596</v>
      </c>
      <c r="D43" s="669" t="s">
        <v>592</v>
      </c>
      <c r="E43" s="669"/>
      <c r="F43" s="347"/>
      <c r="G43" s="101"/>
      <c r="H43" s="102"/>
      <c r="I43" s="103"/>
      <c r="J43" s="101">
        <v>15.25</v>
      </c>
      <c r="K43" s="101">
        <v>2219</v>
      </c>
      <c r="L43" s="104">
        <v>151.40203610888594</v>
      </c>
      <c r="M43" s="101">
        <f t="shared" ref="M43:O43" si="26">AVERAGE(M31:M42)</f>
        <v>15.125</v>
      </c>
      <c r="N43" s="101">
        <f t="shared" si="26"/>
        <v>1910.2733724783423</v>
      </c>
      <c r="O43" s="104">
        <f t="shared" si="26"/>
        <v>131.31930172452567</v>
      </c>
      <c r="P43" s="54">
        <f>M43-J43</f>
        <v>-0.125</v>
      </c>
      <c r="Q43" s="88">
        <f>N43-K43</f>
        <v>-308.72662752165775</v>
      </c>
      <c r="R43" s="105">
        <f t="shared" ref="R43:R50" si="27">O43/L43</f>
        <v>0.86735492533325587</v>
      </c>
      <c r="S43" s="672"/>
      <c r="T43" s="89"/>
      <c r="U43" s="89"/>
      <c r="V43" s="513"/>
      <c r="W43" s="513"/>
      <c r="X43" s="123"/>
      <c r="Y43" s="123"/>
      <c r="Z43" s="132">
        <f>SUM(Z31:Z42)</f>
        <v>0</v>
      </c>
      <c r="AA43" s="132">
        <f>SUM(AA31:AA42)</f>
        <v>0</v>
      </c>
      <c r="AB43" s="673"/>
      <c r="AC43" s="673"/>
      <c r="AD43" s="107">
        <f>SUM(AD31:AD42)</f>
        <v>0</v>
      </c>
      <c r="AE43" s="107">
        <f>SUM(AE31:AE42)</f>
        <v>0</v>
      </c>
      <c r="AF43" s="48">
        <f t="shared" ref="AF43:AF54" si="28">N43-K43</f>
        <v>-308.72662752165775</v>
      </c>
      <c r="AG43" s="518">
        <f t="shared" si="7"/>
        <v>0.86087128097266441</v>
      </c>
      <c r="AH43" s="689"/>
    </row>
    <row r="44" spans="1:34" s="145" customFormat="1" ht="19.2" customHeight="1">
      <c r="A44" s="711" t="s">
        <v>597</v>
      </c>
      <c r="B44" s="97" t="s">
        <v>126</v>
      </c>
      <c r="C44" s="133"/>
      <c r="D44" s="164" t="s">
        <v>73</v>
      </c>
      <c r="E44" s="43"/>
      <c r="F44" s="350">
        <v>24.73</v>
      </c>
      <c r="G44" s="134">
        <v>2066</v>
      </c>
      <c r="H44" s="45">
        <f>F44*G44</f>
        <v>51092.18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2137.2413793103451</v>
      </c>
      <c r="O44" s="138">
        <f t="shared" ref="O44:O50" si="30">N44/M44</f>
        <v>427.44827586206901</v>
      </c>
      <c r="P44" s="51">
        <f t="shared" ref="P44:P50" si="31">M44-J44</f>
        <v>1</v>
      </c>
      <c r="Q44" s="139">
        <f t="shared" ref="Q44:Q50" si="32">O44-L44</f>
        <v>-72.551724137930989</v>
      </c>
      <c r="R44" s="140">
        <f t="shared" si="27"/>
        <v>0.85489655172413803</v>
      </c>
      <c r="S44" s="688">
        <f>R56</f>
        <v>0.90898751834768343</v>
      </c>
      <c r="T44" s="118">
        <v>0.125</v>
      </c>
      <c r="U44" s="118">
        <v>0.16527777777777777</v>
      </c>
      <c r="V44" s="142">
        <v>5</v>
      </c>
      <c r="W44" s="143">
        <f t="shared" ref="W44:W56" si="33">(U44-T44)*24*60</f>
        <v>57.999999999999993</v>
      </c>
      <c r="X44" s="123"/>
      <c r="Y44" s="123"/>
      <c r="Z44" s="124"/>
      <c r="AA44" s="124"/>
      <c r="AB44" s="673"/>
      <c r="AC44" s="673"/>
      <c r="AD44" s="513"/>
      <c r="AE44" s="513"/>
      <c r="AF44" s="144">
        <f t="shared" si="28"/>
        <v>137.24137931034511</v>
      </c>
      <c r="AG44" s="521">
        <f t="shared" si="7"/>
        <v>1.0686206896551727</v>
      </c>
      <c r="AH44" s="705">
        <f>AG56</f>
        <v>0.99481095644248707</v>
      </c>
    </row>
    <row r="45" spans="1:34" s="145" customFormat="1" ht="19.2" customHeight="1">
      <c r="A45" s="712"/>
      <c r="B45" s="97" t="s">
        <v>126</v>
      </c>
      <c r="C45" s="133"/>
      <c r="D45" s="42" t="s">
        <v>74</v>
      </c>
      <c r="E45" s="43"/>
      <c r="F45" s="350">
        <v>24.73</v>
      </c>
      <c r="G45" s="134">
        <v>1858</v>
      </c>
      <c r="H45" s="45">
        <f>F45*G45</f>
        <v>45948.340000000004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2103.3962264150937</v>
      </c>
      <c r="O45" s="138">
        <f t="shared" si="30"/>
        <v>420.67924528301876</v>
      </c>
      <c r="P45" s="51">
        <f t="shared" si="31"/>
        <v>1</v>
      </c>
      <c r="Q45" s="139">
        <f t="shared" si="32"/>
        <v>-79.320754716981241</v>
      </c>
      <c r="R45" s="140">
        <f t="shared" si="27"/>
        <v>0.84135849056603751</v>
      </c>
      <c r="S45" s="688"/>
      <c r="T45" s="89">
        <v>0.16874999999999998</v>
      </c>
      <c r="U45" s="89">
        <v>0.20555555555555555</v>
      </c>
      <c r="V45" s="142">
        <v>5</v>
      </c>
      <c r="W45" s="143">
        <f t="shared" si="33"/>
        <v>53.000000000000014</v>
      </c>
      <c r="X45" s="123"/>
      <c r="Y45" s="123"/>
      <c r="Z45" s="124"/>
      <c r="AA45" s="124"/>
      <c r="AB45" s="673"/>
      <c r="AC45" s="673"/>
      <c r="AD45" s="513"/>
      <c r="AE45" s="513"/>
      <c r="AF45" s="144">
        <f t="shared" si="28"/>
        <v>103.39622641509368</v>
      </c>
      <c r="AG45" s="521">
        <f t="shared" si="7"/>
        <v>1.0516981132075469</v>
      </c>
      <c r="AH45" s="705"/>
    </row>
    <row r="46" spans="1:34" s="145" customFormat="1" ht="19.2" customHeight="1">
      <c r="A46" s="712"/>
      <c r="B46" s="97" t="s">
        <v>125</v>
      </c>
      <c r="C46" s="133"/>
      <c r="D46" s="42" t="s">
        <v>65</v>
      </c>
      <c r="E46" s="43"/>
      <c r="F46" s="350">
        <v>31.43</v>
      </c>
      <c r="G46" s="134">
        <v>1793</v>
      </c>
      <c r="H46" s="45">
        <f t="shared" ref="H46:H51" si="34">F46*G46</f>
        <v>56353.99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1453.7837837837835</v>
      </c>
      <c r="O46" s="138">
        <f t="shared" si="30"/>
        <v>207.68339768339766</v>
      </c>
      <c r="P46" s="51">
        <f t="shared" si="31"/>
        <v>0</v>
      </c>
      <c r="Q46" s="139">
        <f t="shared" si="32"/>
        <v>-6.6023166023166198</v>
      </c>
      <c r="R46" s="140">
        <f t="shared" si="27"/>
        <v>0.96918918918918906</v>
      </c>
      <c r="S46" s="688"/>
      <c r="T46" s="89">
        <v>0.2159722222222222</v>
      </c>
      <c r="U46" s="89">
        <v>0.2673611111111111</v>
      </c>
      <c r="V46" s="142">
        <v>15</v>
      </c>
      <c r="W46" s="143">
        <f t="shared" si="33"/>
        <v>74.000000000000014</v>
      </c>
      <c r="X46" s="123"/>
      <c r="Y46" s="123"/>
      <c r="Z46" s="124"/>
      <c r="AA46" s="124"/>
      <c r="AB46" s="673"/>
      <c r="AC46" s="673"/>
      <c r="AD46" s="513">
        <v>1</v>
      </c>
      <c r="AE46" s="513"/>
      <c r="AF46" s="144">
        <f t="shared" si="28"/>
        <v>-46.21621621621648</v>
      </c>
      <c r="AG46" s="521">
        <f t="shared" si="7"/>
        <v>0.96918918918918906</v>
      </c>
      <c r="AH46" s="705"/>
    </row>
    <row r="47" spans="1:34" s="145" customFormat="1" ht="19.2" customHeight="1">
      <c r="A47" s="712"/>
      <c r="B47" s="97" t="s">
        <v>125</v>
      </c>
      <c r="C47" s="133"/>
      <c r="D47" s="42" t="s">
        <v>202</v>
      </c>
      <c r="E47" s="148"/>
      <c r="F47" s="350">
        <v>28.47</v>
      </c>
      <c r="G47" s="137">
        <v>1401</v>
      </c>
      <c r="H47" s="45">
        <f t="shared" si="34"/>
        <v>39886.47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1474.7368421052643</v>
      </c>
      <c r="O47" s="138">
        <f t="shared" si="30"/>
        <v>210.67669172932347</v>
      </c>
      <c r="P47" s="51">
        <f t="shared" si="31"/>
        <v>0</v>
      </c>
      <c r="Q47" s="139">
        <f t="shared" si="32"/>
        <v>-3.609022556390812</v>
      </c>
      <c r="R47" s="140">
        <f t="shared" si="27"/>
        <v>0.9831578947368429</v>
      </c>
      <c r="S47" s="688"/>
      <c r="T47" s="89">
        <v>0.27777777777777779</v>
      </c>
      <c r="U47" s="89">
        <v>0.31736111111111109</v>
      </c>
      <c r="V47" s="137">
        <v>15</v>
      </c>
      <c r="W47" s="143">
        <f t="shared" si="33"/>
        <v>56.999999999999957</v>
      </c>
      <c r="X47" s="123"/>
      <c r="Y47" s="123"/>
      <c r="Z47" s="124"/>
      <c r="AA47" s="124"/>
      <c r="AB47" s="673"/>
      <c r="AC47" s="673"/>
      <c r="AD47" s="513"/>
      <c r="AE47" s="513"/>
      <c r="AF47" s="144">
        <f t="shared" si="28"/>
        <v>-25.263157894735741</v>
      </c>
      <c r="AG47" s="521">
        <f t="shared" si="7"/>
        <v>0.98315789473684279</v>
      </c>
      <c r="AH47" s="705"/>
    </row>
    <row r="48" spans="1:34" s="145" customFormat="1" ht="19.2" customHeight="1">
      <c r="A48" s="712"/>
      <c r="B48" s="97" t="s">
        <v>125</v>
      </c>
      <c r="C48" s="133"/>
      <c r="D48" s="42" t="s">
        <v>172</v>
      </c>
      <c r="E48" s="148"/>
      <c r="F48" s="350">
        <v>11.86</v>
      </c>
      <c r="G48" s="137">
        <v>1642</v>
      </c>
      <c r="H48" s="45">
        <f t="shared" si="34"/>
        <v>19474.12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1448.8235294117649</v>
      </c>
      <c r="O48" s="138">
        <f t="shared" si="30"/>
        <v>241.47058823529414</v>
      </c>
      <c r="P48" s="51">
        <f t="shared" si="31"/>
        <v>0</v>
      </c>
      <c r="Q48" s="139">
        <f t="shared" si="32"/>
        <v>-31.196078431372541</v>
      </c>
      <c r="R48" s="140">
        <f t="shared" si="27"/>
        <v>0.8855889544081692</v>
      </c>
      <c r="S48" s="688"/>
      <c r="T48" s="89">
        <v>0.32777777777777778</v>
      </c>
      <c r="U48" s="89">
        <v>0.375</v>
      </c>
      <c r="V48" s="134">
        <v>15</v>
      </c>
      <c r="W48" s="143">
        <f t="shared" si="33"/>
        <v>68</v>
      </c>
      <c r="X48" s="123"/>
      <c r="Y48" s="123"/>
      <c r="Z48" s="124"/>
      <c r="AA48" s="124"/>
      <c r="AB48" s="673"/>
      <c r="AC48" s="673"/>
      <c r="AD48" s="513"/>
      <c r="AE48" s="513"/>
      <c r="AF48" s="144">
        <f t="shared" si="28"/>
        <v>-187.17647058823513</v>
      </c>
      <c r="AG48" s="521">
        <f t="shared" si="7"/>
        <v>0.8855889544081692</v>
      </c>
      <c r="AH48" s="705"/>
    </row>
    <row r="49" spans="1:34" s="145" customFormat="1" ht="19.2" customHeight="1">
      <c r="A49" s="712"/>
      <c r="B49" s="97" t="s">
        <v>127</v>
      </c>
      <c r="C49" s="133"/>
      <c r="D49" s="42" t="s">
        <v>64</v>
      </c>
      <c r="E49" s="148"/>
      <c r="F49" s="350">
        <v>10.09</v>
      </c>
      <c r="G49" s="134">
        <v>3517.54</v>
      </c>
      <c r="H49" s="45">
        <f t="shared" si="34"/>
        <v>35491.978600000002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1475.8909090909092</v>
      </c>
      <c r="O49" s="138">
        <f t="shared" si="30"/>
        <v>245.9818181818182</v>
      </c>
      <c r="P49" s="51">
        <f t="shared" si="31"/>
        <v>0</v>
      </c>
      <c r="Q49" s="139">
        <f t="shared" si="32"/>
        <v>-4.0181818181818016</v>
      </c>
      <c r="R49" s="140">
        <f t="shared" si="27"/>
        <v>0.98392727272727276</v>
      </c>
      <c r="S49" s="688"/>
      <c r="T49" s="89">
        <v>0.3923611111111111</v>
      </c>
      <c r="U49" s="89">
        <v>0.49166666666666664</v>
      </c>
      <c r="V49" s="134">
        <v>25</v>
      </c>
      <c r="W49" s="143">
        <f t="shared" si="33"/>
        <v>142.99999999999997</v>
      </c>
      <c r="X49" s="152">
        <v>0.37916666666666665</v>
      </c>
      <c r="Y49" s="152">
        <v>0.39166666666666666</v>
      </c>
      <c r="Z49" s="153"/>
      <c r="AA49" s="124"/>
      <c r="AB49" s="673"/>
      <c r="AC49" s="673"/>
      <c r="AD49" s="513"/>
      <c r="AE49" s="513"/>
      <c r="AF49" s="144">
        <f t="shared" si="28"/>
        <v>-24.10909090909081</v>
      </c>
      <c r="AG49" s="521">
        <f t="shared" si="7"/>
        <v>0.98392727272727276</v>
      </c>
      <c r="AH49" s="705"/>
    </row>
    <row r="50" spans="1:34" s="145" customFormat="1" ht="19.2" customHeight="1">
      <c r="A50" s="712"/>
      <c r="B50" s="97" t="s">
        <v>127</v>
      </c>
      <c r="C50" s="133"/>
      <c r="D50" s="42" t="s">
        <v>64</v>
      </c>
      <c r="E50" s="148"/>
      <c r="F50" s="350">
        <v>10.09</v>
      </c>
      <c r="G50" s="134">
        <v>3111.67</v>
      </c>
      <c r="H50" s="45">
        <f t="shared" si="34"/>
        <v>31396.7503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1481.7476190476189</v>
      </c>
      <c r="O50" s="138">
        <f t="shared" si="30"/>
        <v>246.95793650793647</v>
      </c>
      <c r="P50" s="51">
        <f t="shared" si="31"/>
        <v>0</v>
      </c>
      <c r="Q50" s="139">
        <f t="shared" si="32"/>
        <v>-3.0420634920635337</v>
      </c>
      <c r="R50" s="140">
        <f t="shared" si="27"/>
        <v>0.98783174603174584</v>
      </c>
      <c r="S50" s="688"/>
      <c r="T50" s="89">
        <v>0.50902777777777775</v>
      </c>
      <c r="U50" s="89">
        <v>0.59652777777777777</v>
      </c>
      <c r="V50" s="134">
        <v>25</v>
      </c>
      <c r="W50" s="143">
        <f t="shared" si="33"/>
        <v>126.00000000000003</v>
      </c>
      <c r="X50" s="152">
        <v>0.49583333333333335</v>
      </c>
      <c r="Y50" s="152">
        <v>0.5083333333333333</v>
      </c>
      <c r="Z50" s="153"/>
      <c r="AA50" s="153"/>
      <c r="AB50" s="673"/>
      <c r="AC50" s="673"/>
      <c r="AD50" s="513"/>
      <c r="AE50" s="513"/>
      <c r="AF50" s="144">
        <f t="shared" si="28"/>
        <v>-18.252380952381145</v>
      </c>
      <c r="AG50" s="521">
        <f t="shared" si="7"/>
        <v>0.98783174603174595</v>
      </c>
      <c r="AH50" s="705"/>
    </row>
    <row r="51" spans="1:34" s="145" customFormat="1" ht="19.2" customHeight="1">
      <c r="A51" s="712"/>
      <c r="B51" s="97">
        <v>0</v>
      </c>
      <c r="C51" s="133"/>
      <c r="D51" s="150"/>
      <c r="E51" s="148"/>
      <c r="F51" s="350" t="s">
        <v>128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688"/>
      <c r="T51" s="151"/>
      <c r="U51" s="151"/>
      <c r="V51" s="134" t="s">
        <v>15</v>
      </c>
      <c r="W51" s="143">
        <f t="shared" si="33"/>
        <v>0</v>
      </c>
      <c r="X51" s="152"/>
      <c r="Y51" s="152"/>
      <c r="Z51" s="153"/>
      <c r="AA51" s="153"/>
      <c r="AB51" s="673"/>
      <c r="AC51" s="673"/>
      <c r="AD51" s="513"/>
      <c r="AE51" s="513"/>
      <c r="AF51" s="144">
        <f t="shared" si="28"/>
        <v>0</v>
      </c>
      <c r="AG51" s="521" t="e">
        <f t="shared" si="7"/>
        <v>#DIV/0!</v>
      </c>
      <c r="AH51" s="705"/>
    </row>
    <row r="52" spans="1:34" s="145" customFormat="1" ht="19.2" customHeight="1">
      <c r="A52" s="712"/>
      <c r="B52" s="97">
        <v>0</v>
      </c>
      <c r="C52" s="133"/>
      <c r="D52" s="150"/>
      <c r="E52" s="148"/>
      <c r="F52" s="350" t="s">
        <v>128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688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673"/>
      <c r="AC52" s="673"/>
      <c r="AD52" s="513"/>
      <c r="AE52" s="513"/>
      <c r="AF52" s="144">
        <f t="shared" si="28"/>
        <v>0</v>
      </c>
      <c r="AG52" s="521" t="e">
        <f t="shared" si="7"/>
        <v>#DIV/0!</v>
      </c>
      <c r="AH52" s="705"/>
    </row>
    <row r="53" spans="1:34" s="145" customFormat="1" ht="19.2" customHeight="1">
      <c r="A53" s="712"/>
      <c r="B53" s="97">
        <v>0</v>
      </c>
      <c r="C53" s="133"/>
      <c r="D53" s="150"/>
      <c r="E53" s="148"/>
      <c r="F53" s="350" t="s">
        <v>128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514"/>
      <c r="S53" s="688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673"/>
      <c r="AC53" s="673"/>
      <c r="AD53" s="513"/>
      <c r="AE53" s="513"/>
      <c r="AF53" s="144">
        <f t="shared" si="28"/>
        <v>0</v>
      </c>
      <c r="AG53" s="521" t="e">
        <f t="shared" si="7"/>
        <v>#DIV/0!</v>
      </c>
      <c r="AH53" s="705"/>
    </row>
    <row r="54" spans="1:34" s="145" customFormat="1" ht="19.2" customHeight="1">
      <c r="A54" s="712"/>
      <c r="B54" s="156">
        <v>0</v>
      </c>
      <c r="C54" s="133"/>
      <c r="D54" s="150"/>
      <c r="E54" s="148"/>
      <c r="F54" s="351" t="s">
        <v>128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514"/>
      <c r="S54" s="688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673"/>
      <c r="AC54" s="673"/>
      <c r="AD54" s="513"/>
      <c r="AE54" s="513"/>
      <c r="AF54" s="144">
        <f t="shared" si="28"/>
        <v>0</v>
      </c>
      <c r="AG54" s="521" t="e">
        <f t="shared" si="7"/>
        <v>#DIV/0!</v>
      </c>
      <c r="AH54" s="705"/>
    </row>
    <row r="55" spans="1:34" s="145" customFormat="1" ht="19.2" customHeight="1">
      <c r="A55" s="712"/>
      <c r="B55" s="156">
        <v>0</v>
      </c>
      <c r="C55" s="133"/>
      <c r="D55" s="150"/>
      <c r="E55" s="148"/>
      <c r="F55" s="351" t="s">
        <v>128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514"/>
      <c r="S55" s="688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673"/>
      <c r="AC55" s="673"/>
      <c r="AD55" s="513"/>
      <c r="AE55" s="513"/>
      <c r="AF55" s="144"/>
      <c r="AG55" s="521"/>
      <c r="AH55" s="705"/>
    </row>
    <row r="56" spans="1:34" ht="19.2" customHeight="1">
      <c r="A56" s="713"/>
      <c r="B56" s="157">
        <v>0</v>
      </c>
      <c r="C56" s="268" t="s">
        <v>307</v>
      </c>
      <c r="D56" s="710" t="s">
        <v>236</v>
      </c>
      <c r="E56" s="669"/>
      <c r="F56" s="34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1653.6600413092542</v>
      </c>
      <c r="O56" s="104">
        <f t="shared" si="35"/>
        <v>285.8425647832654</v>
      </c>
      <c r="P56" s="158">
        <f>M56-J56</f>
        <v>0.28571428571428559</v>
      </c>
      <c r="Q56" s="117">
        <f>N56-K56</f>
        <v>-8.6256729764600095</v>
      </c>
      <c r="R56" s="159">
        <f t="shared" ref="R56:R61" si="36">O56/L56</f>
        <v>0.90898751834768343</v>
      </c>
      <c r="S56" s="688"/>
      <c r="T56" s="160"/>
      <c r="U56" s="160"/>
      <c r="V56" s="529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673"/>
      <c r="AC56" s="673"/>
      <c r="AD56" s="107">
        <f>SUM(AD44:AD55)</f>
        <v>1</v>
      </c>
      <c r="AE56" s="107">
        <f>SUM(AE44:AE55)</f>
        <v>0</v>
      </c>
      <c r="AF56" s="162">
        <f>N56-K56</f>
        <v>-8.6256729764600095</v>
      </c>
      <c r="AG56" s="514">
        <f>N56/K56</f>
        <v>0.99481095644248707</v>
      </c>
      <c r="AH56" s="705"/>
    </row>
    <row r="57" spans="1:34" ht="19.2" customHeight="1">
      <c r="A57" s="700" t="s">
        <v>308</v>
      </c>
      <c r="B57" s="121" t="s">
        <v>125</v>
      </c>
      <c r="C57" s="121"/>
      <c r="D57" s="42" t="s">
        <v>66</v>
      </c>
      <c r="E57" s="43"/>
      <c r="F57" s="343">
        <v>28.26</v>
      </c>
      <c r="G57" s="57">
        <v>1294</v>
      </c>
      <c r="H57" s="84">
        <f t="shared" ref="H57:H66" si="37">F57*G57</f>
        <v>36568.44</v>
      </c>
      <c r="I57" s="513"/>
      <c r="J57" s="87">
        <v>7</v>
      </c>
      <c r="K57" s="57">
        <v>1500</v>
      </c>
      <c r="L57" s="86">
        <v>214.28571428571428</v>
      </c>
      <c r="M57" s="524">
        <v>7</v>
      </c>
      <c r="N57" s="57">
        <f t="shared" ref="N57:N61" si="38">G57/W57*60</f>
        <v>1464.9056603773581</v>
      </c>
      <c r="O57" s="86">
        <f t="shared" ref="O57:O61" si="39">N57/M57</f>
        <v>209.27223719676545</v>
      </c>
      <c r="P57" s="165">
        <f t="shared" ref="P57:P61" si="40">M57-J57</f>
        <v>0</v>
      </c>
      <c r="Q57" s="49">
        <f t="shared" ref="Q57:Q61" si="41">O57-L57</f>
        <v>-5.0134770889488323</v>
      </c>
      <c r="R57" s="517">
        <f t="shared" si="36"/>
        <v>0.97660377358490547</v>
      </c>
      <c r="S57" s="688">
        <f>R69</f>
        <v>0.98663818263711178</v>
      </c>
      <c r="T57" s="50">
        <v>0.125</v>
      </c>
      <c r="U57" s="50">
        <v>0.16180555555555556</v>
      </c>
      <c r="V57" s="515">
        <v>5</v>
      </c>
      <c r="W57" s="526">
        <f>(U57-T57)*24*60</f>
        <v>53.000000000000014</v>
      </c>
      <c r="X57" s="53"/>
      <c r="Y57" s="53"/>
      <c r="Z57" s="54"/>
      <c r="AA57" s="54"/>
      <c r="AB57" s="673"/>
      <c r="AC57" s="673"/>
      <c r="AD57" s="513"/>
      <c r="AE57" s="513"/>
      <c r="AF57" s="48">
        <f t="shared" si="6"/>
        <v>-35.094339622641883</v>
      </c>
      <c r="AG57" s="516">
        <f t="shared" si="7"/>
        <v>0.97660377358490547</v>
      </c>
      <c r="AH57" s="687">
        <f>AG69</f>
        <v>0.98597966273547311</v>
      </c>
    </row>
    <row r="58" spans="1:34" ht="19.2" customHeight="1">
      <c r="A58" s="701"/>
      <c r="B58" s="121" t="s">
        <v>125</v>
      </c>
      <c r="C58" s="513"/>
      <c r="D58" s="42" t="s">
        <v>67</v>
      </c>
      <c r="E58" s="43"/>
      <c r="F58" s="343">
        <v>27.88</v>
      </c>
      <c r="G58" s="44">
        <v>3689</v>
      </c>
      <c r="H58" s="45">
        <f t="shared" si="37"/>
        <v>102849.31999999999</v>
      </c>
      <c r="I58" s="515"/>
      <c r="J58" s="46">
        <v>7</v>
      </c>
      <c r="K58" s="44">
        <v>1500</v>
      </c>
      <c r="L58" s="86">
        <v>214.28571428571428</v>
      </c>
      <c r="M58" s="527">
        <v>7</v>
      </c>
      <c r="N58" s="44">
        <f t="shared" si="38"/>
        <v>1485.5033557046977</v>
      </c>
      <c r="O58" s="47">
        <f t="shared" si="39"/>
        <v>212.21476510067109</v>
      </c>
      <c r="P58" s="165">
        <f t="shared" si="40"/>
        <v>0</v>
      </c>
      <c r="Q58" s="49">
        <f t="shared" si="41"/>
        <v>-2.0709491850431903</v>
      </c>
      <c r="R58" s="517">
        <f t="shared" si="36"/>
        <v>0.99033557046979848</v>
      </c>
      <c r="S58" s="688"/>
      <c r="T58" s="50">
        <v>0.16875000000000001</v>
      </c>
      <c r="U58" s="50">
        <v>0.27222222222222225</v>
      </c>
      <c r="V58" s="515">
        <v>10</v>
      </c>
      <c r="W58" s="526">
        <f>(U58-T58)*24*60</f>
        <v>149.00000000000003</v>
      </c>
      <c r="X58" s="53"/>
      <c r="Y58" s="53"/>
      <c r="Z58" s="54"/>
      <c r="AA58" s="54"/>
      <c r="AB58" s="706"/>
      <c r="AC58" s="707"/>
      <c r="AD58" s="513"/>
      <c r="AE58" s="513"/>
      <c r="AF58" s="48">
        <f t="shared" si="6"/>
        <v>-14.496644295302303</v>
      </c>
      <c r="AG58" s="517">
        <f t="shared" si="7"/>
        <v>0.99033557046979848</v>
      </c>
      <c r="AH58" s="688"/>
    </row>
    <row r="59" spans="1:34" ht="19.2" customHeight="1">
      <c r="A59" s="701"/>
      <c r="B59" s="121" t="s">
        <v>125</v>
      </c>
      <c r="C59" s="513"/>
      <c r="D59" s="42" t="s">
        <v>68</v>
      </c>
      <c r="E59" s="43"/>
      <c r="F59" s="343">
        <v>28</v>
      </c>
      <c r="G59" s="44">
        <v>3322</v>
      </c>
      <c r="H59" s="45">
        <f t="shared" si="37"/>
        <v>93016</v>
      </c>
      <c r="I59" s="515"/>
      <c r="J59" s="46">
        <v>7</v>
      </c>
      <c r="K59" s="44">
        <v>1500</v>
      </c>
      <c r="L59" s="86">
        <v>214.28571428571428</v>
      </c>
      <c r="M59" s="527">
        <v>7</v>
      </c>
      <c r="N59" s="44">
        <f t="shared" si="38"/>
        <v>1454.8905109489051</v>
      </c>
      <c r="O59" s="47">
        <f t="shared" si="39"/>
        <v>207.84150156412929</v>
      </c>
      <c r="P59" s="165">
        <f t="shared" si="40"/>
        <v>0</v>
      </c>
      <c r="Q59" s="49">
        <f t="shared" si="41"/>
        <v>-6.4442127215849894</v>
      </c>
      <c r="R59" s="517">
        <f t="shared" si="36"/>
        <v>0.96992700729927006</v>
      </c>
      <c r="S59" s="688"/>
      <c r="T59" s="50">
        <v>0.28263888888888894</v>
      </c>
      <c r="U59" s="50">
        <v>0.37777777777777782</v>
      </c>
      <c r="V59" s="142">
        <v>15</v>
      </c>
      <c r="W59" s="526">
        <f t="shared" ref="W59:W69" si="42">(U59-T59)*24*60</f>
        <v>137</v>
      </c>
      <c r="X59" s="53"/>
      <c r="Y59" s="53"/>
      <c r="Z59" s="54"/>
      <c r="AA59" s="54"/>
      <c r="AB59" s="673"/>
      <c r="AC59" s="673"/>
      <c r="AD59" s="513"/>
      <c r="AE59" s="513"/>
      <c r="AF59" s="48">
        <f t="shared" si="6"/>
        <v>-45.109489051094897</v>
      </c>
      <c r="AG59" s="517">
        <f t="shared" si="7"/>
        <v>0.96992700729927006</v>
      </c>
      <c r="AH59" s="688"/>
    </row>
    <row r="60" spans="1:34" ht="19.2" customHeight="1">
      <c r="A60" s="701"/>
      <c r="B60" s="121" t="s">
        <v>127</v>
      </c>
      <c r="C60" s="513"/>
      <c r="D60" s="42" t="s">
        <v>64</v>
      </c>
      <c r="E60" s="43"/>
      <c r="F60" s="343">
        <v>10.09</v>
      </c>
      <c r="G60" s="44">
        <v>3246.96</v>
      </c>
      <c r="H60" s="45">
        <f t="shared" si="37"/>
        <v>32761.826399999998</v>
      </c>
      <c r="I60" s="515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1498.5969230769226</v>
      </c>
      <c r="O60" s="47">
        <f t="shared" si="39"/>
        <v>249.76615384615377</v>
      </c>
      <c r="P60" s="165">
        <f t="shared" si="40"/>
        <v>0</v>
      </c>
      <c r="Q60" s="49">
        <f t="shared" si="41"/>
        <v>-0.23384615384622975</v>
      </c>
      <c r="R60" s="517">
        <f t="shared" si="36"/>
        <v>0.99906461538461511</v>
      </c>
      <c r="S60" s="688"/>
      <c r="T60" s="50">
        <v>0.39513888888888893</v>
      </c>
      <c r="U60" s="50">
        <v>0.48541666666666672</v>
      </c>
      <c r="V60" s="142">
        <v>25</v>
      </c>
      <c r="W60" s="526">
        <f t="shared" si="42"/>
        <v>130.00000000000003</v>
      </c>
      <c r="X60" s="53">
        <v>0.38194444444444442</v>
      </c>
      <c r="Y60" s="53">
        <v>0.39444444444444443</v>
      </c>
      <c r="Z60" s="54"/>
      <c r="AA60" s="54"/>
      <c r="AB60" s="673"/>
      <c r="AC60" s="673"/>
      <c r="AD60" s="513"/>
      <c r="AE60" s="513"/>
      <c r="AF60" s="48">
        <f t="shared" si="6"/>
        <v>-1.4030769230773785</v>
      </c>
      <c r="AG60" s="516">
        <f t="shared" si="7"/>
        <v>0.99906461538461511</v>
      </c>
      <c r="AH60" s="688"/>
    </row>
    <row r="61" spans="1:34" ht="19.2" customHeight="1">
      <c r="A61" s="701"/>
      <c r="B61" s="121" t="s">
        <v>127</v>
      </c>
      <c r="C61" s="513"/>
      <c r="D61" s="42" t="s">
        <v>64</v>
      </c>
      <c r="E61" s="43"/>
      <c r="F61" s="343">
        <v>10.09</v>
      </c>
      <c r="G61" s="44">
        <v>3652.8300000000004</v>
      </c>
      <c r="H61" s="45">
        <f t="shared" si="37"/>
        <v>36857.054700000001</v>
      </c>
      <c r="I61" s="515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1490.9510204081641</v>
      </c>
      <c r="O61" s="47">
        <f t="shared" si="39"/>
        <v>248.49183673469403</v>
      </c>
      <c r="P61" s="165">
        <f t="shared" si="40"/>
        <v>0</v>
      </c>
      <c r="Q61" s="49">
        <f t="shared" si="41"/>
        <v>-1.5081632653059671</v>
      </c>
      <c r="R61" s="517">
        <f t="shared" si="36"/>
        <v>0.99396734693877609</v>
      </c>
      <c r="S61" s="688"/>
      <c r="T61" s="50">
        <v>0.50277777777777788</v>
      </c>
      <c r="U61" s="50">
        <v>0.60486111111111118</v>
      </c>
      <c r="V61" s="142">
        <v>25</v>
      </c>
      <c r="W61" s="526">
        <f t="shared" si="42"/>
        <v>146.99999999999994</v>
      </c>
      <c r="X61" s="53">
        <v>0.48958333333333331</v>
      </c>
      <c r="Y61" s="53">
        <v>0.50138888888888888</v>
      </c>
      <c r="Z61" s="54"/>
      <c r="AA61" s="54"/>
      <c r="AB61" s="673"/>
      <c r="AC61" s="673"/>
      <c r="AD61" s="513"/>
      <c r="AE61" s="513"/>
      <c r="AF61" s="48">
        <f t="shared" si="6"/>
        <v>-9.0489795918358595</v>
      </c>
      <c r="AG61" s="517">
        <f t="shared" si="7"/>
        <v>0.99396734693877609</v>
      </c>
      <c r="AH61" s="688"/>
    </row>
    <row r="62" spans="1:34" ht="19.2" customHeight="1">
      <c r="A62" s="701"/>
      <c r="B62" s="121">
        <v>0</v>
      </c>
      <c r="C62" s="513"/>
      <c r="D62" s="42"/>
      <c r="E62" s="43"/>
      <c r="F62" s="343" t="s">
        <v>128</v>
      </c>
      <c r="G62" s="134"/>
      <c r="H62" s="45">
        <f t="shared" si="37"/>
        <v>0</v>
      </c>
      <c r="I62" s="515"/>
      <c r="J62" s="46"/>
      <c r="K62" s="44"/>
      <c r="L62" s="86"/>
      <c r="M62" s="62"/>
      <c r="N62" s="44"/>
      <c r="O62" s="47"/>
      <c r="P62" s="165"/>
      <c r="Q62" s="49"/>
      <c r="R62" s="517"/>
      <c r="S62" s="688"/>
      <c r="T62" s="166"/>
      <c r="U62" s="166"/>
      <c r="V62" s="142"/>
      <c r="W62" s="526">
        <f t="shared" si="42"/>
        <v>0</v>
      </c>
      <c r="X62" s="53"/>
      <c r="Y62" s="53"/>
      <c r="Z62" s="54"/>
      <c r="AA62" s="54"/>
      <c r="AB62" s="673"/>
      <c r="AC62" s="673"/>
      <c r="AD62" s="513"/>
      <c r="AE62" s="513"/>
      <c r="AF62" s="48">
        <f t="shared" si="6"/>
        <v>0</v>
      </c>
      <c r="AG62" s="517" t="e">
        <f t="shared" si="7"/>
        <v>#DIV/0!</v>
      </c>
      <c r="AH62" s="688"/>
    </row>
    <row r="63" spans="1:34" ht="19.2" customHeight="1">
      <c r="A63" s="701"/>
      <c r="B63" s="121">
        <v>0</v>
      </c>
      <c r="C63" s="513"/>
      <c r="D63" s="42"/>
      <c r="E63" s="43"/>
      <c r="F63" s="343" t="s">
        <v>128</v>
      </c>
      <c r="G63" s="134"/>
      <c r="H63" s="45">
        <f t="shared" si="37"/>
        <v>0</v>
      </c>
      <c r="I63" s="515"/>
      <c r="J63" s="46"/>
      <c r="K63" s="44"/>
      <c r="L63" s="86"/>
      <c r="M63" s="62" t="s">
        <v>15</v>
      </c>
      <c r="N63" s="44"/>
      <c r="O63" s="47"/>
      <c r="P63" s="165"/>
      <c r="Q63" s="49"/>
      <c r="R63" s="517"/>
      <c r="S63" s="688"/>
      <c r="T63" s="166"/>
      <c r="U63" s="166"/>
      <c r="V63" s="142"/>
      <c r="W63" s="526">
        <f t="shared" si="42"/>
        <v>0</v>
      </c>
      <c r="X63" s="53"/>
      <c r="Y63" s="53"/>
      <c r="Z63" s="54"/>
      <c r="AA63" s="54"/>
      <c r="AB63" s="673"/>
      <c r="AC63" s="673"/>
      <c r="AD63" s="513"/>
      <c r="AE63" s="513"/>
      <c r="AF63" s="48">
        <f t="shared" si="6"/>
        <v>0</v>
      </c>
      <c r="AG63" s="516" t="e">
        <f t="shared" si="7"/>
        <v>#DIV/0!</v>
      </c>
      <c r="AH63" s="688"/>
    </row>
    <row r="64" spans="1:34" ht="19.2" customHeight="1">
      <c r="A64" s="702"/>
      <c r="B64" s="163">
        <v>0</v>
      </c>
      <c r="C64" s="393"/>
      <c r="D64" s="42"/>
      <c r="E64" s="43"/>
      <c r="F64" s="343" t="s">
        <v>128</v>
      </c>
      <c r="G64" s="134"/>
      <c r="H64" s="45">
        <f t="shared" si="37"/>
        <v>0</v>
      </c>
      <c r="I64" s="515"/>
      <c r="J64" s="167"/>
      <c r="K64" s="61"/>
      <c r="L64" s="86"/>
      <c r="M64" s="62"/>
      <c r="N64" s="44"/>
      <c r="O64" s="47"/>
      <c r="P64" s="165"/>
      <c r="Q64" s="49"/>
      <c r="R64" s="517"/>
      <c r="S64" s="688"/>
      <c r="T64" s="166"/>
      <c r="U64" s="166"/>
      <c r="V64" s="142"/>
      <c r="W64" s="526">
        <f t="shared" si="42"/>
        <v>0</v>
      </c>
      <c r="X64" s="515"/>
      <c r="Y64" s="515"/>
      <c r="Z64" s="54"/>
      <c r="AA64" s="54"/>
      <c r="AB64" s="673"/>
      <c r="AC64" s="673"/>
      <c r="AD64" s="513"/>
      <c r="AE64" s="513"/>
      <c r="AF64" s="48">
        <f t="shared" si="6"/>
        <v>0</v>
      </c>
      <c r="AG64" s="517" t="e">
        <f t="shared" si="7"/>
        <v>#DIV/0!</v>
      </c>
      <c r="AH64" s="688"/>
    </row>
    <row r="65" spans="1:34" ht="19.2" customHeight="1">
      <c r="A65" s="702"/>
      <c r="B65" s="97">
        <v>0</v>
      </c>
      <c r="C65" s="522"/>
      <c r="D65" s="42"/>
      <c r="E65" s="43"/>
      <c r="F65" s="343" t="s">
        <v>128</v>
      </c>
      <c r="G65" s="134"/>
      <c r="H65" s="45">
        <f t="shared" si="37"/>
        <v>0</v>
      </c>
      <c r="I65" s="515"/>
      <c r="J65" s="167"/>
      <c r="K65" s="61"/>
      <c r="L65" s="86"/>
      <c r="M65" s="62"/>
      <c r="N65" s="61"/>
      <c r="O65" s="77"/>
      <c r="P65" s="48"/>
      <c r="Q65" s="49"/>
      <c r="R65" s="517"/>
      <c r="S65" s="688"/>
      <c r="T65" s="166"/>
      <c r="U65" s="166"/>
      <c r="V65" s="142"/>
      <c r="W65" s="526">
        <f t="shared" si="42"/>
        <v>0</v>
      </c>
      <c r="X65" s="515"/>
      <c r="Y65" s="515"/>
      <c r="Z65" s="54"/>
      <c r="AA65" s="54"/>
      <c r="AB65" s="673"/>
      <c r="AC65" s="673"/>
      <c r="AD65" s="513"/>
      <c r="AE65" s="513"/>
      <c r="AF65" s="48">
        <f t="shared" si="6"/>
        <v>0</v>
      </c>
      <c r="AG65" s="517" t="e">
        <f t="shared" si="7"/>
        <v>#DIV/0!</v>
      </c>
      <c r="AH65" s="688"/>
    </row>
    <row r="66" spans="1:34" ht="19.2" customHeight="1">
      <c r="A66" s="702"/>
      <c r="B66" s="97">
        <v>0</v>
      </c>
      <c r="C66" s="522"/>
      <c r="D66" s="42"/>
      <c r="E66" s="43"/>
      <c r="F66" s="343" t="s">
        <v>128</v>
      </c>
      <c r="G66" s="134"/>
      <c r="H66" s="45">
        <f t="shared" si="37"/>
        <v>0</v>
      </c>
      <c r="I66" s="515"/>
      <c r="J66" s="167"/>
      <c r="K66" s="61"/>
      <c r="L66" s="86"/>
      <c r="M66" s="62"/>
      <c r="N66" s="61"/>
      <c r="O66" s="77"/>
      <c r="P66" s="48"/>
      <c r="Q66" s="49"/>
      <c r="R66" s="517"/>
      <c r="S66" s="688"/>
      <c r="T66" s="166"/>
      <c r="U66" s="166"/>
      <c r="V66" s="142"/>
      <c r="W66" s="526">
        <f t="shared" si="42"/>
        <v>0</v>
      </c>
      <c r="X66" s="515"/>
      <c r="Y66" s="515"/>
      <c r="Z66" s="54"/>
      <c r="AA66" s="54"/>
      <c r="AB66" s="673"/>
      <c r="AC66" s="673"/>
      <c r="AD66" s="513"/>
      <c r="AE66" s="513"/>
      <c r="AF66" s="48">
        <f t="shared" si="6"/>
        <v>0</v>
      </c>
      <c r="AG66" s="516" t="e">
        <f t="shared" si="7"/>
        <v>#DIV/0!</v>
      </c>
      <c r="AH66" s="688"/>
    </row>
    <row r="67" spans="1:34" ht="19.2" customHeight="1">
      <c r="A67" s="702"/>
      <c r="B67" s="97">
        <v>0</v>
      </c>
      <c r="C67" s="522"/>
      <c r="D67" s="42"/>
      <c r="E67" s="43"/>
      <c r="F67" s="343" t="s">
        <v>128</v>
      </c>
      <c r="G67" s="134"/>
      <c r="H67" s="45">
        <f>F67*G67</f>
        <v>0</v>
      </c>
      <c r="I67" s="515"/>
      <c r="J67" s="167"/>
      <c r="K67" s="61"/>
      <c r="L67" s="86"/>
      <c r="M67" s="62"/>
      <c r="N67" s="61"/>
      <c r="O67" s="77"/>
      <c r="P67" s="48"/>
      <c r="Q67" s="49"/>
      <c r="R67" s="517"/>
      <c r="S67" s="688"/>
      <c r="T67" s="166"/>
      <c r="U67" s="166"/>
      <c r="V67" s="142"/>
      <c r="W67" s="526">
        <f t="shared" si="42"/>
        <v>0</v>
      </c>
      <c r="X67" s="515"/>
      <c r="Y67" s="515"/>
      <c r="Z67" s="54"/>
      <c r="AA67" s="54"/>
      <c r="AB67" s="673"/>
      <c r="AC67" s="673"/>
      <c r="AD67" s="513"/>
      <c r="AE67" s="513"/>
      <c r="AF67" s="48">
        <f t="shared" si="6"/>
        <v>0</v>
      </c>
      <c r="AG67" s="517" t="e">
        <f t="shared" si="7"/>
        <v>#DIV/0!</v>
      </c>
      <c r="AH67" s="688"/>
    </row>
    <row r="68" spans="1:34" ht="19.2" customHeight="1">
      <c r="A68" s="702"/>
      <c r="B68" s="515">
        <v>0</v>
      </c>
      <c r="C68" s="522"/>
      <c r="D68" s="42"/>
      <c r="E68" s="43"/>
      <c r="F68" s="350" t="s">
        <v>128</v>
      </c>
      <c r="G68" s="134"/>
      <c r="H68" s="45">
        <f>F68*G68</f>
        <v>0</v>
      </c>
      <c r="I68" s="515"/>
      <c r="J68" s="167"/>
      <c r="K68" s="61"/>
      <c r="L68" s="86"/>
      <c r="M68" s="62"/>
      <c r="N68" s="61"/>
      <c r="O68" s="77"/>
      <c r="P68" s="48"/>
      <c r="Q68" s="49"/>
      <c r="R68" s="517"/>
      <c r="S68" s="688"/>
      <c r="T68" s="166"/>
      <c r="U68" s="166"/>
      <c r="V68" s="142"/>
      <c r="W68" s="526">
        <f t="shared" si="42"/>
        <v>0</v>
      </c>
      <c r="X68" s="515"/>
      <c r="Y68" s="515"/>
      <c r="Z68" s="54"/>
      <c r="AA68" s="54"/>
      <c r="AB68" s="673"/>
      <c r="AC68" s="673"/>
      <c r="AD68" s="513"/>
      <c r="AE68" s="513"/>
      <c r="AF68" s="48"/>
      <c r="AG68" s="517"/>
      <c r="AH68" s="688"/>
    </row>
    <row r="69" spans="1:34" ht="19.2" customHeight="1">
      <c r="A69" s="702"/>
      <c r="B69" s="168">
        <v>0</v>
      </c>
      <c r="C69" s="6" t="s">
        <v>598</v>
      </c>
      <c r="D69" s="669" t="s">
        <v>599</v>
      </c>
      <c r="E69" s="669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1478.9694941032096</v>
      </c>
      <c r="O69" s="73">
        <f t="shared" si="43"/>
        <v>225.51729888848271</v>
      </c>
      <c r="P69" s="48">
        <f>M69-J69</f>
        <v>0</v>
      </c>
      <c r="Q69" s="49">
        <f>N69-K69</f>
        <v>-21.030505896790373</v>
      </c>
      <c r="R69" s="172">
        <f t="shared" ref="R69:R75" si="44">O69/L69</f>
        <v>0.98663818263711178</v>
      </c>
      <c r="S69" s="688"/>
      <c r="T69" s="141"/>
      <c r="U69" s="141"/>
      <c r="V69" s="44"/>
      <c r="W69" s="526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673"/>
      <c r="AC69" s="673"/>
      <c r="AD69" s="107">
        <f>SUM(AD57:AD68)</f>
        <v>0</v>
      </c>
      <c r="AE69" s="107">
        <f>SUM(AE57:AE68)</f>
        <v>0</v>
      </c>
      <c r="AF69" s="48">
        <f t="shared" si="6"/>
        <v>-21.030505896790373</v>
      </c>
      <c r="AG69" s="517">
        <f t="shared" si="7"/>
        <v>0.98597966273547311</v>
      </c>
      <c r="AH69" s="688"/>
    </row>
    <row r="70" spans="1:34" ht="19.2" customHeight="1">
      <c r="A70" s="703" t="s">
        <v>600</v>
      </c>
      <c r="B70" s="515" t="s">
        <v>127</v>
      </c>
      <c r="C70" s="97"/>
      <c r="D70" s="42" t="s">
        <v>138</v>
      </c>
      <c r="E70" s="43"/>
      <c r="F70" s="343">
        <v>54.09</v>
      </c>
      <c r="G70" s="57">
        <v>891.6</v>
      </c>
      <c r="H70" s="45">
        <f>F70*G70</f>
        <v>48226.644000000008</v>
      </c>
      <c r="I70" s="515"/>
      <c r="J70" s="46">
        <v>16</v>
      </c>
      <c r="K70" s="44">
        <v>1500</v>
      </c>
      <c r="L70" s="47">
        <v>93.75</v>
      </c>
      <c r="M70" s="527">
        <v>17</v>
      </c>
      <c r="N70" s="44">
        <f t="shared" ref="N70:N75" si="45">G70/W70*60</f>
        <v>1371.6923076923072</v>
      </c>
      <c r="O70" s="47">
        <f t="shared" ref="O70:O75" si="46">N70/M70</f>
        <v>80.687782805429833</v>
      </c>
      <c r="P70" s="48">
        <f t="shared" ref="P70:P75" si="47">M70-J70</f>
        <v>1</v>
      </c>
      <c r="Q70" s="49">
        <f t="shared" ref="Q70:Q75" si="48">O70-L70</f>
        <v>-13.062217194570167</v>
      </c>
      <c r="R70" s="517">
        <f t="shared" si="44"/>
        <v>0.86066968325791826</v>
      </c>
      <c r="S70" s="688">
        <f>R82</f>
        <v>0.86987353302344383</v>
      </c>
      <c r="T70" s="50">
        <v>0.25</v>
      </c>
      <c r="U70" s="50">
        <v>0.27708333333333335</v>
      </c>
      <c r="V70" s="515">
        <v>5</v>
      </c>
      <c r="W70" s="526">
        <f>(U70-T70)*24*60</f>
        <v>39.000000000000021</v>
      </c>
      <c r="X70" s="515"/>
      <c r="Y70" s="515"/>
      <c r="Z70" s="54"/>
      <c r="AA70" s="54"/>
      <c r="AB70" s="673"/>
      <c r="AC70" s="673"/>
      <c r="AD70" s="513"/>
      <c r="AE70" s="513"/>
      <c r="AF70" s="48">
        <f t="shared" si="6"/>
        <v>-128.30769230769283</v>
      </c>
      <c r="AG70" s="517">
        <f t="shared" si="7"/>
        <v>0.9144615384615381</v>
      </c>
      <c r="AH70" s="688">
        <f>AG82</f>
        <v>0.87728842822962672</v>
      </c>
    </row>
    <row r="71" spans="1:34" ht="19.2" customHeight="1">
      <c r="A71" s="703"/>
      <c r="B71" s="515" t="s">
        <v>123</v>
      </c>
      <c r="C71" s="41"/>
      <c r="D71" s="173" t="s">
        <v>69</v>
      </c>
      <c r="E71" s="43"/>
      <c r="F71" s="343">
        <v>53.36</v>
      </c>
      <c r="G71" s="44">
        <v>2471.89</v>
      </c>
      <c r="H71" s="45">
        <f>F71*G71</f>
        <v>131900.05039999998</v>
      </c>
      <c r="I71" s="515"/>
      <c r="J71" s="46">
        <v>19</v>
      </c>
      <c r="K71" s="174">
        <v>1636</v>
      </c>
      <c r="L71" s="47">
        <v>86.10526315789474</v>
      </c>
      <c r="M71" s="524">
        <v>19</v>
      </c>
      <c r="N71" s="44">
        <f t="shared" si="45"/>
        <v>1373.2722222222219</v>
      </c>
      <c r="O71" s="47">
        <f t="shared" si="46"/>
        <v>72.277485380116943</v>
      </c>
      <c r="P71" s="48">
        <f t="shared" si="47"/>
        <v>0</v>
      </c>
      <c r="Q71" s="49">
        <f t="shared" si="48"/>
        <v>-13.827777777777797</v>
      </c>
      <c r="R71" s="517">
        <f t="shared" si="44"/>
        <v>0.83940844879108911</v>
      </c>
      <c r="S71" s="688"/>
      <c r="T71" s="50">
        <v>0.28194444444444444</v>
      </c>
      <c r="U71" s="50">
        <v>0.35694444444444445</v>
      </c>
      <c r="V71" s="515">
        <v>7</v>
      </c>
      <c r="W71" s="526">
        <f t="shared" ref="W71:W81" si="49">(U71-T71)*24*60</f>
        <v>108.00000000000001</v>
      </c>
      <c r="X71" s="53"/>
      <c r="Y71" s="53"/>
      <c r="Z71" s="54"/>
      <c r="AA71" s="54"/>
      <c r="AB71" s="673"/>
      <c r="AC71" s="673"/>
      <c r="AD71" s="513"/>
      <c r="AE71" s="513"/>
      <c r="AF71" s="48">
        <f>N71-K71</f>
        <v>-262.7277777777781</v>
      </c>
      <c r="AG71" s="517">
        <f>N71/K71</f>
        <v>0.83940844879108922</v>
      </c>
      <c r="AH71" s="688"/>
    </row>
    <row r="72" spans="1:34" ht="19.2" customHeight="1">
      <c r="A72" s="703"/>
      <c r="B72" s="515" t="s">
        <v>123</v>
      </c>
      <c r="C72" s="66"/>
      <c r="D72" s="173" t="s">
        <v>69</v>
      </c>
      <c r="E72" s="43"/>
      <c r="F72" s="343">
        <v>53.36</v>
      </c>
      <c r="G72" s="44">
        <v>3557.1099999999997</v>
      </c>
      <c r="H72" s="45">
        <f t="shared" ref="H72:H80" si="50">F72*G72</f>
        <v>189807.38959999999</v>
      </c>
      <c r="I72" s="515"/>
      <c r="J72" s="87">
        <v>19</v>
      </c>
      <c r="K72" s="57">
        <v>1636</v>
      </c>
      <c r="L72" s="86">
        <v>86.10526315789474</v>
      </c>
      <c r="M72" s="527">
        <v>19</v>
      </c>
      <c r="N72" s="44">
        <f t="shared" si="45"/>
        <v>1368.1192307692306</v>
      </c>
      <c r="O72" s="47">
        <f t="shared" si="46"/>
        <v>72.006275303643719</v>
      </c>
      <c r="P72" s="48">
        <f t="shared" si="47"/>
        <v>0</v>
      </c>
      <c r="Q72" s="49">
        <f t="shared" si="48"/>
        <v>-14.098987854251021</v>
      </c>
      <c r="R72" s="517">
        <f t="shared" si="44"/>
        <v>0.83625869851419965</v>
      </c>
      <c r="S72" s="688"/>
      <c r="T72" s="50">
        <v>0.37291666666666667</v>
      </c>
      <c r="U72" s="50">
        <v>0.48125000000000001</v>
      </c>
      <c r="V72" s="515">
        <v>23</v>
      </c>
      <c r="W72" s="526">
        <f t="shared" si="49"/>
        <v>156</v>
      </c>
      <c r="X72" s="53">
        <v>0.3611111111111111</v>
      </c>
      <c r="Y72" s="53">
        <v>0.37222222222222223</v>
      </c>
      <c r="Z72" s="54"/>
      <c r="AA72" s="54"/>
      <c r="AB72" s="673"/>
      <c r="AC72" s="673"/>
      <c r="AD72" s="513">
        <v>1</v>
      </c>
      <c r="AE72" s="513"/>
      <c r="AF72" s="48">
        <f>N72-K72</f>
        <v>-267.88076923076937</v>
      </c>
      <c r="AG72" s="517">
        <f>N72/K72</f>
        <v>0.83625869851419965</v>
      </c>
      <c r="AH72" s="688"/>
    </row>
    <row r="73" spans="1:34" ht="19.2" customHeight="1">
      <c r="A73" s="703"/>
      <c r="B73" s="515" t="s">
        <v>127</v>
      </c>
      <c r="C73" s="175"/>
      <c r="D73" s="176" t="s">
        <v>76</v>
      </c>
      <c r="E73" s="177"/>
      <c r="F73" s="343">
        <v>56.43</v>
      </c>
      <c r="G73" s="44">
        <v>1027</v>
      </c>
      <c r="H73" s="45">
        <f t="shared" si="50"/>
        <v>57953.61</v>
      </c>
      <c r="I73" s="513"/>
      <c r="J73" s="178">
        <v>18</v>
      </c>
      <c r="K73" s="179">
        <v>1500</v>
      </c>
      <c r="L73" s="86">
        <v>83.333333333333329</v>
      </c>
      <c r="M73" s="524">
        <v>18</v>
      </c>
      <c r="N73" s="44">
        <f t="shared" si="45"/>
        <v>1311.0638297872342</v>
      </c>
      <c r="O73" s="47">
        <f t="shared" si="46"/>
        <v>72.83687943262413</v>
      </c>
      <c r="P73" s="48">
        <f t="shared" si="47"/>
        <v>0</v>
      </c>
      <c r="Q73" s="49">
        <f t="shared" si="48"/>
        <v>-10.496453900709199</v>
      </c>
      <c r="R73" s="517">
        <f t="shared" si="44"/>
        <v>0.8740425531914896</v>
      </c>
      <c r="S73" s="688"/>
      <c r="T73" s="50">
        <v>0.5215277777777777</v>
      </c>
      <c r="U73" s="50">
        <v>0.55416666666666659</v>
      </c>
      <c r="V73" s="515">
        <v>5</v>
      </c>
      <c r="W73" s="526">
        <f t="shared" si="49"/>
        <v>46.999999999999993</v>
      </c>
      <c r="X73" s="180"/>
      <c r="Y73" s="180"/>
      <c r="Z73" s="124"/>
      <c r="AA73" s="124"/>
      <c r="AB73" s="673"/>
      <c r="AC73" s="673"/>
      <c r="AD73" s="513"/>
      <c r="AE73" s="513"/>
      <c r="AF73" s="48">
        <f>N73-K73</f>
        <v>-188.93617021276577</v>
      </c>
      <c r="AG73" s="517">
        <f>N73/K73</f>
        <v>0.87404255319148949</v>
      </c>
      <c r="AH73" s="688"/>
    </row>
    <row r="74" spans="1:34" ht="19.2" customHeight="1">
      <c r="A74" s="703"/>
      <c r="B74" s="515" t="s">
        <v>123</v>
      </c>
      <c r="C74" s="175"/>
      <c r="D74" s="176" t="s">
        <v>71</v>
      </c>
      <c r="E74" s="177"/>
      <c r="F74" s="343">
        <v>47.51</v>
      </c>
      <c r="G74" s="44">
        <v>2304</v>
      </c>
      <c r="H74" s="45">
        <f t="shared" si="50"/>
        <v>109463.03999999999</v>
      </c>
      <c r="I74" s="515"/>
      <c r="J74" s="46">
        <v>17</v>
      </c>
      <c r="K74" s="174">
        <v>1440</v>
      </c>
      <c r="L74" s="47">
        <v>84.705882352941174</v>
      </c>
      <c r="M74" s="527">
        <v>17</v>
      </c>
      <c r="N74" s="44">
        <f t="shared" si="45"/>
        <v>1304.1509433962271</v>
      </c>
      <c r="O74" s="47">
        <f t="shared" si="46"/>
        <v>76.71476137624866</v>
      </c>
      <c r="P74" s="48">
        <f t="shared" si="47"/>
        <v>0</v>
      </c>
      <c r="Q74" s="49">
        <f t="shared" si="48"/>
        <v>-7.991120976692514</v>
      </c>
      <c r="R74" s="517">
        <f t="shared" si="44"/>
        <v>0.90566037735849114</v>
      </c>
      <c r="S74" s="688"/>
      <c r="T74" s="50">
        <v>0.55902777777777768</v>
      </c>
      <c r="U74" s="50">
        <v>0.63263888888888875</v>
      </c>
      <c r="V74" s="515">
        <v>7</v>
      </c>
      <c r="W74" s="526">
        <f t="shared" si="49"/>
        <v>105.99999999999994</v>
      </c>
      <c r="X74" s="180"/>
      <c r="Y74" s="180"/>
      <c r="Z74" s="124"/>
      <c r="AA74" s="124"/>
      <c r="AB74" s="673"/>
      <c r="AC74" s="673"/>
      <c r="AD74" s="513">
        <v>1</v>
      </c>
      <c r="AE74" s="513"/>
      <c r="AF74" s="48">
        <f t="shared" ref="AF74:AF80" si="51">N74-K74</f>
        <v>-135.84905660377285</v>
      </c>
      <c r="AG74" s="517">
        <f t="shared" ref="AG74:AG80" si="52">N74/K74</f>
        <v>0.90566037735849103</v>
      </c>
      <c r="AH74" s="688"/>
    </row>
    <row r="75" spans="1:34" ht="19.2" customHeight="1">
      <c r="A75" s="703"/>
      <c r="B75" s="515" t="s">
        <v>123</v>
      </c>
      <c r="C75" s="66"/>
      <c r="D75" s="173" t="s">
        <v>70</v>
      </c>
      <c r="E75" s="43"/>
      <c r="F75" s="343">
        <v>53.76</v>
      </c>
      <c r="G75" s="57">
        <v>2688</v>
      </c>
      <c r="H75" s="45">
        <f t="shared" si="50"/>
        <v>144506.88</v>
      </c>
      <c r="I75" s="515"/>
      <c r="J75" s="87">
        <v>16</v>
      </c>
      <c r="K75" s="57">
        <v>1440</v>
      </c>
      <c r="L75" s="86">
        <v>90</v>
      </c>
      <c r="M75" s="527">
        <v>16</v>
      </c>
      <c r="N75" s="44">
        <f t="shared" si="45"/>
        <v>1300.645161290322</v>
      </c>
      <c r="O75" s="47">
        <f t="shared" si="46"/>
        <v>81.290322580645125</v>
      </c>
      <c r="P75" s="48">
        <f t="shared" si="47"/>
        <v>0</v>
      </c>
      <c r="Q75" s="49">
        <f t="shared" si="48"/>
        <v>-8.7096774193548754</v>
      </c>
      <c r="R75" s="517">
        <f t="shared" si="44"/>
        <v>0.90322580645161255</v>
      </c>
      <c r="S75" s="688"/>
      <c r="T75" s="50">
        <v>0.64791666666666647</v>
      </c>
      <c r="U75" s="50">
        <v>0.73402777777777761</v>
      </c>
      <c r="V75" s="515">
        <v>22</v>
      </c>
      <c r="W75" s="526">
        <f t="shared" si="49"/>
        <v>124.00000000000004</v>
      </c>
      <c r="X75" s="180">
        <v>0.63750000000000007</v>
      </c>
      <c r="Y75" s="180">
        <v>0.64722222222222225</v>
      </c>
      <c r="Z75" s="124"/>
      <c r="AA75" s="124"/>
      <c r="AB75" s="673"/>
      <c r="AC75" s="673"/>
      <c r="AD75" s="513"/>
      <c r="AE75" s="513"/>
      <c r="AF75" s="48">
        <f t="shared" si="51"/>
        <v>-139.35483870967801</v>
      </c>
      <c r="AG75" s="517">
        <f t="shared" si="52"/>
        <v>0.90322580645161255</v>
      </c>
      <c r="AH75" s="688"/>
    </row>
    <row r="76" spans="1:34" ht="19.2" customHeight="1">
      <c r="A76" s="703"/>
      <c r="B76" s="515">
        <v>0</v>
      </c>
      <c r="C76" s="175"/>
      <c r="D76" s="176"/>
      <c r="E76" s="177"/>
      <c r="F76" s="343" t="s">
        <v>128</v>
      </c>
      <c r="G76" s="174"/>
      <c r="H76" s="45">
        <f t="shared" si="50"/>
        <v>0</v>
      </c>
      <c r="I76" s="515"/>
      <c r="J76" s="87"/>
      <c r="K76" s="57"/>
      <c r="L76" s="86"/>
      <c r="M76" s="524"/>
      <c r="N76" s="44"/>
      <c r="O76" s="47"/>
      <c r="P76" s="48"/>
      <c r="Q76" s="49"/>
      <c r="R76" s="517"/>
      <c r="S76" s="688"/>
      <c r="T76" s="50"/>
      <c r="U76" s="50"/>
      <c r="V76" s="515"/>
      <c r="W76" s="526">
        <f t="shared" si="49"/>
        <v>0</v>
      </c>
      <c r="X76" s="180"/>
      <c r="Y76" s="180"/>
      <c r="Z76" s="124"/>
      <c r="AA76" s="124"/>
      <c r="AB76" s="673"/>
      <c r="AC76" s="673"/>
      <c r="AD76" s="513"/>
      <c r="AE76" s="513"/>
      <c r="AF76" s="48">
        <f t="shared" si="51"/>
        <v>0</v>
      </c>
      <c r="AG76" s="517" t="e">
        <f t="shared" si="52"/>
        <v>#DIV/0!</v>
      </c>
      <c r="AH76" s="688"/>
    </row>
    <row r="77" spans="1:34" ht="19.2" customHeight="1">
      <c r="A77" s="703"/>
      <c r="B77" s="515">
        <v>0</v>
      </c>
      <c r="C77" s="522"/>
      <c r="D77" s="42"/>
      <c r="E77" s="43"/>
      <c r="F77" s="343" t="s">
        <v>128</v>
      </c>
      <c r="G77" s="174"/>
      <c r="H77" s="45">
        <f t="shared" si="50"/>
        <v>0</v>
      </c>
      <c r="I77" s="513"/>
      <c r="J77" s="46"/>
      <c r="K77" s="174"/>
      <c r="L77" s="47"/>
      <c r="M77" s="524"/>
      <c r="N77" s="44"/>
      <c r="O77" s="47"/>
      <c r="P77" s="48"/>
      <c r="Q77" s="49"/>
      <c r="R77" s="517"/>
      <c r="S77" s="688"/>
      <c r="T77" s="50"/>
      <c r="U77" s="50"/>
      <c r="V77" s="515"/>
      <c r="W77" s="526">
        <f t="shared" si="49"/>
        <v>0</v>
      </c>
      <c r="X77" s="180"/>
      <c r="Y77" s="180"/>
      <c r="Z77" s="124"/>
      <c r="AA77" s="124"/>
      <c r="AB77" s="673"/>
      <c r="AC77" s="673"/>
      <c r="AD77" s="513"/>
      <c r="AE77" s="513"/>
      <c r="AF77" s="48">
        <f t="shared" si="51"/>
        <v>0</v>
      </c>
      <c r="AG77" s="517" t="e">
        <f t="shared" si="52"/>
        <v>#DIV/0!</v>
      </c>
      <c r="AH77" s="688"/>
    </row>
    <row r="78" spans="1:34" ht="19.2" customHeight="1">
      <c r="A78" s="703"/>
      <c r="B78" s="515">
        <v>0</v>
      </c>
      <c r="C78" s="522"/>
      <c r="D78" s="42"/>
      <c r="E78" s="43"/>
      <c r="F78" s="343" t="s">
        <v>128</v>
      </c>
      <c r="G78" s="57"/>
      <c r="H78" s="45">
        <f t="shared" si="50"/>
        <v>0</v>
      </c>
      <c r="I78" s="513"/>
      <c r="J78" s="87"/>
      <c r="K78" s="57"/>
      <c r="L78" s="86"/>
      <c r="M78" s="524"/>
      <c r="N78" s="44"/>
      <c r="O78" s="47"/>
      <c r="P78" s="48"/>
      <c r="Q78" s="49"/>
      <c r="R78" s="517"/>
      <c r="S78" s="688"/>
      <c r="T78" s="50"/>
      <c r="U78" s="50"/>
      <c r="V78" s="515"/>
      <c r="W78" s="526">
        <f t="shared" si="49"/>
        <v>0</v>
      </c>
      <c r="X78" s="180"/>
      <c r="Y78" s="180"/>
      <c r="Z78" s="124"/>
      <c r="AA78" s="124"/>
      <c r="AB78" s="673"/>
      <c r="AC78" s="673"/>
      <c r="AD78" s="513"/>
      <c r="AE78" s="513"/>
      <c r="AF78" s="48">
        <f t="shared" si="51"/>
        <v>0</v>
      </c>
      <c r="AG78" s="517" t="e">
        <f t="shared" si="52"/>
        <v>#DIV/0!</v>
      </c>
      <c r="AH78" s="688"/>
    </row>
    <row r="79" spans="1:34" ht="19.2" customHeight="1">
      <c r="A79" s="703"/>
      <c r="B79" s="515">
        <v>0</v>
      </c>
      <c r="C79" s="175"/>
      <c r="D79" s="176"/>
      <c r="E79" s="177"/>
      <c r="F79" s="343" t="s">
        <v>128</v>
      </c>
      <c r="G79" s="57"/>
      <c r="H79" s="45">
        <f t="shared" si="50"/>
        <v>0</v>
      </c>
      <c r="I79" s="513"/>
      <c r="J79" s="87"/>
      <c r="K79" s="57"/>
      <c r="L79" s="86"/>
      <c r="M79" s="524"/>
      <c r="N79" s="57"/>
      <c r="O79" s="181"/>
      <c r="P79" s="108"/>
      <c r="Q79" s="182"/>
      <c r="R79" s="109"/>
      <c r="S79" s="688"/>
      <c r="T79" s="50"/>
      <c r="U79" s="50"/>
      <c r="V79" s="515"/>
      <c r="W79" s="526">
        <f t="shared" si="49"/>
        <v>0</v>
      </c>
      <c r="X79" s="180"/>
      <c r="Y79" s="180"/>
      <c r="Z79" s="124"/>
      <c r="AA79" s="124"/>
      <c r="AB79" s="673"/>
      <c r="AC79" s="673"/>
      <c r="AD79" s="513"/>
      <c r="AE79" s="513"/>
      <c r="AF79" s="48">
        <f t="shared" si="51"/>
        <v>0</v>
      </c>
      <c r="AG79" s="517" t="e">
        <f t="shared" si="52"/>
        <v>#DIV/0!</v>
      </c>
      <c r="AH79" s="688"/>
    </row>
    <row r="80" spans="1:34" ht="19.2" customHeight="1">
      <c r="A80" s="703"/>
      <c r="B80" s="515">
        <v>0</v>
      </c>
      <c r="C80" s="522"/>
      <c r="D80" s="42"/>
      <c r="E80" s="43"/>
      <c r="F80" s="343"/>
      <c r="G80" s="57"/>
      <c r="H80" s="45">
        <f t="shared" si="50"/>
        <v>0</v>
      </c>
      <c r="I80" s="513"/>
      <c r="J80" s="87"/>
      <c r="K80" s="57"/>
      <c r="L80" s="86"/>
      <c r="M80" s="524"/>
      <c r="N80" s="57"/>
      <c r="O80" s="183"/>
      <c r="P80" s="54"/>
      <c r="Q80" s="88"/>
      <c r="R80" s="519"/>
      <c r="S80" s="688"/>
      <c r="T80" s="50"/>
      <c r="U80" s="50"/>
      <c r="V80" s="515"/>
      <c r="W80" s="526">
        <f t="shared" si="49"/>
        <v>0</v>
      </c>
      <c r="X80" s="180"/>
      <c r="Y80" s="180"/>
      <c r="Z80" s="124"/>
      <c r="AA80" s="124"/>
      <c r="AB80" s="673"/>
      <c r="AC80" s="673"/>
      <c r="AD80" s="513"/>
      <c r="AE80" s="513"/>
      <c r="AF80" s="48">
        <f t="shared" si="51"/>
        <v>0</v>
      </c>
      <c r="AG80" s="517" t="e">
        <f t="shared" si="52"/>
        <v>#DIV/0!</v>
      </c>
      <c r="AH80" s="688"/>
    </row>
    <row r="81" spans="1:34" ht="19.2" customHeight="1">
      <c r="A81" s="703"/>
      <c r="B81" s="515">
        <v>0</v>
      </c>
      <c r="C81" s="522"/>
      <c r="D81" s="42"/>
      <c r="E81" s="43"/>
      <c r="F81" s="350"/>
      <c r="G81" s="57"/>
      <c r="H81" s="84"/>
      <c r="I81" s="513"/>
      <c r="J81" s="87"/>
      <c r="K81" s="57"/>
      <c r="L81" s="86"/>
      <c r="M81" s="524"/>
      <c r="N81" s="57"/>
      <c r="O81" s="183"/>
      <c r="P81" s="54"/>
      <c r="Q81" s="88"/>
      <c r="R81" s="519"/>
      <c r="S81" s="688"/>
      <c r="T81" s="50"/>
      <c r="U81" s="50"/>
      <c r="V81" s="515"/>
      <c r="W81" s="526">
        <f t="shared" si="49"/>
        <v>0</v>
      </c>
      <c r="X81" s="180"/>
      <c r="Y81" s="180"/>
      <c r="Z81" s="124"/>
      <c r="AA81" s="124"/>
      <c r="AB81" s="673"/>
      <c r="AC81" s="673"/>
      <c r="AD81" s="513"/>
      <c r="AE81" s="513"/>
      <c r="AF81" s="48"/>
      <c r="AG81" s="125"/>
      <c r="AH81" s="688"/>
    </row>
    <row r="82" spans="1:34" ht="19.2" customHeight="1">
      <c r="A82" s="704"/>
      <c r="B82" s="168">
        <v>0</v>
      </c>
      <c r="C82" s="100" t="s">
        <v>601</v>
      </c>
      <c r="D82" s="669" t="s">
        <v>602</v>
      </c>
      <c r="E82" s="669"/>
      <c r="F82" s="353"/>
      <c r="G82" s="101"/>
      <c r="H82" s="102"/>
      <c r="I82" s="103"/>
      <c r="J82" s="101">
        <v>17.5</v>
      </c>
      <c r="K82" s="101">
        <v>1525.3333333333333</v>
      </c>
      <c r="L82" s="104">
        <v>87.333290333677326</v>
      </c>
      <c r="M82" s="101">
        <f t="shared" ref="M82:O82" si="53">AVERAGE(M70:M81)</f>
        <v>17.666666666666668</v>
      </c>
      <c r="N82" s="101">
        <f t="shared" si="53"/>
        <v>1338.1572825262572</v>
      </c>
      <c r="O82" s="184">
        <f t="shared" si="53"/>
        <v>75.968917813118068</v>
      </c>
      <c r="P82" s="116">
        <f>M82-J82</f>
        <v>0.16666666666666785</v>
      </c>
      <c r="Q82" s="117">
        <f>N82-K82</f>
        <v>-187.17605080707608</v>
      </c>
      <c r="R82" s="172">
        <f>O82/L82</f>
        <v>0.86987353302344383</v>
      </c>
      <c r="S82" s="688"/>
      <c r="T82" s="50"/>
      <c r="U82" s="50"/>
      <c r="V82" s="515"/>
      <c r="W82" s="44"/>
      <c r="X82" s="47"/>
      <c r="Y82" s="47"/>
      <c r="Z82" s="106">
        <f>SUM(Z70:Z81)</f>
        <v>0</v>
      </c>
      <c r="AA82" s="106">
        <f>SUM(AA70:AA81)</f>
        <v>0</v>
      </c>
      <c r="AB82" s="673"/>
      <c r="AC82" s="673"/>
      <c r="AD82" s="107">
        <f>SUM(AD70:AD81)</f>
        <v>2</v>
      </c>
      <c r="AE82" s="107">
        <f>SUM(AE70:AE81)</f>
        <v>0</v>
      </c>
      <c r="AF82" s="48">
        <f>N82-K82</f>
        <v>-187.17605080707608</v>
      </c>
      <c r="AG82" s="517">
        <f>N82/K82</f>
        <v>0.87728842822962672</v>
      </c>
      <c r="AH82" s="688"/>
    </row>
    <row r="83" spans="1:34" ht="19.2" customHeight="1">
      <c r="A83" s="696" t="s">
        <v>603</v>
      </c>
      <c r="B83" s="110" t="s">
        <v>123</v>
      </c>
      <c r="C83" s="66"/>
      <c r="D83" s="358" t="s">
        <v>179</v>
      </c>
      <c r="E83" s="43"/>
      <c r="F83" s="350">
        <v>61.02</v>
      </c>
      <c r="G83" s="57">
        <v>1877.6000000000001</v>
      </c>
      <c r="H83" s="84">
        <f t="shared" ref="H83:H94" si="54">F83*G83</f>
        <v>114571.15200000002</v>
      </c>
      <c r="I83" s="513"/>
      <c r="J83" s="87">
        <v>17</v>
      </c>
      <c r="K83" s="57">
        <v>1440</v>
      </c>
      <c r="L83" s="86">
        <v>84.705882352941174</v>
      </c>
      <c r="M83" s="524">
        <v>17</v>
      </c>
      <c r="N83" s="57">
        <f t="shared" ref="N83:N90" si="55">G83/W83*60</f>
        <v>1341.1428571428569</v>
      </c>
      <c r="O83" s="183">
        <f t="shared" ref="O83:O90" si="56">N83/M83</f>
        <v>78.890756302520998</v>
      </c>
      <c r="P83" s="54">
        <f t="shared" ref="P83:P90" si="57">M83-J83</f>
        <v>0</v>
      </c>
      <c r="Q83" s="88">
        <f t="shared" ref="Q83:Q90" si="58">O83-L83</f>
        <v>-5.8151260504201758</v>
      </c>
      <c r="R83" s="185">
        <f t="shared" ref="R83:R90" si="59">O83/L83</f>
        <v>0.93134920634920626</v>
      </c>
      <c r="S83" s="688">
        <f>R95</f>
        <v>0.88804132072926945</v>
      </c>
      <c r="T83" s="50">
        <v>0.33333333333333331</v>
      </c>
      <c r="U83" s="50">
        <v>0.39166666666666666</v>
      </c>
      <c r="V83" s="515">
        <v>5</v>
      </c>
      <c r="W83" s="526">
        <f t="shared" ref="W83:W93" si="60">(U83-T83)*24*60</f>
        <v>84.000000000000028</v>
      </c>
      <c r="X83" s="53"/>
      <c r="Y83" s="53"/>
      <c r="Z83" s="54"/>
      <c r="AA83" s="54"/>
      <c r="AB83" s="673"/>
      <c r="AC83" s="673"/>
      <c r="AD83" s="513"/>
      <c r="AE83" s="513"/>
      <c r="AF83" s="48">
        <f t="shared" ref="AF83:AF173" si="61">N83-K83</f>
        <v>-98.857142857143117</v>
      </c>
      <c r="AG83" s="517">
        <f t="shared" ref="AG83:AG173" si="62">N83/K83</f>
        <v>0.93134920634920615</v>
      </c>
      <c r="AH83" s="688">
        <f>AG95</f>
        <v>0.8857861696625603</v>
      </c>
    </row>
    <row r="84" spans="1:34" ht="19.2" customHeight="1">
      <c r="A84" s="697"/>
      <c r="B84" s="110" t="s">
        <v>124</v>
      </c>
      <c r="C84" s="522"/>
      <c r="D84" s="186" t="s">
        <v>195</v>
      </c>
      <c r="E84" s="43"/>
      <c r="F84" s="350">
        <v>50.67</v>
      </c>
      <c r="G84" s="44">
        <v>3314.5200000000004</v>
      </c>
      <c r="H84" s="84">
        <f t="shared" si="54"/>
        <v>167946.72840000002</v>
      </c>
      <c r="I84" s="515"/>
      <c r="J84" s="87">
        <v>19</v>
      </c>
      <c r="K84" s="57">
        <v>1500</v>
      </c>
      <c r="L84" s="86">
        <v>78.94736842105263</v>
      </c>
      <c r="M84" s="524">
        <v>19</v>
      </c>
      <c r="N84" s="57">
        <f t="shared" si="55"/>
        <v>1325.8080000000007</v>
      </c>
      <c r="O84" s="183">
        <f t="shared" si="56"/>
        <v>69.779368421052666</v>
      </c>
      <c r="P84" s="54">
        <f t="shared" si="57"/>
        <v>0</v>
      </c>
      <c r="Q84" s="88">
        <f t="shared" si="58"/>
        <v>-9.1679999999999637</v>
      </c>
      <c r="R84" s="185">
        <f t="shared" si="59"/>
        <v>0.88387200000000044</v>
      </c>
      <c r="S84" s="688"/>
      <c r="T84" s="50">
        <v>0.40694444444444444</v>
      </c>
      <c r="U84" s="50">
        <v>0.51111111111111107</v>
      </c>
      <c r="V84" s="515">
        <v>22</v>
      </c>
      <c r="W84" s="526">
        <f t="shared" si="60"/>
        <v>149.99999999999994</v>
      </c>
      <c r="X84" s="53">
        <v>0.39583333333333331</v>
      </c>
      <c r="Y84" s="53">
        <v>0.40625</v>
      </c>
      <c r="Z84" s="54"/>
      <c r="AA84" s="54"/>
      <c r="AB84" s="673"/>
      <c r="AC84" s="673"/>
      <c r="AD84" s="513"/>
      <c r="AE84" s="513"/>
      <c r="AF84" s="48">
        <f t="shared" si="61"/>
        <v>-174.19199999999933</v>
      </c>
      <c r="AG84" s="517">
        <f t="shared" si="62"/>
        <v>0.88387200000000044</v>
      </c>
      <c r="AH84" s="688"/>
    </row>
    <row r="85" spans="1:34" ht="19.2" customHeight="1">
      <c r="A85" s="697"/>
      <c r="B85" s="110" t="s">
        <v>123</v>
      </c>
      <c r="C85" s="122"/>
      <c r="D85" s="186" t="s">
        <v>192</v>
      </c>
      <c r="E85" s="43"/>
      <c r="F85" s="350">
        <v>61.09</v>
      </c>
      <c r="G85" s="44">
        <v>2201</v>
      </c>
      <c r="H85" s="84">
        <f t="shared" si="54"/>
        <v>134459.09</v>
      </c>
      <c r="I85" s="515"/>
      <c r="J85" s="87">
        <v>17</v>
      </c>
      <c r="K85" s="57">
        <v>1440</v>
      </c>
      <c r="L85" s="86">
        <v>84.705882352941174</v>
      </c>
      <c r="M85" s="524">
        <v>17</v>
      </c>
      <c r="N85" s="57">
        <f t="shared" si="55"/>
        <v>1294.7058823529419</v>
      </c>
      <c r="O85" s="183">
        <f t="shared" si="56"/>
        <v>76.159169550173047</v>
      </c>
      <c r="P85" s="54">
        <f t="shared" si="57"/>
        <v>0</v>
      </c>
      <c r="Q85" s="88">
        <f t="shared" si="58"/>
        <v>-8.5467128027681269</v>
      </c>
      <c r="R85" s="185">
        <f t="shared" si="59"/>
        <v>0.89910130718954295</v>
      </c>
      <c r="S85" s="688"/>
      <c r="T85" s="50">
        <v>0.55138888888888882</v>
      </c>
      <c r="U85" s="50">
        <v>0.62222222222222212</v>
      </c>
      <c r="V85" s="515">
        <v>5</v>
      </c>
      <c r="W85" s="526">
        <f t="shared" si="60"/>
        <v>101.99999999999996</v>
      </c>
      <c r="X85" s="53"/>
      <c r="Y85" s="53"/>
      <c r="Z85" s="54"/>
      <c r="AA85" s="54"/>
      <c r="AB85" s="673"/>
      <c r="AC85" s="673"/>
      <c r="AD85" s="513"/>
      <c r="AE85" s="513"/>
      <c r="AF85" s="48">
        <f t="shared" si="61"/>
        <v>-145.2941176470581</v>
      </c>
      <c r="AG85" s="517">
        <f t="shared" si="62"/>
        <v>0.89910130718954295</v>
      </c>
      <c r="AH85" s="688"/>
    </row>
    <row r="86" spans="1:34" ht="19.2" customHeight="1">
      <c r="A86" s="697"/>
      <c r="B86" s="110" t="s">
        <v>124</v>
      </c>
      <c r="C86" s="97"/>
      <c r="D86" s="186" t="s">
        <v>195</v>
      </c>
      <c r="E86" s="43"/>
      <c r="F86" s="350">
        <v>50.67</v>
      </c>
      <c r="G86" s="44">
        <v>777.48</v>
      </c>
      <c r="H86" s="84">
        <f t="shared" si="54"/>
        <v>39394.911599999999</v>
      </c>
      <c r="I86" s="515"/>
      <c r="J86" s="87">
        <v>19</v>
      </c>
      <c r="K86" s="57">
        <v>1500</v>
      </c>
      <c r="L86" s="86">
        <v>78.94736842105263</v>
      </c>
      <c r="M86" s="524">
        <v>19</v>
      </c>
      <c r="N86" s="57">
        <f t="shared" si="55"/>
        <v>1332.8228571428558</v>
      </c>
      <c r="O86" s="183">
        <f t="shared" si="56"/>
        <v>70.148571428571358</v>
      </c>
      <c r="P86" s="54">
        <f t="shared" si="57"/>
        <v>0</v>
      </c>
      <c r="Q86" s="88">
        <f t="shared" si="58"/>
        <v>-8.7987969924812717</v>
      </c>
      <c r="R86" s="185">
        <f t="shared" si="59"/>
        <v>0.88854857142857058</v>
      </c>
      <c r="S86" s="688"/>
      <c r="T86" s="50">
        <v>0.62708333333333321</v>
      </c>
      <c r="U86" s="50">
        <v>0.6513888888888888</v>
      </c>
      <c r="V86" s="515">
        <v>7</v>
      </c>
      <c r="W86" s="526">
        <f t="shared" si="60"/>
        <v>35.000000000000036</v>
      </c>
      <c r="X86" s="53"/>
      <c r="Y86" s="53"/>
      <c r="Z86" s="54"/>
      <c r="AA86" s="54"/>
      <c r="AB86" s="673"/>
      <c r="AC86" s="673"/>
      <c r="AD86" s="513"/>
      <c r="AE86" s="513"/>
      <c r="AF86" s="48">
        <f t="shared" si="61"/>
        <v>-167.17714285714419</v>
      </c>
      <c r="AG86" s="517">
        <f t="shared" si="62"/>
        <v>0.88854857142857058</v>
      </c>
      <c r="AH86" s="688"/>
    </row>
    <row r="87" spans="1:34" ht="19.2" customHeight="1">
      <c r="A87" s="697"/>
      <c r="B87" s="110" t="s">
        <v>123</v>
      </c>
      <c r="C87" s="97"/>
      <c r="D87" s="186" t="s">
        <v>179</v>
      </c>
      <c r="E87" s="43"/>
      <c r="F87" s="350">
        <v>61.02</v>
      </c>
      <c r="G87" s="44">
        <v>469.40000000000003</v>
      </c>
      <c r="H87" s="84">
        <f t="shared" si="54"/>
        <v>28642.788000000004</v>
      </c>
      <c r="I87" s="515">
        <v>1</v>
      </c>
      <c r="J87" s="87">
        <v>17</v>
      </c>
      <c r="K87" s="57">
        <v>1440</v>
      </c>
      <c r="L87" s="86">
        <v>84.705882352941174</v>
      </c>
      <c r="M87" s="524">
        <v>17</v>
      </c>
      <c r="N87" s="57">
        <f t="shared" si="55"/>
        <v>1341.1428571428619</v>
      </c>
      <c r="O87" s="183">
        <f t="shared" si="56"/>
        <v>78.890756302521282</v>
      </c>
      <c r="P87" s="54">
        <f t="shared" si="57"/>
        <v>0</v>
      </c>
      <c r="Q87" s="88">
        <f t="shared" si="58"/>
        <v>-5.8151260504198916</v>
      </c>
      <c r="R87" s="185">
        <f t="shared" si="59"/>
        <v>0.93134920634920959</v>
      </c>
      <c r="S87" s="688"/>
      <c r="T87" s="50">
        <v>0.66736111111111107</v>
      </c>
      <c r="U87" s="50">
        <v>0.68194444444444435</v>
      </c>
      <c r="V87" s="515">
        <v>23</v>
      </c>
      <c r="W87" s="526">
        <f t="shared" si="60"/>
        <v>20.999999999999925</v>
      </c>
      <c r="X87" s="53">
        <v>0.65625</v>
      </c>
      <c r="Y87" s="53">
        <v>0.66666666666666663</v>
      </c>
      <c r="Z87" s="54"/>
      <c r="AA87" s="54"/>
      <c r="AB87" s="673"/>
      <c r="AC87" s="673"/>
      <c r="AD87" s="513"/>
      <c r="AE87" s="513"/>
      <c r="AF87" s="48">
        <f t="shared" si="61"/>
        <v>-98.857142857138115</v>
      </c>
      <c r="AG87" s="517">
        <f t="shared" si="62"/>
        <v>0.93134920634920959</v>
      </c>
      <c r="AH87" s="688"/>
    </row>
    <row r="88" spans="1:34" ht="19.2" customHeight="1">
      <c r="A88" s="697"/>
      <c r="B88" s="110" t="s">
        <v>122</v>
      </c>
      <c r="C88" s="522"/>
      <c r="D88" s="186" t="s">
        <v>55</v>
      </c>
      <c r="E88" s="43"/>
      <c r="F88" s="350">
        <v>37.799999999999997</v>
      </c>
      <c r="G88" s="57">
        <v>693.36</v>
      </c>
      <c r="H88" s="84">
        <f t="shared" si="54"/>
        <v>26209.007999999998</v>
      </c>
      <c r="I88" s="515">
        <v>1</v>
      </c>
      <c r="J88" s="87">
        <v>20</v>
      </c>
      <c r="K88" s="57">
        <v>2769</v>
      </c>
      <c r="L88" s="86">
        <v>138.44999999999999</v>
      </c>
      <c r="M88" s="524">
        <v>20</v>
      </c>
      <c r="N88" s="57">
        <f t="shared" si="55"/>
        <v>2311.2000000000085</v>
      </c>
      <c r="O88" s="183">
        <f t="shared" si="56"/>
        <v>115.56000000000043</v>
      </c>
      <c r="P88" s="54">
        <f t="shared" si="57"/>
        <v>0</v>
      </c>
      <c r="Q88" s="88">
        <f t="shared" si="58"/>
        <v>-22.88999999999956</v>
      </c>
      <c r="R88" s="185">
        <f t="shared" si="59"/>
        <v>0.83466955579631952</v>
      </c>
      <c r="S88" s="688"/>
      <c r="T88" s="50">
        <v>0.68680555555555545</v>
      </c>
      <c r="U88" s="50">
        <v>0.6993055555555554</v>
      </c>
      <c r="V88" s="515">
        <v>7</v>
      </c>
      <c r="W88" s="526">
        <f t="shared" si="60"/>
        <v>17.999999999999936</v>
      </c>
      <c r="X88" s="53"/>
      <c r="Y88" s="53"/>
      <c r="Z88" s="54"/>
      <c r="AA88" s="54"/>
      <c r="AB88" s="673"/>
      <c r="AC88" s="673"/>
      <c r="AD88" s="513"/>
      <c r="AE88" s="513"/>
      <c r="AF88" s="48">
        <f t="shared" si="61"/>
        <v>-457.79999999999154</v>
      </c>
      <c r="AG88" s="517">
        <f t="shared" si="62"/>
        <v>0.83466955579631941</v>
      </c>
      <c r="AH88" s="688"/>
    </row>
    <row r="89" spans="1:34" ht="19.2" customHeight="1">
      <c r="A89" s="697"/>
      <c r="B89" s="110" t="s">
        <v>122</v>
      </c>
      <c r="C89" s="522"/>
      <c r="D89" s="42" t="s">
        <v>52</v>
      </c>
      <c r="E89" s="43"/>
      <c r="F89" s="350">
        <v>37.83</v>
      </c>
      <c r="G89" s="114">
        <v>2181.7600000000002</v>
      </c>
      <c r="H89" s="84">
        <f t="shared" si="54"/>
        <v>82535.980800000005</v>
      </c>
      <c r="I89" s="515">
        <v>1</v>
      </c>
      <c r="J89" s="87">
        <v>20</v>
      </c>
      <c r="K89" s="57">
        <v>2400</v>
      </c>
      <c r="L89" s="86">
        <v>120</v>
      </c>
      <c r="M89" s="524">
        <v>20</v>
      </c>
      <c r="N89" s="57">
        <f t="shared" si="55"/>
        <v>2256.9931034482779</v>
      </c>
      <c r="O89" s="183">
        <f t="shared" si="56"/>
        <v>112.84965517241389</v>
      </c>
      <c r="P89" s="54">
        <f t="shared" si="57"/>
        <v>0</v>
      </c>
      <c r="Q89" s="88">
        <f t="shared" si="58"/>
        <v>-7.1503448275861103</v>
      </c>
      <c r="R89" s="185">
        <f t="shared" si="59"/>
        <v>0.94041379310344908</v>
      </c>
      <c r="S89" s="688"/>
      <c r="T89" s="50">
        <v>0.70486111111111094</v>
      </c>
      <c r="U89" s="50">
        <v>0.74513888888888868</v>
      </c>
      <c r="V89" s="515">
        <v>8</v>
      </c>
      <c r="W89" s="526">
        <f t="shared" si="60"/>
        <v>57.999999999999957</v>
      </c>
      <c r="X89" s="53"/>
      <c r="Y89" s="53"/>
      <c r="Z89" s="54"/>
      <c r="AA89" s="54"/>
      <c r="AB89" s="673"/>
      <c r="AC89" s="673"/>
      <c r="AD89" s="513"/>
      <c r="AE89" s="513">
        <v>1</v>
      </c>
      <c r="AF89" s="48">
        <f t="shared" si="61"/>
        <v>-143.00689655172209</v>
      </c>
      <c r="AG89" s="517">
        <f t="shared" si="62"/>
        <v>0.94041379310344908</v>
      </c>
      <c r="AH89" s="688"/>
    </row>
    <row r="90" spans="1:34" ht="19.2" customHeight="1">
      <c r="A90" s="697"/>
      <c r="B90" s="110" t="s">
        <v>127</v>
      </c>
      <c r="C90" s="522"/>
      <c r="D90" s="42" t="s">
        <v>604</v>
      </c>
      <c r="E90" s="43"/>
      <c r="F90" s="350">
        <v>54.5</v>
      </c>
      <c r="G90" s="127">
        <v>1550.2099999999998</v>
      </c>
      <c r="H90" s="84">
        <f t="shared" si="54"/>
        <v>84486.444999999992</v>
      </c>
      <c r="I90" s="187"/>
      <c r="J90" s="87">
        <v>21</v>
      </c>
      <c r="K90" s="57">
        <v>1440</v>
      </c>
      <c r="L90" s="86">
        <v>68.571428571428569</v>
      </c>
      <c r="M90" s="524">
        <v>21</v>
      </c>
      <c r="N90" s="57">
        <f t="shared" si="55"/>
        <v>1134.2999999999995</v>
      </c>
      <c r="O90" s="183">
        <f t="shared" si="56"/>
        <v>54.014285714285691</v>
      </c>
      <c r="P90" s="54">
        <f t="shared" si="57"/>
        <v>0</v>
      </c>
      <c r="Q90" s="88">
        <f t="shared" si="58"/>
        <v>-14.557142857142878</v>
      </c>
      <c r="R90" s="185">
        <f t="shared" si="59"/>
        <v>0.78770833333333301</v>
      </c>
      <c r="S90" s="688"/>
      <c r="T90" s="50">
        <v>0.74999999999999978</v>
      </c>
      <c r="U90" s="50">
        <v>0.80694444444444424</v>
      </c>
      <c r="V90" s="515">
        <v>7</v>
      </c>
      <c r="W90" s="526">
        <f t="shared" si="60"/>
        <v>82.000000000000028</v>
      </c>
      <c r="X90" s="188"/>
      <c r="Y90" s="188"/>
      <c r="Z90" s="54"/>
      <c r="AA90" s="54"/>
      <c r="AB90" s="673"/>
      <c r="AC90" s="673"/>
      <c r="AD90" s="513"/>
      <c r="AE90" s="513">
        <v>2</v>
      </c>
      <c r="AF90" s="48">
        <f t="shared" si="61"/>
        <v>-305.7000000000005</v>
      </c>
      <c r="AG90" s="517">
        <f t="shared" si="62"/>
        <v>0.78770833333333301</v>
      </c>
      <c r="AH90" s="688"/>
    </row>
    <row r="91" spans="1:34" ht="19.2" customHeight="1">
      <c r="A91" s="697"/>
      <c r="B91" s="110">
        <v>0</v>
      </c>
      <c r="C91" s="522"/>
      <c r="D91" s="42"/>
      <c r="E91" s="43"/>
      <c r="F91" s="350" t="s">
        <v>128</v>
      </c>
      <c r="G91" s="44"/>
      <c r="H91" s="84">
        <f t="shared" si="54"/>
        <v>0</v>
      </c>
      <c r="I91" s="189"/>
      <c r="J91" s="87"/>
      <c r="K91" s="57"/>
      <c r="L91" s="86"/>
      <c r="M91" s="524"/>
      <c r="N91" s="57"/>
      <c r="O91" s="183"/>
      <c r="P91" s="54"/>
      <c r="Q91" s="88"/>
      <c r="R91" s="185"/>
      <c r="S91" s="689"/>
      <c r="T91" s="50"/>
      <c r="U91" s="50"/>
      <c r="V91" s="515"/>
      <c r="W91" s="526">
        <f t="shared" si="60"/>
        <v>0</v>
      </c>
      <c r="X91" s="115"/>
      <c r="Y91" s="115"/>
      <c r="Z91" s="54"/>
      <c r="AA91" s="54"/>
      <c r="AB91" s="673"/>
      <c r="AC91" s="673"/>
      <c r="AD91" s="513"/>
      <c r="AE91" s="513"/>
      <c r="AF91" s="48">
        <f t="shared" si="61"/>
        <v>0</v>
      </c>
      <c r="AG91" s="517" t="e">
        <f t="shared" si="62"/>
        <v>#DIV/0!</v>
      </c>
      <c r="AH91" s="689"/>
    </row>
    <row r="92" spans="1:34" ht="19.2" customHeight="1">
      <c r="A92" s="697"/>
      <c r="B92" s="110">
        <v>0</v>
      </c>
      <c r="C92" s="522"/>
      <c r="D92" s="42"/>
      <c r="E92" s="43"/>
      <c r="F92" s="350" t="s">
        <v>128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520"/>
      <c r="S92" s="689"/>
      <c r="T92" s="50"/>
      <c r="U92" s="50"/>
      <c r="V92" s="515"/>
      <c r="W92" s="526">
        <f t="shared" si="60"/>
        <v>0</v>
      </c>
      <c r="X92" s="180"/>
      <c r="Y92" s="180"/>
      <c r="Z92" s="124"/>
      <c r="AA92" s="124"/>
      <c r="AB92" s="673"/>
      <c r="AC92" s="673"/>
      <c r="AD92" s="513"/>
      <c r="AE92" s="513"/>
      <c r="AF92" s="48">
        <f t="shared" si="61"/>
        <v>0</v>
      </c>
      <c r="AG92" s="517" t="e">
        <f t="shared" si="62"/>
        <v>#DIV/0!</v>
      </c>
      <c r="AH92" s="689"/>
    </row>
    <row r="93" spans="1:34" ht="19.2" customHeight="1">
      <c r="A93" s="697"/>
      <c r="B93" s="528">
        <v>0</v>
      </c>
      <c r="C93" s="195"/>
      <c r="D93" s="59"/>
      <c r="E93" s="60"/>
      <c r="F93" s="350" t="s">
        <v>128</v>
      </c>
      <c r="G93" s="44"/>
      <c r="H93" s="84">
        <f t="shared" si="54"/>
        <v>0</v>
      </c>
      <c r="I93" s="196"/>
      <c r="J93" s="87"/>
      <c r="K93" s="57"/>
      <c r="L93" s="192"/>
      <c r="M93" s="524"/>
      <c r="N93" s="57"/>
      <c r="O93" s="86"/>
      <c r="P93" s="54"/>
      <c r="Q93" s="88"/>
      <c r="R93" s="514"/>
      <c r="S93" s="698"/>
      <c r="T93" s="63"/>
      <c r="U93" s="63"/>
      <c r="V93" s="528"/>
      <c r="W93" s="526">
        <f t="shared" si="60"/>
        <v>0</v>
      </c>
      <c r="X93" s="197"/>
      <c r="Y93" s="197"/>
      <c r="Z93" s="124"/>
      <c r="AA93" s="124"/>
      <c r="AB93" s="673"/>
      <c r="AC93" s="673"/>
      <c r="AD93" s="513"/>
      <c r="AE93" s="513"/>
      <c r="AF93" s="48">
        <f t="shared" si="61"/>
        <v>0</v>
      </c>
      <c r="AG93" s="517" t="e">
        <f t="shared" si="62"/>
        <v>#DIV/0!</v>
      </c>
      <c r="AH93" s="689"/>
    </row>
    <row r="94" spans="1:34" ht="19.2" customHeight="1">
      <c r="A94" s="697"/>
      <c r="B94" s="528">
        <v>0</v>
      </c>
      <c r="C94" s="195"/>
      <c r="D94" s="42"/>
      <c r="E94" s="43"/>
      <c r="F94" s="350" t="s">
        <v>128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514"/>
      <c r="S94" s="698"/>
      <c r="T94" s="63"/>
      <c r="U94" s="63"/>
      <c r="V94" s="528"/>
      <c r="W94" s="526">
        <f>(U94-T94)*24*60</f>
        <v>0</v>
      </c>
      <c r="X94" s="197"/>
      <c r="Y94" s="197"/>
      <c r="Z94" s="124"/>
      <c r="AA94" s="124"/>
      <c r="AB94" s="673"/>
      <c r="AC94" s="673"/>
      <c r="AD94" s="513"/>
      <c r="AE94" s="513"/>
      <c r="AF94" s="48">
        <f t="shared" si="61"/>
        <v>0</v>
      </c>
      <c r="AG94" s="517" t="e">
        <f t="shared" si="62"/>
        <v>#DIV/0!</v>
      </c>
      <c r="AH94" s="689"/>
    </row>
    <row r="95" spans="1:34" ht="19.2" customHeight="1">
      <c r="A95" s="697"/>
      <c r="B95" s="200">
        <v>0</v>
      </c>
      <c r="C95" s="100" t="s">
        <v>605</v>
      </c>
      <c r="D95" s="669" t="s">
        <v>606</v>
      </c>
      <c r="E95" s="669"/>
      <c r="F95" s="344"/>
      <c r="G95" s="70"/>
      <c r="H95" s="201"/>
      <c r="I95" s="103"/>
      <c r="J95" s="202">
        <v>18.75</v>
      </c>
      <c r="K95" s="202">
        <v>1741.125</v>
      </c>
      <c r="L95" s="203">
        <v>92.379226559044668</v>
      </c>
      <c r="M95" s="202">
        <f t="shared" ref="M95:O95" si="63">AVERAGE(M83:M94)</f>
        <v>18.75</v>
      </c>
      <c r="N95" s="202">
        <f t="shared" si="63"/>
        <v>1542.2644446537254</v>
      </c>
      <c r="O95" s="203">
        <f t="shared" si="63"/>
        <v>82.036570361442429</v>
      </c>
      <c r="P95" s="204">
        <f>M95-J95</f>
        <v>0</v>
      </c>
      <c r="Q95" s="205">
        <f t="shared" ref="Q95:Q105" si="64">O95-L95</f>
        <v>-10.342656197602238</v>
      </c>
      <c r="R95" s="206">
        <f>O95/L95</f>
        <v>0.88804132072926945</v>
      </c>
      <c r="S95" s="689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673"/>
      <c r="AC95" s="673"/>
      <c r="AD95" s="107">
        <f>SUM(AD83:AD94)</f>
        <v>0</v>
      </c>
      <c r="AE95" s="107">
        <f>SUM(AE83:AE94)</f>
        <v>3</v>
      </c>
      <c r="AF95" s="65">
        <f t="shared" si="61"/>
        <v>-198.86055534627462</v>
      </c>
      <c r="AG95" s="518">
        <f t="shared" si="62"/>
        <v>0.8857861696625603</v>
      </c>
      <c r="AH95" s="689"/>
    </row>
    <row r="96" spans="1:34" ht="19.2" customHeight="1">
      <c r="A96" s="699" t="s">
        <v>607</v>
      </c>
      <c r="B96" s="515" t="s">
        <v>125</v>
      </c>
      <c r="C96" s="97"/>
      <c r="D96" s="42" t="s">
        <v>200</v>
      </c>
      <c r="E96" s="43"/>
      <c r="F96" s="343">
        <v>29.46</v>
      </c>
      <c r="G96" s="44">
        <v>1688</v>
      </c>
      <c r="H96" s="45">
        <f t="shared" ref="H96:H105" si="65">F96*G96</f>
        <v>49728.480000000003</v>
      </c>
      <c r="I96" s="515"/>
      <c r="J96" s="46">
        <v>16</v>
      </c>
      <c r="K96" s="44">
        <v>1385</v>
      </c>
      <c r="L96" s="47">
        <v>86.5625</v>
      </c>
      <c r="M96" s="527">
        <v>16</v>
      </c>
      <c r="N96" s="44">
        <f t="shared" ref="N96:N105" si="66">G96/W96*60</f>
        <v>1137.9775280898875</v>
      </c>
      <c r="O96" s="47">
        <f t="shared" ref="O96:O105" si="67">N96/M96</f>
        <v>71.123595505617971</v>
      </c>
      <c r="P96" s="48">
        <f t="shared" ref="P96:P105" si="68">M96-J96</f>
        <v>0</v>
      </c>
      <c r="Q96" s="49">
        <f t="shared" si="64"/>
        <v>-15.438904494382029</v>
      </c>
      <c r="R96" s="517">
        <f t="shared" ref="R96:R105" si="69">O96/L96</f>
        <v>0.82164442461363718</v>
      </c>
      <c r="S96" s="688">
        <f>R108</f>
        <v>0.86338700706039739</v>
      </c>
      <c r="T96" s="89">
        <v>0.33333333333333331</v>
      </c>
      <c r="U96" s="89">
        <v>0.39513888888888887</v>
      </c>
      <c r="V96" s="513">
        <v>5</v>
      </c>
      <c r="W96" s="90">
        <f t="shared" ref="W96:W133" si="70">(U96-T96)*24*60</f>
        <v>89</v>
      </c>
      <c r="X96" s="96"/>
      <c r="Y96" s="96"/>
      <c r="Z96" s="54"/>
      <c r="AA96" s="54"/>
      <c r="AB96" s="673"/>
      <c r="AC96" s="673"/>
      <c r="AD96" s="513"/>
      <c r="AE96" s="513"/>
      <c r="AF96" s="54">
        <f t="shared" si="61"/>
        <v>-247.02247191011247</v>
      </c>
      <c r="AG96" s="514">
        <f t="shared" si="62"/>
        <v>0.82164442461363718</v>
      </c>
      <c r="AH96" s="672">
        <f>AG108</f>
        <v>0.86445687802248539</v>
      </c>
    </row>
    <row r="97" spans="1:34" s="215" customFormat="1" ht="19.2" customHeight="1">
      <c r="A97" s="699"/>
      <c r="B97" s="515" t="s">
        <v>125</v>
      </c>
      <c r="C97" s="207"/>
      <c r="D97" s="208" t="s">
        <v>63</v>
      </c>
      <c r="E97" s="56"/>
      <c r="F97" s="354">
        <v>29.113149847094796</v>
      </c>
      <c r="G97" s="209">
        <v>2944.8</v>
      </c>
      <c r="H97" s="210">
        <f t="shared" si="65"/>
        <v>85732.403669724765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1308.8000000000002</v>
      </c>
      <c r="O97" s="47">
        <f t="shared" si="67"/>
        <v>65.440000000000012</v>
      </c>
      <c r="P97" s="48">
        <f t="shared" si="68"/>
        <v>0</v>
      </c>
      <c r="Q97" s="49">
        <f t="shared" si="64"/>
        <v>-3.8099999999999881</v>
      </c>
      <c r="R97" s="517">
        <f t="shared" si="69"/>
        <v>0.94498194945848391</v>
      </c>
      <c r="S97" s="688"/>
      <c r="T97" s="211">
        <v>0.41041666666666665</v>
      </c>
      <c r="U97" s="211">
        <v>0.50416666666666665</v>
      </c>
      <c r="V97" s="212">
        <v>22</v>
      </c>
      <c r="W97" s="90">
        <f t="shared" si="70"/>
        <v>135</v>
      </c>
      <c r="X97" s="53">
        <v>0.39930555555555558</v>
      </c>
      <c r="Y97" s="53">
        <v>0.40972222222222227</v>
      </c>
      <c r="Z97" s="54"/>
      <c r="AA97" s="54"/>
      <c r="AB97" s="673"/>
      <c r="AC97" s="673"/>
      <c r="AD97" s="212"/>
      <c r="AE97" s="212"/>
      <c r="AF97" s="213">
        <f t="shared" si="61"/>
        <v>-76.199999999999818</v>
      </c>
      <c r="AG97" s="214">
        <f t="shared" si="62"/>
        <v>0.94498194945848391</v>
      </c>
      <c r="AH97" s="672"/>
    </row>
    <row r="98" spans="1:34" s="218" customFormat="1" ht="19.2" customHeight="1">
      <c r="A98" s="699"/>
      <c r="B98" s="515" t="s">
        <v>123</v>
      </c>
      <c r="C98" s="55"/>
      <c r="D98" s="42" t="s">
        <v>171</v>
      </c>
      <c r="E98" s="83"/>
      <c r="F98" s="354">
        <v>77.349999999999994</v>
      </c>
      <c r="G98" s="57">
        <v>285</v>
      </c>
      <c r="H98" s="210">
        <f t="shared" si="65"/>
        <v>22044.75</v>
      </c>
      <c r="I98" s="513"/>
      <c r="J98" s="46">
        <v>19</v>
      </c>
      <c r="K98" s="44">
        <v>1440</v>
      </c>
      <c r="L98" s="47">
        <v>75.78947368421052</v>
      </c>
      <c r="M98" s="87">
        <v>19</v>
      </c>
      <c r="N98" s="44">
        <f t="shared" si="66"/>
        <v>1068.7500000000039</v>
      </c>
      <c r="O98" s="47">
        <f t="shared" si="67"/>
        <v>56.250000000000206</v>
      </c>
      <c r="P98" s="48">
        <f t="shared" si="68"/>
        <v>0</v>
      </c>
      <c r="Q98" s="49">
        <f t="shared" si="64"/>
        <v>-19.539473684210314</v>
      </c>
      <c r="R98" s="517">
        <f t="shared" si="69"/>
        <v>0.74218750000000278</v>
      </c>
      <c r="S98" s="688"/>
      <c r="T98" s="89">
        <v>0.5444444444444444</v>
      </c>
      <c r="U98" s="89">
        <v>0.55555555555555547</v>
      </c>
      <c r="V98" s="513">
        <v>5</v>
      </c>
      <c r="W98" s="90">
        <f t="shared" si="70"/>
        <v>15.999999999999943</v>
      </c>
      <c r="X98" s="216"/>
      <c r="Y98" s="216"/>
      <c r="Z98" s="217"/>
      <c r="AA98" s="217"/>
      <c r="AB98" s="673"/>
      <c r="AC98" s="673"/>
      <c r="AD98" s="513"/>
      <c r="AE98" s="513"/>
      <c r="AF98" s="54">
        <f t="shared" si="61"/>
        <v>-371.24999999999613</v>
      </c>
      <c r="AG98" s="514">
        <f t="shared" si="62"/>
        <v>0.74218750000000266</v>
      </c>
      <c r="AH98" s="672"/>
    </row>
    <row r="99" spans="1:34" ht="19.2" customHeight="1">
      <c r="A99" s="699"/>
      <c r="B99" s="515" t="s">
        <v>123</v>
      </c>
      <c r="C99" s="81"/>
      <c r="D99" s="82" t="s">
        <v>57</v>
      </c>
      <c r="E99" s="83"/>
      <c r="F99" s="354">
        <v>77.34</v>
      </c>
      <c r="G99" s="57">
        <v>790</v>
      </c>
      <c r="H99" s="210">
        <f t="shared" si="65"/>
        <v>61098.600000000006</v>
      </c>
      <c r="I99" s="513"/>
      <c r="J99" s="46">
        <v>18</v>
      </c>
      <c r="K99" s="44">
        <v>1440</v>
      </c>
      <c r="L99" s="47">
        <v>80</v>
      </c>
      <c r="M99" s="527">
        <v>18</v>
      </c>
      <c r="N99" s="44">
        <f t="shared" si="66"/>
        <v>1281.0810810810801</v>
      </c>
      <c r="O99" s="47">
        <f t="shared" si="67"/>
        <v>71.171171171171125</v>
      </c>
      <c r="P99" s="48">
        <f t="shared" si="68"/>
        <v>0</v>
      </c>
      <c r="Q99" s="49">
        <f t="shared" si="64"/>
        <v>-8.8288288288288754</v>
      </c>
      <c r="R99" s="517">
        <f t="shared" si="69"/>
        <v>0.8896396396396391</v>
      </c>
      <c r="S99" s="688"/>
      <c r="T99" s="89">
        <v>0.56041666666666656</v>
      </c>
      <c r="U99" s="89">
        <v>0.58611111111111103</v>
      </c>
      <c r="V99" s="513">
        <v>7</v>
      </c>
      <c r="W99" s="90">
        <f t="shared" si="70"/>
        <v>37.000000000000028</v>
      </c>
      <c r="X99" s="180"/>
      <c r="Y99" s="180"/>
      <c r="Z99" s="124"/>
      <c r="AA99" s="124"/>
      <c r="AB99" s="673"/>
      <c r="AC99" s="673"/>
      <c r="AD99" s="513"/>
      <c r="AE99" s="513"/>
      <c r="AF99" s="213">
        <f t="shared" si="61"/>
        <v>-158.91891891891987</v>
      </c>
      <c r="AG99" s="214">
        <f t="shared" si="62"/>
        <v>0.88963963963963899</v>
      </c>
      <c r="AH99" s="672"/>
    </row>
    <row r="100" spans="1:34" s="218" customFormat="1" ht="19.2" customHeight="1">
      <c r="A100" s="699"/>
      <c r="B100" s="515" t="s">
        <v>127</v>
      </c>
      <c r="C100" s="55"/>
      <c r="D100" s="42" t="s">
        <v>209</v>
      </c>
      <c r="E100" s="83"/>
      <c r="F100" s="354">
        <v>51.44</v>
      </c>
      <c r="G100" s="57">
        <v>1679</v>
      </c>
      <c r="H100" s="210">
        <f t="shared" si="65"/>
        <v>86367.76</v>
      </c>
      <c r="I100" s="513"/>
      <c r="J100" s="46">
        <v>20</v>
      </c>
      <c r="K100" s="44">
        <v>1440</v>
      </c>
      <c r="L100" s="47">
        <v>72</v>
      </c>
      <c r="M100" s="87">
        <v>20</v>
      </c>
      <c r="N100" s="44">
        <f t="shared" si="66"/>
        <v>1259.2499999999995</v>
      </c>
      <c r="O100" s="47">
        <f t="shared" si="67"/>
        <v>62.962499999999977</v>
      </c>
      <c r="P100" s="48">
        <f t="shared" si="68"/>
        <v>0</v>
      </c>
      <c r="Q100" s="49">
        <f t="shared" si="64"/>
        <v>-9.0375000000000227</v>
      </c>
      <c r="R100" s="517">
        <f t="shared" si="69"/>
        <v>0.87447916666666636</v>
      </c>
      <c r="S100" s="688"/>
      <c r="T100" s="211">
        <v>0.59097222222222212</v>
      </c>
      <c r="U100" s="211">
        <v>0.6465277777777777</v>
      </c>
      <c r="V100" s="212">
        <v>7</v>
      </c>
      <c r="W100" s="90">
        <f t="shared" si="70"/>
        <v>80.000000000000028</v>
      </c>
      <c r="X100" s="219"/>
      <c r="Y100" s="219"/>
      <c r="Z100" s="217"/>
      <c r="AA100" s="217"/>
      <c r="AB100" s="673"/>
      <c r="AC100" s="673"/>
      <c r="AD100" s="513"/>
      <c r="AE100" s="513"/>
      <c r="AF100" s="54">
        <f t="shared" si="61"/>
        <v>-180.75000000000045</v>
      </c>
      <c r="AG100" s="514">
        <f t="shared" si="62"/>
        <v>0.87447916666666636</v>
      </c>
      <c r="AH100" s="672"/>
    </row>
    <row r="101" spans="1:34" s="218" customFormat="1" ht="19.2" customHeight="1">
      <c r="A101" s="699"/>
      <c r="B101" s="515" t="s">
        <v>125</v>
      </c>
      <c r="C101" s="55"/>
      <c r="D101" s="82" t="s">
        <v>63</v>
      </c>
      <c r="E101" s="83"/>
      <c r="F101" s="354">
        <v>29.113149847094796</v>
      </c>
      <c r="G101" s="57">
        <v>736.2</v>
      </c>
      <c r="H101" s="210">
        <f t="shared" si="65"/>
        <v>21433.100917431191</v>
      </c>
      <c r="I101" s="513">
        <v>1</v>
      </c>
      <c r="J101" s="46">
        <v>20</v>
      </c>
      <c r="K101" s="44">
        <v>1385</v>
      </c>
      <c r="L101" s="47">
        <v>69.25</v>
      </c>
      <c r="M101" s="87">
        <v>20</v>
      </c>
      <c r="N101" s="44">
        <f t="shared" si="66"/>
        <v>1262.0571428571416</v>
      </c>
      <c r="O101" s="47">
        <f t="shared" si="67"/>
        <v>63.102857142857076</v>
      </c>
      <c r="P101" s="48">
        <f t="shared" si="68"/>
        <v>0</v>
      </c>
      <c r="Q101" s="49">
        <f t="shared" si="64"/>
        <v>-6.1471428571429243</v>
      </c>
      <c r="R101" s="517">
        <f t="shared" si="69"/>
        <v>0.91123259412067981</v>
      </c>
      <c r="S101" s="688"/>
      <c r="T101" s="211">
        <v>0.66249999999999987</v>
      </c>
      <c r="U101" s="89">
        <v>0.68680555555555545</v>
      </c>
      <c r="V101" s="212">
        <v>23</v>
      </c>
      <c r="W101" s="90">
        <f t="shared" si="70"/>
        <v>35.000000000000036</v>
      </c>
      <c r="X101" s="220">
        <v>0.65138888888888891</v>
      </c>
      <c r="Y101" s="220">
        <v>0.66111111111111109</v>
      </c>
      <c r="Z101" s="217"/>
      <c r="AA101" s="217"/>
      <c r="AB101" s="673"/>
      <c r="AC101" s="673"/>
      <c r="AD101" s="513"/>
      <c r="AE101" s="513"/>
      <c r="AF101" s="213">
        <f t="shared" si="61"/>
        <v>-122.94285714285843</v>
      </c>
      <c r="AG101" s="214">
        <f t="shared" si="62"/>
        <v>0.91123259412067981</v>
      </c>
      <c r="AH101" s="672"/>
    </row>
    <row r="102" spans="1:34" s="218" customFormat="1" ht="19.2" customHeight="1">
      <c r="A102" s="699"/>
      <c r="B102" s="515" t="s">
        <v>124</v>
      </c>
      <c r="C102" s="175"/>
      <c r="D102" s="176" t="s">
        <v>205</v>
      </c>
      <c r="E102" s="177"/>
      <c r="F102" s="354">
        <v>49.91</v>
      </c>
      <c r="G102" s="57">
        <v>536.7600000000001</v>
      </c>
      <c r="H102" s="210">
        <f t="shared" si="65"/>
        <v>26789.691600000002</v>
      </c>
      <c r="I102" s="515">
        <v>1</v>
      </c>
      <c r="J102" s="46">
        <v>17</v>
      </c>
      <c r="K102" s="44">
        <v>1565</v>
      </c>
      <c r="L102" s="47">
        <v>92.058823529411768</v>
      </c>
      <c r="M102" s="87">
        <v>17</v>
      </c>
      <c r="N102" s="44">
        <f t="shared" si="66"/>
        <v>1341.899999999996</v>
      </c>
      <c r="O102" s="47">
        <f t="shared" si="67"/>
        <v>78.935294117646819</v>
      </c>
      <c r="P102" s="48">
        <f t="shared" si="68"/>
        <v>0</v>
      </c>
      <c r="Q102" s="49">
        <f t="shared" si="64"/>
        <v>-13.123529411764949</v>
      </c>
      <c r="R102" s="517">
        <f t="shared" si="69"/>
        <v>0.85744408945686634</v>
      </c>
      <c r="S102" s="688"/>
      <c r="T102" s="211">
        <v>0.69236111111111098</v>
      </c>
      <c r="U102" s="211">
        <v>0.7090277777777777</v>
      </c>
      <c r="V102" s="212">
        <v>8</v>
      </c>
      <c r="W102" s="90">
        <f t="shared" si="70"/>
        <v>24.000000000000075</v>
      </c>
      <c r="X102" s="220"/>
      <c r="Y102" s="220"/>
      <c r="Z102" s="217"/>
      <c r="AA102" s="217"/>
      <c r="AB102" s="673"/>
      <c r="AC102" s="673"/>
      <c r="AD102" s="513"/>
      <c r="AE102" s="513"/>
      <c r="AF102" s="54">
        <f t="shared" si="61"/>
        <v>-223.100000000004</v>
      </c>
      <c r="AG102" s="514">
        <f t="shared" si="62"/>
        <v>0.85744408945686645</v>
      </c>
      <c r="AH102" s="672"/>
    </row>
    <row r="103" spans="1:34" s="218" customFormat="1" ht="19.2" customHeight="1">
      <c r="A103" s="699"/>
      <c r="B103" s="515" t="s">
        <v>124</v>
      </c>
      <c r="C103" s="221"/>
      <c r="D103" s="82" t="s">
        <v>173</v>
      </c>
      <c r="E103" s="83"/>
      <c r="F103" s="354">
        <v>49.91</v>
      </c>
      <c r="G103" s="57">
        <v>893.38</v>
      </c>
      <c r="H103" s="210">
        <f t="shared" si="65"/>
        <v>44588.595799999996</v>
      </c>
      <c r="I103" s="222">
        <v>1</v>
      </c>
      <c r="J103" s="46">
        <v>17</v>
      </c>
      <c r="K103" s="44">
        <v>1565</v>
      </c>
      <c r="L103" s="47">
        <v>92.058823529411768</v>
      </c>
      <c r="M103" s="87">
        <v>17</v>
      </c>
      <c r="N103" s="44">
        <f t="shared" si="66"/>
        <v>1340.0699999999995</v>
      </c>
      <c r="O103" s="47">
        <f t="shared" si="67"/>
        <v>78.827647058823501</v>
      </c>
      <c r="P103" s="48">
        <f t="shared" si="68"/>
        <v>0</v>
      </c>
      <c r="Q103" s="49">
        <f t="shared" si="64"/>
        <v>-13.231176470588267</v>
      </c>
      <c r="R103" s="517">
        <f t="shared" si="69"/>
        <v>0.85627476038338624</v>
      </c>
      <c r="S103" s="688"/>
      <c r="T103" s="211">
        <v>0.7138888888888888</v>
      </c>
      <c r="U103" s="211">
        <v>0.74166666666666659</v>
      </c>
      <c r="V103" s="212">
        <v>7</v>
      </c>
      <c r="W103" s="90">
        <f t="shared" si="70"/>
        <v>40.000000000000014</v>
      </c>
      <c r="X103" s="220"/>
      <c r="Y103" s="220"/>
      <c r="Z103" s="217"/>
      <c r="AA103" s="217"/>
      <c r="AB103" s="673"/>
      <c r="AC103" s="673"/>
      <c r="AD103" s="513"/>
      <c r="AE103" s="513"/>
      <c r="AF103" s="54">
        <f t="shared" si="61"/>
        <v>-224.93000000000052</v>
      </c>
      <c r="AG103" s="514">
        <f t="shared" si="62"/>
        <v>0.85627476038338624</v>
      </c>
      <c r="AH103" s="672"/>
    </row>
    <row r="104" spans="1:34" s="218" customFormat="1" ht="19.2" customHeight="1">
      <c r="A104" s="699"/>
      <c r="B104" s="515" t="s">
        <v>124</v>
      </c>
      <c r="C104" s="223"/>
      <c r="D104" s="82" t="s">
        <v>199</v>
      </c>
      <c r="E104" s="83"/>
      <c r="F104" s="354">
        <v>44.3</v>
      </c>
      <c r="G104" s="209">
        <v>476.51000000000005</v>
      </c>
      <c r="H104" s="210">
        <f t="shared" si="65"/>
        <v>21109.393</v>
      </c>
      <c r="I104" s="221">
        <v>1</v>
      </c>
      <c r="J104" s="46">
        <v>18</v>
      </c>
      <c r="K104" s="44">
        <v>1565</v>
      </c>
      <c r="L104" s="47">
        <v>86.944444444444443</v>
      </c>
      <c r="M104" s="87">
        <v>18</v>
      </c>
      <c r="N104" s="44">
        <f t="shared" si="66"/>
        <v>1361.4571428571478</v>
      </c>
      <c r="O104" s="47">
        <f t="shared" si="67"/>
        <v>75.63650793650821</v>
      </c>
      <c r="P104" s="48">
        <f t="shared" si="68"/>
        <v>0</v>
      </c>
      <c r="Q104" s="49">
        <f t="shared" si="64"/>
        <v>-11.307936507936233</v>
      </c>
      <c r="R104" s="517">
        <f t="shared" si="69"/>
        <v>0.86994066636239475</v>
      </c>
      <c r="S104" s="689"/>
      <c r="T104" s="211">
        <v>0.74652777777777768</v>
      </c>
      <c r="U104" s="211">
        <v>0.76111111111111096</v>
      </c>
      <c r="V104" s="212">
        <v>7</v>
      </c>
      <c r="W104" s="90">
        <f t="shared" si="70"/>
        <v>20.999999999999925</v>
      </c>
      <c r="X104" s="220"/>
      <c r="Y104" s="220"/>
      <c r="Z104" s="217"/>
      <c r="AA104" s="217"/>
      <c r="AB104" s="673"/>
      <c r="AC104" s="673"/>
      <c r="AD104" s="513"/>
      <c r="AE104" s="513"/>
      <c r="AF104" s="213">
        <f t="shared" si="61"/>
        <v>-203.5428571428522</v>
      </c>
      <c r="AG104" s="214">
        <f t="shared" si="62"/>
        <v>0.86994066636239475</v>
      </c>
      <c r="AH104" s="672"/>
    </row>
    <row r="105" spans="1:34" s="218" customFormat="1" ht="19.2" customHeight="1">
      <c r="A105" s="699"/>
      <c r="B105" s="515" t="s">
        <v>127</v>
      </c>
      <c r="C105" s="223"/>
      <c r="D105" s="82" t="s">
        <v>203</v>
      </c>
      <c r="E105" s="83"/>
      <c r="F105" s="354">
        <v>54.09</v>
      </c>
      <c r="G105" s="209">
        <v>909</v>
      </c>
      <c r="H105" s="210">
        <f t="shared" si="65"/>
        <v>49167.810000000005</v>
      </c>
      <c r="I105" s="221"/>
      <c r="J105" s="46">
        <v>16</v>
      </c>
      <c r="K105" s="44">
        <v>1440</v>
      </c>
      <c r="L105" s="47">
        <v>90</v>
      </c>
      <c r="M105" s="87">
        <v>16</v>
      </c>
      <c r="N105" s="44">
        <f t="shared" si="66"/>
        <v>1268.3720930232557</v>
      </c>
      <c r="O105" s="47">
        <f t="shared" si="67"/>
        <v>79.273255813953483</v>
      </c>
      <c r="P105" s="48">
        <f t="shared" si="68"/>
        <v>0</v>
      </c>
      <c r="Q105" s="49">
        <f t="shared" si="64"/>
        <v>-10.726744186046517</v>
      </c>
      <c r="R105" s="517">
        <f t="shared" si="69"/>
        <v>0.88081395348837199</v>
      </c>
      <c r="S105" s="689"/>
      <c r="T105" s="211">
        <v>0.7666666666666665</v>
      </c>
      <c r="U105" s="211">
        <v>0.79652777777777761</v>
      </c>
      <c r="V105" s="212">
        <v>8</v>
      </c>
      <c r="W105" s="90">
        <f t="shared" si="70"/>
        <v>43.000000000000007</v>
      </c>
      <c r="X105" s="220"/>
      <c r="Y105" s="220"/>
      <c r="Z105" s="217"/>
      <c r="AA105" s="217"/>
      <c r="AB105" s="673"/>
      <c r="AC105" s="673"/>
      <c r="AD105" s="513"/>
      <c r="AE105" s="513"/>
      <c r="AF105" s="54">
        <f t="shared" si="61"/>
        <v>-171.62790697674427</v>
      </c>
      <c r="AG105" s="514">
        <f t="shared" si="62"/>
        <v>0.88081395348837199</v>
      </c>
      <c r="AH105" s="672"/>
    </row>
    <row r="106" spans="1:34" s="218" customFormat="1" ht="19.2" customHeight="1">
      <c r="A106" s="699"/>
      <c r="B106" s="221">
        <v>0</v>
      </c>
      <c r="C106" s="223"/>
      <c r="D106" s="82"/>
      <c r="E106" s="83"/>
      <c r="F106" s="343" t="s">
        <v>128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517"/>
      <c r="S106" s="698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673"/>
      <c r="AC106" s="673"/>
      <c r="AD106" s="513"/>
      <c r="AE106" s="513"/>
      <c r="AF106" s="54">
        <f t="shared" si="61"/>
        <v>0</v>
      </c>
      <c r="AG106" s="514" t="e">
        <f t="shared" si="62"/>
        <v>#DIV/0!</v>
      </c>
      <c r="AH106" s="672"/>
    </row>
    <row r="107" spans="1:34" s="218" customFormat="1" ht="19.2" customHeight="1">
      <c r="A107" s="699"/>
      <c r="B107" s="221">
        <v>0</v>
      </c>
      <c r="C107" s="223"/>
      <c r="D107" s="82"/>
      <c r="E107" s="83"/>
      <c r="F107" s="343" t="s">
        <v>128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514"/>
      <c r="S107" s="698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673"/>
      <c r="AC107" s="673"/>
      <c r="AD107" s="513"/>
      <c r="AE107" s="513"/>
      <c r="AF107" s="217"/>
      <c r="AG107" s="514"/>
      <c r="AH107" s="672"/>
    </row>
    <row r="108" spans="1:34" ht="19.2" customHeight="1">
      <c r="A108" s="699"/>
      <c r="B108" s="110">
        <v>0</v>
      </c>
      <c r="C108" s="100" t="s">
        <v>608</v>
      </c>
      <c r="D108" s="669" t="s">
        <v>592</v>
      </c>
      <c r="E108" s="669"/>
      <c r="F108" s="355"/>
      <c r="G108" s="101"/>
      <c r="H108" s="102"/>
      <c r="I108" s="103"/>
      <c r="J108" s="101">
        <v>18.100000000000001</v>
      </c>
      <c r="K108" s="101">
        <v>1461</v>
      </c>
      <c r="L108" s="104">
        <v>81.391406518747857</v>
      </c>
      <c r="M108" s="101">
        <f t="shared" ref="M108:O108" si="71">AVERAGE(M96:M107)</f>
        <v>18.100000000000001</v>
      </c>
      <c r="N108" s="101">
        <f t="shared" si="71"/>
        <v>1262.9714987908512</v>
      </c>
      <c r="O108" s="104">
        <f t="shared" si="71"/>
        <v>70.272282874657833</v>
      </c>
      <c r="P108" s="54">
        <f t="shared" ref="P108:P116" si="72">M108-J108</f>
        <v>0</v>
      </c>
      <c r="Q108" s="88">
        <f t="shared" ref="Q108:Q116" si="73">O108-L108</f>
        <v>-11.119123644090024</v>
      </c>
      <c r="R108" s="105">
        <f t="shared" ref="R108:R116" si="74">O108/L108</f>
        <v>0.86338700706039739</v>
      </c>
      <c r="S108" s="689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673"/>
      <c r="AC108" s="673"/>
      <c r="AD108" s="107">
        <f>SUM(AD96:AD107)</f>
        <v>0</v>
      </c>
      <c r="AE108" s="107">
        <f>SUM(AE96:AE107)</f>
        <v>0</v>
      </c>
      <c r="AF108" s="54">
        <f t="shared" si="61"/>
        <v>-198.02850120914877</v>
      </c>
      <c r="AG108" s="514">
        <f t="shared" si="62"/>
        <v>0.86445687802248539</v>
      </c>
      <c r="AH108" s="672"/>
    </row>
    <row r="109" spans="1:34" ht="19.2" customHeight="1">
      <c r="A109" s="690" t="s">
        <v>609</v>
      </c>
      <c r="B109" s="515" t="s">
        <v>126</v>
      </c>
      <c r="C109" s="522"/>
      <c r="D109" s="390" t="s">
        <v>207</v>
      </c>
      <c r="E109" s="43"/>
      <c r="F109" s="343">
        <v>29.965493443754308</v>
      </c>
      <c r="G109" s="44">
        <v>1877</v>
      </c>
      <c r="H109" s="45">
        <f t="shared" ref="H109:H119" si="75">F109*G109</f>
        <v>56245.23119392684</v>
      </c>
      <c r="I109" s="515"/>
      <c r="J109" s="46">
        <v>18</v>
      </c>
      <c r="K109" s="44">
        <v>1200</v>
      </c>
      <c r="L109" s="47">
        <v>66.666666666666671</v>
      </c>
      <c r="M109" s="527">
        <v>19</v>
      </c>
      <c r="N109" s="44">
        <f t="shared" ref="N109:N116" si="76">G109/W109*60</f>
        <v>1210.9677419354841</v>
      </c>
      <c r="O109" s="47">
        <f t="shared" ref="O109:O116" si="77">N109/M109</f>
        <v>63.735144312393899</v>
      </c>
      <c r="P109" s="48">
        <f t="shared" si="72"/>
        <v>1</v>
      </c>
      <c r="Q109" s="49">
        <f t="shared" si="73"/>
        <v>-2.9315223542727722</v>
      </c>
      <c r="R109" s="517">
        <f t="shared" si="74"/>
        <v>0.95602716468590843</v>
      </c>
      <c r="S109" s="693">
        <f>R121</f>
        <v>0.90000252832945571</v>
      </c>
      <c r="T109" s="226">
        <v>0.5</v>
      </c>
      <c r="U109" s="226">
        <v>0.56458333333333333</v>
      </c>
      <c r="V109" s="227">
        <v>5</v>
      </c>
      <c r="W109" s="526">
        <f t="shared" si="70"/>
        <v>92.999999999999986</v>
      </c>
      <c r="X109" s="53"/>
      <c r="Y109" s="53"/>
      <c r="Z109" s="54"/>
      <c r="AA109" s="54"/>
      <c r="AB109" s="673"/>
      <c r="AC109" s="673"/>
      <c r="AD109" s="513"/>
      <c r="AE109" s="513"/>
      <c r="AF109" s="48">
        <f t="shared" si="61"/>
        <v>10.967741935484128</v>
      </c>
      <c r="AG109" s="125">
        <f t="shared" si="62"/>
        <v>1.0091397849462367</v>
      </c>
      <c r="AH109" s="672">
        <f>AG121</f>
        <v>0.90408356159771619</v>
      </c>
    </row>
    <row r="110" spans="1:34" ht="19.2" customHeight="1">
      <c r="A110" s="691"/>
      <c r="B110" s="515" t="s">
        <v>123</v>
      </c>
      <c r="C110" s="175"/>
      <c r="D110" s="42" t="s">
        <v>56</v>
      </c>
      <c r="E110" s="177"/>
      <c r="F110" s="343">
        <v>71.55</v>
      </c>
      <c r="G110" s="174">
        <v>831</v>
      </c>
      <c r="H110" s="45">
        <f t="shared" si="75"/>
        <v>59458.049999999996</v>
      </c>
      <c r="I110" s="515"/>
      <c r="J110" s="46">
        <v>18</v>
      </c>
      <c r="K110" s="44">
        <v>1385</v>
      </c>
      <c r="L110" s="47">
        <v>76.944444444444443</v>
      </c>
      <c r="M110" s="527">
        <v>18</v>
      </c>
      <c r="N110" s="44">
        <f t="shared" si="76"/>
        <v>1278.4615384615377</v>
      </c>
      <c r="O110" s="47">
        <f t="shared" si="77"/>
        <v>71.025641025640979</v>
      </c>
      <c r="P110" s="48">
        <f t="shared" si="72"/>
        <v>0</v>
      </c>
      <c r="Q110" s="49">
        <f t="shared" si="73"/>
        <v>-5.9188034188034635</v>
      </c>
      <c r="R110" s="517">
        <f t="shared" si="74"/>
        <v>0.92307692307692246</v>
      </c>
      <c r="S110" s="679"/>
      <c r="T110" s="226">
        <v>0.56944444444444442</v>
      </c>
      <c r="U110" s="226">
        <v>0.59652777777777777</v>
      </c>
      <c r="V110" s="227">
        <v>7</v>
      </c>
      <c r="W110" s="526">
        <f t="shared" si="70"/>
        <v>39.000000000000021</v>
      </c>
      <c r="X110" s="188"/>
      <c r="Y110" s="188"/>
      <c r="Z110" s="54"/>
      <c r="AA110" s="54"/>
      <c r="AB110" s="673"/>
      <c r="AC110" s="673"/>
      <c r="AD110" s="513"/>
      <c r="AE110" s="513"/>
      <c r="AF110" s="48">
        <f t="shared" si="61"/>
        <v>-106.53846153846234</v>
      </c>
      <c r="AG110" s="125">
        <f t="shared" si="62"/>
        <v>0.92307692307692246</v>
      </c>
      <c r="AH110" s="672"/>
    </row>
    <row r="111" spans="1:34" ht="19.2" customHeight="1">
      <c r="A111" s="691"/>
      <c r="B111" s="515" t="s">
        <v>123</v>
      </c>
      <c r="C111" s="175"/>
      <c r="D111" s="176" t="s">
        <v>58</v>
      </c>
      <c r="E111" s="177"/>
      <c r="F111" s="343">
        <v>59.54</v>
      </c>
      <c r="G111" s="57">
        <v>1373</v>
      </c>
      <c r="H111" s="45">
        <f t="shared" si="75"/>
        <v>81748.42</v>
      </c>
      <c r="I111" s="513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1267.3846153846168</v>
      </c>
      <c r="O111" s="47">
        <f t="shared" si="77"/>
        <v>70.410256410256494</v>
      </c>
      <c r="P111" s="48">
        <f t="shared" si="72"/>
        <v>0</v>
      </c>
      <c r="Q111" s="49">
        <f t="shared" si="73"/>
        <v>-6.5341880341879488</v>
      </c>
      <c r="R111" s="517">
        <f t="shared" si="74"/>
        <v>0.91507914468203388</v>
      </c>
      <c r="S111" s="679"/>
      <c r="T111" s="226">
        <v>0.61180555555555549</v>
      </c>
      <c r="U111" s="226">
        <v>0.65694444444444433</v>
      </c>
      <c r="V111" s="227">
        <v>22</v>
      </c>
      <c r="W111" s="526">
        <f t="shared" si="70"/>
        <v>64.999999999999929</v>
      </c>
      <c r="X111" s="53">
        <v>0.60069444444444442</v>
      </c>
      <c r="Y111" s="53">
        <v>0.61111111111111105</v>
      </c>
      <c r="Z111" s="54"/>
      <c r="AA111" s="54"/>
      <c r="AB111" s="673"/>
      <c r="AC111" s="673"/>
      <c r="AD111" s="513"/>
      <c r="AE111" s="513"/>
      <c r="AF111" s="48">
        <f t="shared" si="61"/>
        <v>-117.61538461538316</v>
      </c>
      <c r="AG111" s="125">
        <f t="shared" si="62"/>
        <v>0.91507914468203377</v>
      </c>
      <c r="AH111" s="672"/>
    </row>
    <row r="112" spans="1:34" ht="19.2" customHeight="1">
      <c r="A112" s="691"/>
      <c r="B112" s="515" t="s">
        <v>127</v>
      </c>
      <c r="C112" s="175"/>
      <c r="D112" s="176" t="s">
        <v>77</v>
      </c>
      <c r="E112" s="83"/>
      <c r="F112" s="343">
        <v>55.56</v>
      </c>
      <c r="G112" s="57">
        <v>1107</v>
      </c>
      <c r="H112" s="45">
        <f t="shared" si="75"/>
        <v>61504.920000000006</v>
      </c>
      <c r="I112" s="513"/>
      <c r="J112" s="46">
        <v>16</v>
      </c>
      <c r="K112" s="44">
        <v>1440</v>
      </c>
      <c r="L112" s="47">
        <v>90</v>
      </c>
      <c r="M112" s="527">
        <v>16</v>
      </c>
      <c r="N112" s="44">
        <f t="shared" si="76"/>
        <v>1328.4000000000005</v>
      </c>
      <c r="O112" s="47">
        <f t="shared" si="77"/>
        <v>83.025000000000034</v>
      </c>
      <c r="P112" s="48">
        <f t="shared" si="72"/>
        <v>0</v>
      </c>
      <c r="Q112" s="49">
        <f t="shared" si="73"/>
        <v>-6.9749999999999659</v>
      </c>
      <c r="R112" s="517">
        <f t="shared" si="74"/>
        <v>0.92250000000000043</v>
      </c>
      <c r="S112" s="679"/>
      <c r="T112" s="226">
        <v>0.70833333333333337</v>
      </c>
      <c r="U112" s="226">
        <v>0.74305555555555558</v>
      </c>
      <c r="V112" s="227">
        <v>5</v>
      </c>
      <c r="W112" s="526">
        <f t="shared" si="70"/>
        <v>49.999999999999986</v>
      </c>
      <c r="X112" s="216"/>
      <c r="Y112" s="216"/>
      <c r="Z112" s="54"/>
      <c r="AA112" s="54"/>
      <c r="AB112" s="673"/>
      <c r="AC112" s="673"/>
      <c r="AD112" s="513"/>
      <c r="AE112" s="513"/>
      <c r="AF112" s="48">
        <f t="shared" si="61"/>
        <v>-111.59999999999945</v>
      </c>
      <c r="AG112" s="125">
        <f t="shared" si="62"/>
        <v>0.92250000000000043</v>
      </c>
      <c r="AH112" s="672"/>
    </row>
    <row r="113" spans="1:34" s="218" customFormat="1" ht="19.2" customHeight="1">
      <c r="A113" s="691"/>
      <c r="B113" s="515" t="s">
        <v>127</v>
      </c>
      <c r="C113" s="175"/>
      <c r="D113" s="176" t="s">
        <v>208</v>
      </c>
      <c r="E113" s="83"/>
      <c r="F113" s="343">
        <v>52.21</v>
      </c>
      <c r="G113" s="57">
        <v>1024</v>
      </c>
      <c r="H113" s="45">
        <f t="shared" si="75"/>
        <v>53463.040000000001</v>
      </c>
      <c r="I113" s="513"/>
      <c r="J113" s="46">
        <v>17</v>
      </c>
      <c r="K113" s="44">
        <v>1440</v>
      </c>
      <c r="L113" s="47">
        <v>84.705882352941174</v>
      </c>
      <c r="M113" s="524">
        <v>17</v>
      </c>
      <c r="N113" s="44">
        <f t="shared" si="76"/>
        <v>1307.2340425531916</v>
      </c>
      <c r="O113" s="47">
        <f t="shared" si="77"/>
        <v>76.896120150187741</v>
      </c>
      <c r="P113" s="48">
        <f t="shared" si="72"/>
        <v>0</v>
      </c>
      <c r="Q113" s="49">
        <f t="shared" si="73"/>
        <v>-7.8097622027534328</v>
      </c>
      <c r="R113" s="517">
        <f t="shared" si="74"/>
        <v>0.9078014184397164</v>
      </c>
      <c r="S113" s="679"/>
      <c r="T113" s="226">
        <v>0.74791666666666667</v>
      </c>
      <c r="U113" s="226">
        <v>0.78055555555555556</v>
      </c>
      <c r="V113" s="227">
        <v>7</v>
      </c>
      <c r="W113" s="526">
        <f t="shared" si="70"/>
        <v>46.999999999999993</v>
      </c>
      <c r="X113" s="216"/>
      <c r="Y113" s="216"/>
      <c r="Z113" s="217"/>
      <c r="AA113" s="217"/>
      <c r="AB113" s="673"/>
      <c r="AC113" s="673"/>
      <c r="AD113" s="221"/>
      <c r="AE113" s="221"/>
      <c r="AF113" s="48">
        <f t="shared" si="61"/>
        <v>-132.76595744680844</v>
      </c>
      <c r="AG113" s="125">
        <f t="shared" si="62"/>
        <v>0.9078014184397164</v>
      </c>
      <c r="AH113" s="672"/>
    </row>
    <row r="114" spans="1:34" s="218" customFormat="1" ht="19.2" customHeight="1">
      <c r="A114" s="691"/>
      <c r="B114" s="515" t="s">
        <v>127</v>
      </c>
      <c r="C114" s="175"/>
      <c r="D114" s="176" t="s">
        <v>188</v>
      </c>
      <c r="E114" s="43"/>
      <c r="F114" s="343">
        <v>58.17</v>
      </c>
      <c r="G114" s="44">
        <v>1190</v>
      </c>
      <c r="H114" s="45">
        <f t="shared" si="75"/>
        <v>69222.3</v>
      </c>
      <c r="I114" s="513"/>
      <c r="J114" s="46">
        <v>16</v>
      </c>
      <c r="K114" s="44">
        <v>1636</v>
      </c>
      <c r="L114" s="47">
        <v>102.25</v>
      </c>
      <c r="M114" s="524">
        <v>16</v>
      </c>
      <c r="N114" s="44">
        <f t="shared" si="76"/>
        <v>1428.0000000000005</v>
      </c>
      <c r="O114" s="47">
        <f t="shared" si="77"/>
        <v>89.250000000000028</v>
      </c>
      <c r="P114" s="48">
        <f t="shared" si="72"/>
        <v>0</v>
      </c>
      <c r="Q114" s="49">
        <f t="shared" si="73"/>
        <v>-12.999999999999972</v>
      </c>
      <c r="R114" s="517">
        <f t="shared" si="74"/>
        <v>0.87286063569682182</v>
      </c>
      <c r="S114" s="679"/>
      <c r="T114" s="226">
        <v>0.78541666666666665</v>
      </c>
      <c r="U114" s="226">
        <v>0.82013888888888886</v>
      </c>
      <c r="V114" s="227">
        <v>7</v>
      </c>
      <c r="W114" s="526">
        <f t="shared" si="70"/>
        <v>49.999999999999986</v>
      </c>
      <c r="X114" s="216"/>
      <c r="Y114" s="216"/>
      <c r="Z114" s="217"/>
      <c r="AA114" s="217"/>
      <c r="AB114" s="673"/>
      <c r="AC114" s="673"/>
      <c r="AD114" s="221"/>
      <c r="AE114" s="221"/>
      <c r="AF114" s="48">
        <f t="shared" si="61"/>
        <v>-207.99999999999955</v>
      </c>
      <c r="AG114" s="125">
        <f t="shared" si="62"/>
        <v>0.87286063569682182</v>
      </c>
      <c r="AH114" s="672"/>
    </row>
    <row r="115" spans="1:34" s="218" customFormat="1" ht="19.2" customHeight="1">
      <c r="A115" s="691"/>
      <c r="B115" s="515" t="s">
        <v>127</v>
      </c>
      <c r="C115" s="175"/>
      <c r="D115" s="82" t="s">
        <v>210</v>
      </c>
      <c r="E115" s="83"/>
      <c r="F115" s="343">
        <v>57.3</v>
      </c>
      <c r="G115" s="229">
        <v>1687</v>
      </c>
      <c r="H115" s="45">
        <f t="shared" si="75"/>
        <v>96665.099999999991</v>
      </c>
      <c r="I115" s="513"/>
      <c r="J115" s="46">
        <v>19</v>
      </c>
      <c r="K115" s="44">
        <v>1440</v>
      </c>
      <c r="L115" s="47">
        <v>75.78947368421052</v>
      </c>
      <c r="M115" s="524">
        <v>19</v>
      </c>
      <c r="N115" s="44">
        <f t="shared" si="76"/>
        <v>1281.2658227848094</v>
      </c>
      <c r="O115" s="47">
        <f t="shared" si="77"/>
        <v>67.435043304463647</v>
      </c>
      <c r="P115" s="48">
        <f t="shared" si="72"/>
        <v>0</v>
      </c>
      <c r="Q115" s="49">
        <f t="shared" si="73"/>
        <v>-8.3544303797468729</v>
      </c>
      <c r="R115" s="517">
        <f t="shared" si="74"/>
        <v>0.88976793248945096</v>
      </c>
      <c r="S115" s="679"/>
      <c r="T115" s="226">
        <v>0.83472222222222214</v>
      </c>
      <c r="U115" s="226">
        <v>0.88958333333333328</v>
      </c>
      <c r="V115" s="227">
        <v>21</v>
      </c>
      <c r="W115" s="526">
        <f t="shared" si="70"/>
        <v>79.000000000000043</v>
      </c>
      <c r="X115" s="216">
        <v>0.82500000000000007</v>
      </c>
      <c r="Y115" s="216">
        <v>0.83333333333333337</v>
      </c>
      <c r="Z115" s="217"/>
      <c r="AA115" s="217"/>
      <c r="AB115" s="673"/>
      <c r="AC115" s="673"/>
      <c r="AD115" s="221"/>
      <c r="AE115" s="221"/>
      <c r="AF115" s="48">
        <f t="shared" si="61"/>
        <v>-158.73417721519058</v>
      </c>
      <c r="AG115" s="125">
        <f t="shared" si="62"/>
        <v>0.88976793248945096</v>
      </c>
      <c r="AH115" s="672"/>
    </row>
    <row r="116" spans="1:34" s="218" customFormat="1" ht="19.2" customHeight="1">
      <c r="A116" s="691"/>
      <c r="B116" s="515" t="s">
        <v>127</v>
      </c>
      <c r="C116" s="55"/>
      <c r="D116" s="82" t="s">
        <v>604</v>
      </c>
      <c r="E116" s="83"/>
      <c r="F116" s="343">
        <v>54.5</v>
      </c>
      <c r="G116" s="229">
        <v>2230.79</v>
      </c>
      <c r="H116" s="45">
        <f t="shared" si="75"/>
        <v>121578.05499999999</v>
      </c>
      <c r="I116" s="513">
        <v>1</v>
      </c>
      <c r="J116" s="46">
        <v>21</v>
      </c>
      <c r="K116" s="44">
        <v>1440</v>
      </c>
      <c r="L116" s="47">
        <v>68.571428571428569</v>
      </c>
      <c r="M116" s="524">
        <v>21</v>
      </c>
      <c r="N116" s="44">
        <f t="shared" si="76"/>
        <v>1174.100000000001</v>
      </c>
      <c r="O116" s="47">
        <f t="shared" si="77"/>
        <v>55.909523809523861</v>
      </c>
      <c r="P116" s="48">
        <f t="shared" si="72"/>
        <v>0</v>
      </c>
      <c r="Q116" s="49">
        <f t="shared" si="73"/>
        <v>-12.661904761904708</v>
      </c>
      <c r="R116" s="517">
        <f t="shared" si="74"/>
        <v>0.815347222222223</v>
      </c>
      <c r="S116" s="679"/>
      <c r="T116" s="226">
        <v>0.89444444444444438</v>
      </c>
      <c r="U116" s="226">
        <v>0.97361111111111098</v>
      </c>
      <c r="V116" s="227">
        <v>7</v>
      </c>
      <c r="W116" s="526">
        <f t="shared" si="70"/>
        <v>113.99999999999991</v>
      </c>
      <c r="X116" s="216"/>
      <c r="Y116" s="216"/>
      <c r="Z116" s="217"/>
      <c r="AA116" s="217"/>
      <c r="AB116" s="673"/>
      <c r="AC116" s="673"/>
      <c r="AD116" s="221"/>
      <c r="AE116" s="221"/>
      <c r="AF116" s="48">
        <f t="shared" si="61"/>
        <v>-265.89999999999895</v>
      </c>
      <c r="AG116" s="125">
        <f t="shared" si="62"/>
        <v>0.815347222222223</v>
      </c>
      <c r="AH116" s="672"/>
    </row>
    <row r="117" spans="1:34" s="218" customFormat="1" ht="19.2" customHeight="1">
      <c r="A117" s="691"/>
      <c r="B117" s="515">
        <v>0</v>
      </c>
      <c r="C117" s="55"/>
      <c r="D117" s="82"/>
      <c r="E117" s="83"/>
      <c r="F117" s="343" t="s">
        <v>128</v>
      </c>
      <c r="G117" s="229"/>
      <c r="H117" s="45">
        <f t="shared" si="75"/>
        <v>0</v>
      </c>
      <c r="I117" s="513"/>
      <c r="J117" s="46"/>
      <c r="K117" s="44"/>
      <c r="L117" s="47"/>
      <c r="M117" s="524"/>
      <c r="N117" s="44"/>
      <c r="O117" s="47"/>
      <c r="P117" s="48"/>
      <c r="Q117" s="49"/>
      <c r="R117" s="517"/>
      <c r="S117" s="679"/>
      <c r="T117" s="226"/>
      <c r="U117" s="226"/>
      <c r="V117" s="227"/>
      <c r="W117" s="526">
        <f t="shared" si="70"/>
        <v>0</v>
      </c>
      <c r="X117" s="216"/>
      <c r="Y117" s="216"/>
      <c r="Z117" s="217"/>
      <c r="AA117" s="217"/>
      <c r="AB117" s="673"/>
      <c r="AC117" s="673"/>
      <c r="AD117" s="221"/>
      <c r="AE117" s="221"/>
      <c r="AF117" s="48">
        <f t="shared" si="61"/>
        <v>0</v>
      </c>
      <c r="AG117" s="125" t="e">
        <f t="shared" si="62"/>
        <v>#DIV/0!</v>
      </c>
      <c r="AH117" s="672"/>
    </row>
    <row r="118" spans="1:34" s="218" customFormat="1" ht="19.2" customHeight="1">
      <c r="A118" s="691"/>
      <c r="B118" s="515">
        <v>0</v>
      </c>
      <c r="C118" s="163"/>
      <c r="D118" s="176"/>
      <c r="E118" s="43"/>
      <c r="F118" s="343" t="s">
        <v>128</v>
      </c>
      <c r="G118" s="44"/>
      <c r="H118" s="45">
        <f t="shared" si="75"/>
        <v>0</v>
      </c>
      <c r="I118" s="513"/>
      <c r="J118" s="46"/>
      <c r="K118" s="44"/>
      <c r="L118" s="47"/>
      <c r="M118" s="524"/>
      <c r="N118" s="44"/>
      <c r="O118" s="47"/>
      <c r="P118" s="48"/>
      <c r="Q118" s="49"/>
      <c r="R118" s="517"/>
      <c r="S118" s="679"/>
      <c r="T118" s="226"/>
      <c r="U118" s="226"/>
      <c r="V118" s="227"/>
      <c r="W118" s="526">
        <f t="shared" si="70"/>
        <v>0</v>
      </c>
      <c r="X118" s="216"/>
      <c r="Y118" s="216"/>
      <c r="Z118" s="217"/>
      <c r="AA118" s="217"/>
      <c r="AB118" s="673"/>
      <c r="AC118" s="673"/>
      <c r="AD118" s="221"/>
      <c r="AE118" s="221"/>
      <c r="AF118" s="48">
        <f t="shared" si="61"/>
        <v>0</v>
      </c>
      <c r="AG118" s="125" t="e">
        <f t="shared" si="62"/>
        <v>#DIV/0!</v>
      </c>
      <c r="AH118" s="672"/>
    </row>
    <row r="119" spans="1:34" s="218" customFormat="1" ht="19.2" customHeight="1">
      <c r="A119" s="691"/>
      <c r="B119" s="515">
        <v>0</v>
      </c>
      <c r="C119" s="223"/>
      <c r="D119" s="82"/>
      <c r="E119" s="83"/>
      <c r="F119" s="343" t="s">
        <v>128</v>
      </c>
      <c r="G119" s="229"/>
      <c r="H119" s="45">
        <f t="shared" si="75"/>
        <v>0</v>
      </c>
      <c r="I119" s="513"/>
      <c r="J119" s="178"/>
      <c r="K119" s="231"/>
      <c r="L119" s="47"/>
      <c r="M119" s="524"/>
      <c r="N119" s="179"/>
      <c r="O119" s="224"/>
      <c r="P119" s="165"/>
      <c r="Q119" s="49"/>
      <c r="R119" s="517"/>
      <c r="S119" s="679"/>
      <c r="T119" s="226"/>
      <c r="U119" s="226"/>
      <c r="V119" s="227"/>
      <c r="W119" s="526">
        <f t="shared" si="70"/>
        <v>0</v>
      </c>
      <c r="X119" s="216"/>
      <c r="Y119" s="216"/>
      <c r="Z119" s="217"/>
      <c r="AA119" s="217"/>
      <c r="AB119" s="673"/>
      <c r="AC119" s="673"/>
      <c r="AD119" s="221"/>
      <c r="AE119" s="221"/>
      <c r="AF119" s="48">
        <f t="shared" si="61"/>
        <v>0</v>
      </c>
      <c r="AG119" s="125" t="e">
        <f t="shared" si="62"/>
        <v>#DIV/0!</v>
      </c>
      <c r="AH119" s="672"/>
    </row>
    <row r="120" spans="1:34" s="218" customFormat="1" ht="19.2" customHeight="1">
      <c r="A120" s="691"/>
      <c r="B120" s="515">
        <v>0</v>
      </c>
      <c r="C120" s="223"/>
      <c r="D120" s="82"/>
      <c r="E120" s="83"/>
      <c r="F120" s="350" t="s">
        <v>128</v>
      </c>
      <c r="G120" s="229"/>
      <c r="H120" s="230">
        <f>F120*G120</f>
        <v>0</v>
      </c>
      <c r="I120" s="513"/>
      <c r="J120" s="178"/>
      <c r="K120" s="231"/>
      <c r="L120" s="47"/>
      <c r="M120" s="524"/>
      <c r="N120" s="179"/>
      <c r="O120" s="224"/>
      <c r="P120" s="165"/>
      <c r="Q120" s="49"/>
      <c r="R120" s="517"/>
      <c r="S120" s="679"/>
      <c r="T120" s="226"/>
      <c r="U120" s="226"/>
      <c r="V120" s="227"/>
      <c r="W120" s="526">
        <f t="shared" si="70"/>
        <v>0</v>
      </c>
      <c r="X120" s="216"/>
      <c r="Y120" s="216"/>
      <c r="Z120" s="217"/>
      <c r="AA120" s="217"/>
      <c r="AB120" s="673"/>
      <c r="AC120" s="673"/>
      <c r="AD120" s="221"/>
      <c r="AE120" s="221"/>
      <c r="AF120" s="48">
        <f t="shared" si="61"/>
        <v>0</v>
      </c>
      <c r="AG120" s="125" t="e">
        <f t="shared" si="62"/>
        <v>#DIV/0!</v>
      </c>
      <c r="AH120" s="672"/>
    </row>
    <row r="121" spans="1:34" ht="19.2" customHeight="1">
      <c r="A121" s="692"/>
      <c r="B121" s="121">
        <v>0</v>
      </c>
      <c r="C121" s="100" t="s">
        <v>318</v>
      </c>
      <c r="D121" s="232" t="s">
        <v>236</v>
      </c>
      <c r="E121" s="233"/>
      <c r="F121" s="352"/>
      <c r="G121" s="234"/>
      <c r="H121" s="235"/>
      <c r="I121" s="236"/>
      <c r="J121" s="202">
        <v>17.875</v>
      </c>
      <c r="K121" s="202">
        <v>1420.75</v>
      </c>
      <c r="L121" s="203">
        <v>80.234042520516979</v>
      </c>
      <c r="M121" s="202">
        <f t="shared" ref="M121:O121" si="78">AVERAGE(M109:M120)</f>
        <v>18</v>
      </c>
      <c r="N121" s="202">
        <f t="shared" si="78"/>
        <v>1284.4767201399552</v>
      </c>
      <c r="O121" s="203">
        <f t="shared" si="78"/>
        <v>72.210841126558336</v>
      </c>
      <c r="P121" s="48">
        <f t="shared" ref="P121:P129" si="79">M121-J121</f>
        <v>0.125</v>
      </c>
      <c r="Q121" s="49">
        <f t="shared" ref="Q121:Q129" si="80">O121-L121</f>
        <v>-8.0232013939586437</v>
      </c>
      <c r="R121" s="172">
        <f t="shared" ref="R121:R129" si="81">O121/L121</f>
        <v>0.90000252832945571</v>
      </c>
      <c r="S121" s="687"/>
      <c r="T121" s="50"/>
      <c r="U121" s="50"/>
      <c r="V121" s="44"/>
      <c r="W121" s="526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673"/>
      <c r="AC121" s="673"/>
      <c r="AD121" s="107">
        <f>SUM(AD109:AD120)</f>
        <v>0</v>
      </c>
      <c r="AE121" s="107">
        <f>SUM(AE109:AE120)</f>
        <v>0</v>
      </c>
      <c r="AF121" s="48">
        <f>N121-K121</f>
        <v>-136.27327986004479</v>
      </c>
      <c r="AG121" s="125">
        <f>N121/K121</f>
        <v>0.90408356159771619</v>
      </c>
      <c r="AH121" s="672"/>
    </row>
    <row r="122" spans="1:34" ht="19.2" customHeight="1">
      <c r="A122" s="694" t="s">
        <v>319</v>
      </c>
      <c r="B122" s="130" t="s">
        <v>123</v>
      </c>
      <c r="C122" s="163"/>
      <c r="D122" s="176" t="s">
        <v>79</v>
      </c>
      <c r="E122" s="43"/>
      <c r="F122" s="343">
        <v>58.67</v>
      </c>
      <c r="G122" s="44">
        <v>1665</v>
      </c>
      <c r="H122" s="45">
        <f t="shared" ref="H122:H132" si="82">F122*G122</f>
        <v>97685.55</v>
      </c>
      <c r="I122" s="515"/>
      <c r="J122" s="46">
        <v>19</v>
      </c>
      <c r="K122" s="44">
        <v>1440</v>
      </c>
      <c r="L122" s="47">
        <v>75.78947368421052</v>
      </c>
      <c r="M122" s="527">
        <v>19</v>
      </c>
      <c r="N122" s="174">
        <f t="shared" ref="N122:N129" si="83">G122/W122*60</f>
        <v>1331.9999999999989</v>
      </c>
      <c r="O122" s="237">
        <f t="shared" ref="O122:O129" si="84">N122/M122</f>
        <v>70.105263157894683</v>
      </c>
      <c r="P122" s="108">
        <f t="shared" si="79"/>
        <v>0</v>
      </c>
      <c r="Q122" s="182">
        <f t="shared" si="80"/>
        <v>-5.6842105263158373</v>
      </c>
      <c r="R122" s="109">
        <f t="shared" si="81"/>
        <v>0.92499999999999938</v>
      </c>
      <c r="S122" s="688">
        <f>R134</f>
        <v>0.903236158601051</v>
      </c>
      <c r="T122" s="50">
        <v>0.5</v>
      </c>
      <c r="U122" s="50">
        <v>0.55208333333333337</v>
      </c>
      <c r="V122" s="227">
        <v>5</v>
      </c>
      <c r="W122" s="526">
        <f t="shared" si="70"/>
        <v>75.000000000000057</v>
      </c>
      <c r="X122" s="53"/>
      <c r="Y122" s="53"/>
      <c r="Z122" s="54"/>
      <c r="AA122" s="54"/>
      <c r="AB122" s="673"/>
      <c r="AC122" s="673"/>
      <c r="AD122" s="513"/>
      <c r="AE122" s="513">
        <v>1</v>
      </c>
      <c r="AF122" s="48">
        <f t="shared" si="61"/>
        <v>-108.00000000000114</v>
      </c>
      <c r="AG122" s="517">
        <f t="shared" si="62"/>
        <v>0.92499999999999916</v>
      </c>
      <c r="AH122" s="687">
        <f>AG134</f>
        <v>0.91158330892980477</v>
      </c>
    </row>
    <row r="123" spans="1:34" ht="19.2" customHeight="1">
      <c r="A123" s="694"/>
      <c r="B123" s="130" t="s">
        <v>123</v>
      </c>
      <c r="C123" s="97"/>
      <c r="D123" s="42" t="s">
        <v>78</v>
      </c>
      <c r="E123" s="177"/>
      <c r="F123" s="343">
        <v>59.52</v>
      </c>
      <c r="G123" s="44">
        <v>2179</v>
      </c>
      <c r="H123" s="45">
        <f t="shared" si="82"/>
        <v>129694.08</v>
      </c>
      <c r="I123" s="513"/>
      <c r="J123" s="46">
        <v>21</v>
      </c>
      <c r="K123" s="44">
        <v>1385</v>
      </c>
      <c r="L123" s="47">
        <v>65.952380952380949</v>
      </c>
      <c r="M123" s="524">
        <v>21</v>
      </c>
      <c r="N123" s="57">
        <f t="shared" si="83"/>
        <v>1307.4000000000003</v>
      </c>
      <c r="O123" s="86">
        <f t="shared" si="84"/>
        <v>62.257142857142874</v>
      </c>
      <c r="P123" s="54">
        <f t="shared" si="79"/>
        <v>0</v>
      </c>
      <c r="Q123" s="88">
        <f t="shared" si="80"/>
        <v>-3.695238095238075</v>
      </c>
      <c r="R123" s="514">
        <f t="shared" si="81"/>
        <v>0.94397111913357434</v>
      </c>
      <c r="S123" s="688"/>
      <c r="T123" s="50">
        <v>0.55694444444444446</v>
      </c>
      <c r="U123" s="50">
        <v>0.62638888888888888</v>
      </c>
      <c r="V123" s="227">
        <v>7</v>
      </c>
      <c r="W123" s="526">
        <f t="shared" si="70"/>
        <v>99.999999999999972</v>
      </c>
      <c r="X123" s="53"/>
      <c r="Y123" s="53"/>
      <c r="Z123" s="54"/>
      <c r="AA123" s="54"/>
      <c r="AB123" s="673"/>
      <c r="AC123" s="673"/>
      <c r="AD123" s="513"/>
      <c r="AE123" s="513"/>
      <c r="AF123" s="48">
        <f t="shared" si="61"/>
        <v>-77.599999999999682</v>
      </c>
      <c r="AG123" s="517">
        <f t="shared" si="62"/>
        <v>0.94397111913357423</v>
      </c>
      <c r="AH123" s="688"/>
    </row>
    <row r="124" spans="1:34" ht="19.2" customHeight="1">
      <c r="A124" s="694"/>
      <c r="B124" s="130" t="s">
        <v>123</v>
      </c>
      <c r="C124" s="175"/>
      <c r="D124" s="176" t="s">
        <v>213</v>
      </c>
      <c r="E124" s="177"/>
      <c r="F124" s="343">
        <v>63.92</v>
      </c>
      <c r="G124" s="174">
        <v>1165</v>
      </c>
      <c r="H124" s="45">
        <f t="shared" si="82"/>
        <v>74466.8</v>
      </c>
      <c r="I124" s="238"/>
      <c r="J124" s="46">
        <v>19</v>
      </c>
      <c r="K124" s="44">
        <v>1440</v>
      </c>
      <c r="L124" s="47">
        <v>75.78947368421052</v>
      </c>
      <c r="M124" s="527">
        <v>19</v>
      </c>
      <c r="N124" s="174">
        <f t="shared" si="83"/>
        <v>1318.8679245283026</v>
      </c>
      <c r="O124" s="237">
        <f t="shared" si="84"/>
        <v>69.414101290963302</v>
      </c>
      <c r="P124" s="108">
        <f t="shared" si="79"/>
        <v>0</v>
      </c>
      <c r="Q124" s="182">
        <f t="shared" si="80"/>
        <v>-6.3753723932472184</v>
      </c>
      <c r="R124" s="109">
        <f t="shared" si="81"/>
        <v>0.91588050314465475</v>
      </c>
      <c r="S124" s="695"/>
      <c r="T124" s="50">
        <v>0.64236111111111116</v>
      </c>
      <c r="U124" s="50">
        <v>0.6791666666666667</v>
      </c>
      <c r="V124" s="227">
        <v>23</v>
      </c>
      <c r="W124" s="526">
        <f t="shared" si="70"/>
        <v>52.999999999999972</v>
      </c>
      <c r="X124" s="188">
        <v>0.63055555555555554</v>
      </c>
      <c r="Y124" s="188">
        <v>0.64166666666666672</v>
      </c>
      <c r="Z124" s="54"/>
      <c r="AA124" s="54"/>
      <c r="AB124" s="673"/>
      <c r="AC124" s="673"/>
      <c r="AD124" s="513"/>
      <c r="AE124" s="513"/>
      <c r="AF124" s="108">
        <f t="shared" si="61"/>
        <v>-121.13207547169736</v>
      </c>
      <c r="AG124" s="109">
        <f t="shared" si="62"/>
        <v>0.91588050314465463</v>
      </c>
      <c r="AH124" s="688"/>
    </row>
    <row r="125" spans="1:34" ht="19.2" customHeight="1">
      <c r="A125" s="694"/>
      <c r="B125" s="130" t="s">
        <v>127</v>
      </c>
      <c r="C125" s="97"/>
      <c r="D125" s="42" t="s">
        <v>80</v>
      </c>
      <c r="E125" s="43"/>
      <c r="F125" s="343">
        <v>56.79</v>
      </c>
      <c r="G125" s="44">
        <v>1621</v>
      </c>
      <c r="H125" s="45">
        <f t="shared" si="82"/>
        <v>92056.59</v>
      </c>
      <c r="I125" s="515"/>
      <c r="J125" s="46">
        <v>18</v>
      </c>
      <c r="K125" s="44">
        <v>1636</v>
      </c>
      <c r="L125" s="47">
        <v>90.888888888888886</v>
      </c>
      <c r="M125" s="527">
        <v>18</v>
      </c>
      <c r="N125" s="174">
        <f t="shared" si="83"/>
        <v>1430.2941176470606</v>
      </c>
      <c r="O125" s="237">
        <f t="shared" si="84"/>
        <v>79.460784313725583</v>
      </c>
      <c r="P125" s="108">
        <f t="shared" si="79"/>
        <v>0</v>
      </c>
      <c r="Q125" s="182">
        <f t="shared" si="80"/>
        <v>-11.428104575163303</v>
      </c>
      <c r="R125" s="109">
        <f t="shared" si="81"/>
        <v>0.87426290809722529</v>
      </c>
      <c r="S125" s="695"/>
      <c r="T125" s="50">
        <v>0.71944444444444444</v>
      </c>
      <c r="U125" s="50">
        <v>0.76666666666666661</v>
      </c>
      <c r="V125" s="227">
        <v>5</v>
      </c>
      <c r="W125" s="526">
        <f t="shared" si="70"/>
        <v>67.999999999999915</v>
      </c>
      <c r="X125" s="64"/>
      <c r="Y125" s="64"/>
      <c r="Z125" s="54"/>
      <c r="AA125" s="54"/>
      <c r="AB125" s="673"/>
      <c r="AC125" s="673"/>
      <c r="AD125" s="513"/>
      <c r="AE125" s="513"/>
      <c r="AF125" s="48">
        <f t="shared" si="61"/>
        <v>-205.7058823529394</v>
      </c>
      <c r="AG125" s="517">
        <f t="shared" si="62"/>
        <v>0.87426290809722529</v>
      </c>
      <c r="AH125" s="689"/>
    </row>
    <row r="126" spans="1:34" ht="19.2" customHeight="1">
      <c r="A126" s="694"/>
      <c r="B126" s="130" t="s">
        <v>127</v>
      </c>
      <c r="C126" s="513"/>
      <c r="D126" s="391" t="s">
        <v>81</v>
      </c>
      <c r="E126" s="177"/>
      <c r="F126" s="343">
        <v>56.87</v>
      </c>
      <c r="G126" s="57">
        <v>1257</v>
      </c>
      <c r="H126" s="45">
        <f t="shared" si="82"/>
        <v>71485.59</v>
      </c>
      <c r="I126" s="513"/>
      <c r="J126" s="46">
        <v>18</v>
      </c>
      <c r="K126" s="44">
        <v>1636</v>
      </c>
      <c r="L126" s="47">
        <v>90.888888888888886</v>
      </c>
      <c r="M126" s="524">
        <v>18</v>
      </c>
      <c r="N126" s="57">
        <f t="shared" si="83"/>
        <v>1423.0188679245291</v>
      </c>
      <c r="O126" s="86">
        <f t="shared" si="84"/>
        <v>79.056603773584953</v>
      </c>
      <c r="P126" s="54">
        <f t="shared" si="79"/>
        <v>0</v>
      </c>
      <c r="Q126" s="88">
        <f t="shared" si="80"/>
        <v>-11.832285115303932</v>
      </c>
      <c r="R126" s="514">
        <f t="shared" si="81"/>
        <v>0.86981593393919876</v>
      </c>
      <c r="S126" s="695"/>
      <c r="T126" s="50">
        <v>0.77222222222222214</v>
      </c>
      <c r="U126" s="50">
        <v>0.80902777777777768</v>
      </c>
      <c r="V126" s="227">
        <v>8</v>
      </c>
      <c r="W126" s="526">
        <f t="shared" si="70"/>
        <v>52.999999999999972</v>
      </c>
      <c r="X126" s="64"/>
      <c r="Y126" s="64"/>
      <c r="Z126" s="54"/>
      <c r="AA126" s="54"/>
      <c r="AB126" s="673"/>
      <c r="AC126" s="673"/>
      <c r="AD126" s="513"/>
      <c r="AE126" s="513"/>
      <c r="AF126" s="108">
        <f t="shared" si="61"/>
        <v>-212.9811320754709</v>
      </c>
      <c r="AG126" s="109">
        <f t="shared" si="62"/>
        <v>0.86981593393919876</v>
      </c>
      <c r="AH126" s="689"/>
    </row>
    <row r="127" spans="1:34" ht="19.2" customHeight="1">
      <c r="A127" s="694"/>
      <c r="B127" s="130" t="s">
        <v>127</v>
      </c>
      <c r="C127" s="223"/>
      <c r="D127" s="392" t="s">
        <v>82</v>
      </c>
      <c r="E127" s="83"/>
      <c r="F127" s="343">
        <v>47.6</v>
      </c>
      <c r="G127" s="209">
        <v>1541</v>
      </c>
      <c r="H127" s="45">
        <f t="shared" si="82"/>
        <v>73351.600000000006</v>
      </c>
      <c r="I127" s="221"/>
      <c r="J127" s="46">
        <v>19</v>
      </c>
      <c r="K127" s="44">
        <v>1440</v>
      </c>
      <c r="L127" s="47">
        <v>75.78947368421052</v>
      </c>
      <c r="M127" s="527">
        <v>19</v>
      </c>
      <c r="N127" s="57">
        <f t="shared" si="83"/>
        <v>1320.8571428571415</v>
      </c>
      <c r="O127" s="86">
        <f t="shared" si="84"/>
        <v>69.518796992481128</v>
      </c>
      <c r="P127" s="54">
        <f t="shared" si="79"/>
        <v>0</v>
      </c>
      <c r="Q127" s="88">
        <f t="shared" si="80"/>
        <v>-6.2706766917293919</v>
      </c>
      <c r="R127" s="514">
        <f t="shared" si="81"/>
        <v>0.91726190476190383</v>
      </c>
      <c r="S127" s="695"/>
      <c r="T127" s="50">
        <v>0.81319444444444433</v>
      </c>
      <c r="U127" s="50">
        <v>0.86180555555555549</v>
      </c>
      <c r="V127" s="515">
        <v>6</v>
      </c>
      <c r="W127" s="526">
        <f t="shared" si="70"/>
        <v>70.000000000000071</v>
      </c>
      <c r="X127" s="64"/>
      <c r="Y127" s="64"/>
      <c r="Z127" s="54"/>
      <c r="AA127" s="54"/>
      <c r="AB127" s="673"/>
      <c r="AC127" s="673"/>
      <c r="AD127" s="513"/>
      <c r="AE127" s="513"/>
      <c r="AF127" s="108">
        <f t="shared" si="61"/>
        <v>-119.14285714285847</v>
      </c>
      <c r="AG127" s="109">
        <f t="shared" si="62"/>
        <v>0.91726190476190383</v>
      </c>
      <c r="AH127" s="689"/>
    </row>
    <row r="128" spans="1:34" ht="19.2" customHeight="1">
      <c r="A128" s="694"/>
      <c r="B128" s="130" t="s">
        <v>127</v>
      </c>
      <c r="C128" s="157"/>
      <c r="D128" s="59" t="s">
        <v>136</v>
      </c>
      <c r="E128" s="83"/>
      <c r="F128" s="343">
        <v>50.67</v>
      </c>
      <c r="G128" s="57">
        <v>1266</v>
      </c>
      <c r="H128" s="45">
        <f t="shared" si="82"/>
        <v>64148.22</v>
      </c>
      <c r="I128" s="513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1406.6666666666674</v>
      </c>
      <c r="O128" s="86">
        <f t="shared" si="84"/>
        <v>78.148148148148195</v>
      </c>
      <c r="P128" s="54">
        <f t="shared" si="79"/>
        <v>0</v>
      </c>
      <c r="Q128" s="88">
        <f t="shared" si="80"/>
        <v>-5.1851851851851336</v>
      </c>
      <c r="R128" s="514">
        <f t="shared" si="81"/>
        <v>0.93777777777777838</v>
      </c>
      <c r="S128" s="695"/>
      <c r="T128" s="50">
        <v>0.87708333333333321</v>
      </c>
      <c r="U128" s="50">
        <v>0.91458333333333319</v>
      </c>
      <c r="V128" s="515">
        <v>22</v>
      </c>
      <c r="W128" s="526">
        <f t="shared" si="70"/>
        <v>53.999999999999972</v>
      </c>
      <c r="X128" s="64">
        <v>0.8666666666666667</v>
      </c>
      <c r="Y128" s="64">
        <v>0.87638888888888899</v>
      </c>
      <c r="Z128" s="54"/>
      <c r="AA128" s="54"/>
      <c r="AB128" s="673"/>
      <c r="AC128" s="673"/>
      <c r="AD128" s="513"/>
      <c r="AE128" s="513"/>
      <c r="AF128" s="48">
        <f t="shared" si="61"/>
        <v>-93.333333333332575</v>
      </c>
      <c r="AG128" s="517">
        <f t="shared" si="62"/>
        <v>0.93777777777777827</v>
      </c>
      <c r="AH128" s="689"/>
    </row>
    <row r="129" spans="1:34" ht="19.2" customHeight="1">
      <c r="A129" s="694"/>
      <c r="B129" s="130" t="s">
        <v>127</v>
      </c>
      <c r="C129" s="157"/>
      <c r="D129" s="59" t="s">
        <v>197</v>
      </c>
      <c r="E129" s="60"/>
      <c r="F129" s="343">
        <v>56.43</v>
      </c>
      <c r="G129" s="57">
        <v>1287</v>
      </c>
      <c r="H129" s="45">
        <f t="shared" si="82"/>
        <v>72625.41</v>
      </c>
      <c r="I129" s="513"/>
      <c r="J129" s="46">
        <v>16</v>
      </c>
      <c r="K129" s="44">
        <v>1500</v>
      </c>
      <c r="L129" s="47">
        <v>93.75</v>
      </c>
      <c r="M129" s="87">
        <v>17</v>
      </c>
      <c r="N129" s="57">
        <f t="shared" si="83"/>
        <v>1378.9285714285725</v>
      </c>
      <c r="O129" s="86">
        <f t="shared" si="84"/>
        <v>81.113445378151326</v>
      </c>
      <c r="P129" s="54">
        <f t="shared" si="79"/>
        <v>1</v>
      </c>
      <c r="Q129" s="88">
        <f t="shared" si="80"/>
        <v>-12.636554621848674</v>
      </c>
      <c r="R129" s="514">
        <f t="shared" si="81"/>
        <v>0.8652100840336141</v>
      </c>
      <c r="S129" s="695"/>
      <c r="T129" s="50">
        <v>0.92013888888888873</v>
      </c>
      <c r="U129" s="50">
        <v>0.95902777777777759</v>
      </c>
      <c r="V129" s="515">
        <v>8</v>
      </c>
      <c r="W129" s="526">
        <f t="shared" si="70"/>
        <v>55.999999999999957</v>
      </c>
      <c r="X129" s="64"/>
      <c r="Y129" s="64"/>
      <c r="Z129" s="54"/>
      <c r="AA129" s="54"/>
      <c r="AB129" s="673"/>
      <c r="AC129" s="673"/>
      <c r="AD129" s="513"/>
      <c r="AE129" s="513"/>
      <c r="AF129" s="108">
        <f t="shared" si="61"/>
        <v>-121.07142857142753</v>
      </c>
      <c r="AG129" s="109">
        <f t="shared" si="62"/>
        <v>0.91928571428571493</v>
      </c>
      <c r="AH129" s="689"/>
    </row>
    <row r="130" spans="1:34" ht="19.2" customHeight="1">
      <c r="A130" s="694"/>
      <c r="B130" s="200">
        <v>0</v>
      </c>
      <c r="C130" s="157"/>
      <c r="D130" s="59"/>
      <c r="E130" s="60"/>
      <c r="F130" s="343" t="s">
        <v>128</v>
      </c>
      <c r="G130" s="57"/>
      <c r="H130" s="45">
        <f t="shared" si="82"/>
        <v>0</v>
      </c>
      <c r="I130" s="513"/>
      <c r="J130" s="46"/>
      <c r="K130" s="44"/>
      <c r="L130" s="47"/>
      <c r="M130" s="524"/>
      <c r="N130" s="57"/>
      <c r="O130" s="86"/>
      <c r="P130" s="54"/>
      <c r="Q130" s="88"/>
      <c r="R130" s="514"/>
      <c r="S130" s="695"/>
      <c r="T130" s="50"/>
      <c r="U130" s="50"/>
      <c r="V130" s="515"/>
      <c r="W130" s="526">
        <f t="shared" si="70"/>
        <v>0</v>
      </c>
      <c r="X130" s="64"/>
      <c r="Y130" s="64"/>
      <c r="Z130" s="54"/>
      <c r="AA130" s="54"/>
      <c r="AB130" s="673"/>
      <c r="AC130" s="673"/>
      <c r="AD130" s="513"/>
      <c r="AE130" s="513"/>
      <c r="AF130" s="108">
        <f t="shared" si="61"/>
        <v>0</v>
      </c>
      <c r="AG130" s="109" t="e">
        <f t="shared" si="62"/>
        <v>#DIV/0!</v>
      </c>
      <c r="AH130" s="689"/>
    </row>
    <row r="131" spans="1:34" ht="19.2" customHeight="1">
      <c r="A131" s="694"/>
      <c r="B131" s="200">
        <v>0</v>
      </c>
      <c r="C131" s="157"/>
      <c r="D131" s="59"/>
      <c r="E131" s="83"/>
      <c r="F131" s="343" t="s">
        <v>128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514"/>
      <c r="S131" s="695"/>
      <c r="T131" s="50"/>
      <c r="U131" s="50"/>
      <c r="V131" s="515"/>
      <c r="W131" s="526">
        <f t="shared" si="70"/>
        <v>0</v>
      </c>
      <c r="X131" s="64"/>
      <c r="Y131" s="64"/>
      <c r="Z131" s="54"/>
      <c r="AA131" s="54"/>
      <c r="AB131" s="673"/>
      <c r="AC131" s="673"/>
      <c r="AD131" s="513"/>
      <c r="AE131" s="513"/>
      <c r="AF131" s="48">
        <f t="shared" si="61"/>
        <v>0</v>
      </c>
      <c r="AG131" s="517" t="e">
        <f t="shared" si="62"/>
        <v>#DIV/0!</v>
      </c>
      <c r="AH131" s="689"/>
    </row>
    <row r="132" spans="1:34" ht="19.2" customHeight="1">
      <c r="A132" s="694"/>
      <c r="B132" s="200">
        <v>0</v>
      </c>
      <c r="C132" s="157"/>
      <c r="D132" s="59"/>
      <c r="E132" s="60"/>
      <c r="F132" s="343" t="s">
        <v>128</v>
      </c>
      <c r="G132" s="57"/>
      <c r="H132" s="45">
        <f t="shared" si="82"/>
        <v>0</v>
      </c>
      <c r="I132" s="513"/>
      <c r="J132" s="87"/>
      <c r="K132" s="57"/>
      <c r="L132" s="86"/>
      <c r="M132" s="524"/>
      <c r="N132" s="57"/>
      <c r="O132" s="86"/>
      <c r="P132" s="54"/>
      <c r="Q132" s="88"/>
      <c r="R132" s="514"/>
      <c r="S132" s="695"/>
      <c r="T132" s="50"/>
      <c r="U132" s="50"/>
      <c r="V132" s="515"/>
      <c r="W132" s="526">
        <f t="shared" si="70"/>
        <v>0</v>
      </c>
      <c r="X132" s="64"/>
      <c r="Y132" s="64"/>
      <c r="Z132" s="54"/>
      <c r="AA132" s="54"/>
      <c r="AB132" s="673"/>
      <c r="AC132" s="673"/>
      <c r="AD132" s="513"/>
      <c r="AE132" s="513"/>
      <c r="AF132" s="65"/>
      <c r="AG132" s="518"/>
      <c r="AH132" s="689"/>
    </row>
    <row r="133" spans="1:34" ht="19.2" customHeight="1">
      <c r="A133" s="694"/>
      <c r="B133" s="200">
        <v>0</v>
      </c>
      <c r="C133" s="157"/>
      <c r="D133" s="59"/>
      <c r="E133" s="60"/>
      <c r="F133" s="356" t="s">
        <v>128</v>
      </c>
      <c r="G133" s="57"/>
      <c r="H133" s="240">
        <f>F133*G133</f>
        <v>0</v>
      </c>
      <c r="I133" s="513"/>
      <c r="J133" s="87"/>
      <c r="K133" s="57"/>
      <c r="L133" s="86"/>
      <c r="M133" s="524"/>
      <c r="N133" s="57"/>
      <c r="O133" s="86"/>
      <c r="P133" s="54"/>
      <c r="Q133" s="88"/>
      <c r="R133" s="514"/>
      <c r="S133" s="695"/>
      <c r="T133" s="50"/>
      <c r="U133" s="50"/>
      <c r="V133" s="515"/>
      <c r="W133" s="239">
        <f t="shared" si="70"/>
        <v>0</v>
      </c>
      <c r="X133" s="64"/>
      <c r="Y133" s="64"/>
      <c r="Z133" s="54"/>
      <c r="AA133" s="54"/>
      <c r="AB133" s="673"/>
      <c r="AC133" s="673"/>
      <c r="AD133" s="513"/>
      <c r="AE133" s="513"/>
      <c r="AF133" s="65"/>
      <c r="AG133" s="518"/>
      <c r="AH133" s="689"/>
    </row>
    <row r="134" spans="1:34" ht="19.2" customHeight="1">
      <c r="A134" s="694"/>
      <c r="B134" s="168">
        <v>0</v>
      </c>
      <c r="C134" s="100" t="s">
        <v>320</v>
      </c>
      <c r="D134" s="669" t="s">
        <v>236</v>
      </c>
      <c r="E134" s="669"/>
      <c r="F134" s="353"/>
      <c r="G134" s="101"/>
      <c r="H134" s="102"/>
      <c r="I134" s="241"/>
      <c r="J134" s="242">
        <v>18.5</v>
      </c>
      <c r="K134" s="242">
        <v>1497.125</v>
      </c>
      <c r="L134" s="243">
        <v>81.522739139515465</v>
      </c>
      <c r="M134" s="242">
        <f t="shared" ref="M134:O134" si="85">AVERAGE(M122:M133)</f>
        <v>18.625</v>
      </c>
      <c r="N134" s="242">
        <f t="shared" si="85"/>
        <v>1364.754161381534</v>
      </c>
      <c r="O134" s="243">
        <f t="shared" si="85"/>
        <v>73.634285739011503</v>
      </c>
      <c r="P134" s="51">
        <f t="shared" ref="P134:P143" si="86">M134-J134</f>
        <v>0.125</v>
      </c>
      <c r="Q134" s="139">
        <f t="shared" ref="Q134:Q143" si="87">O134-L134</f>
        <v>-7.8884534005039626</v>
      </c>
      <c r="R134" s="244">
        <f t="shared" ref="R134:R143" si="88">O134/L134</f>
        <v>0.903236158601051</v>
      </c>
      <c r="S134" s="688"/>
      <c r="T134" s="50"/>
      <c r="U134" s="50"/>
      <c r="V134" s="515"/>
      <c r="W134" s="515"/>
      <c r="X134" s="53"/>
      <c r="Y134" s="53"/>
      <c r="Z134" s="106">
        <f>SUM(Z122:Z133)</f>
        <v>0</v>
      </c>
      <c r="AA134" s="106">
        <f>SUM(AA122:AA133)</f>
        <v>0</v>
      </c>
      <c r="AB134" s="673"/>
      <c r="AC134" s="673"/>
      <c r="AD134" s="107">
        <f>SUM(AD122:AD133)</f>
        <v>0</v>
      </c>
      <c r="AE134" s="107">
        <f>SUM(AE122:AE133)</f>
        <v>1</v>
      </c>
      <c r="AF134" s="48">
        <f t="shared" si="61"/>
        <v>-132.370838618466</v>
      </c>
      <c r="AG134" s="517">
        <f t="shared" si="62"/>
        <v>0.91158330892980477</v>
      </c>
      <c r="AH134" s="689"/>
    </row>
    <row r="135" spans="1:34" ht="19.2" customHeight="1">
      <c r="A135" s="675" t="s">
        <v>321</v>
      </c>
      <c r="B135" s="515" t="s">
        <v>127</v>
      </c>
      <c r="C135" s="513"/>
      <c r="D135" s="82" t="s">
        <v>138</v>
      </c>
      <c r="E135" s="83"/>
      <c r="F135" s="343">
        <v>54.09</v>
      </c>
      <c r="G135" s="57">
        <v>2080.4</v>
      </c>
      <c r="H135" s="245">
        <f t="shared" ref="H135:H146" si="89">F135*G135</f>
        <v>112528.83600000001</v>
      </c>
      <c r="I135" s="513"/>
      <c r="J135" s="46">
        <v>16</v>
      </c>
      <c r="K135" s="57">
        <v>1500</v>
      </c>
      <c r="L135" s="86">
        <v>93.75</v>
      </c>
      <c r="M135" s="228">
        <v>17</v>
      </c>
      <c r="N135" s="57">
        <f t="shared" ref="N135:N143" si="90">G135/W135*60</f>
        <v>1418.4545454545455</v>
      </c>
      <c r="O135" s="115">
        <f t="shared" ref="O135:O143" si="91">N135/M135</f>
        <v>83.438502673796791</v>
      </c>
      <c r="P135" s="54">
        <f t="shared" si="86"/>
        <v>1</v>
      </c>
      <c r="Q135" s="88">
        <f t="shared" si="87"/>
        <v>-10.311497326203209</v>
      </c>
      <c r="R135" s="514">
        <f t="shared" si="88"/>
        <v>0.8900106951871658</v>
      </c>
      <c r="S135" s="679">
        <f>R147</f>
        <v>0.9142516278947076</v>
      </c>
      <c r="T135" s="246">
        <v>0.5</v>
      </c>
      <c r="U135" s="50">
        <v>0.56111111111111112</v>
      </c>
      <c r="V135" s="142">
        <v>5</v>
      </c>
      <c r="W135" s="247">
        <f t="shared" ref="W135:W147" si="92">(U135-T135)*24*60</f>
        <v>88</v>
      </c>
      <c r="X135" s="53"/>
      <c r="Y135" s="53"/>
      <c r="Z135" s="54"/>
      <c r="AA135" s="54"/>
      <c r="AB135" s="673"/>
      <c r="AC135" s="673"/>
      <c r="AD135" s="513"/>
      <c r="AE135" s="513"/>
      <c r="AF135" s="116">
        <f t="shared" si="61"/>
        <v>-81.545454545454504</v>
      </c>
      <c r="AG135" s="120">
        <f t="shared" si="62"/>
        <v>0.94563636363636372</v>
      </c>
      <c r="AH135" s="672">
        <f>AG147</f>
        <v>0.9289013227366687</v>
      </c>
    </row>
    <row r="136" spans="1:34" ht="19.2" customHeight="1">
      <c r="A136" s="676"/>
      <c r="B136" s="515" t="s">
        <v>127</v>
      </c>
      <c r="C136" s="513"/>
      <c r="D136" s="82" t="s">
        <v>191</v>
      </c>
      <c r="E136" s="83"/>
      <c r="F136" s="343">
        <v>53.27</v>
      </c>
      <c r="G136" s="57">
        <v>1251.2</v>
      </c>
      <c r="H136" s="84">
        <f t="shared" si="89"/>
        <v>66651.423999999999</v>
      </c>
      <c r="I136" s="513"/>
      <c r="J136" s="46">
        <v>16</v>
      </c>
      <c r="K136" s="57">
        <v>1500</v>
      </c>
      <c r="L136" s="86">
        <v>93.75</v>
      </c>
      <c r="M136" s="524">
        <v>16</v>
      </c>
      <c r="N136" s="57">
        <f t="shared" si="90"/>
        <v>1416.4528301886801</v>
      </c>
      <c r="O136" s="86">
        <f t="shared" si="91"/>
        <v>88.528301886792505</v>
      </c>
      <c r="P136" s="54">
        <f t="shared" si="86"/>
        <v>0</v>
      </c>
      <c r="Q136" s="88">
        <f t="shared" si="87"/>
        <v>-5.2216981132074949</v>
      </c>
      <c r="R136" s="514">
        <f t="shared" si="88"/>
        <v>0.94430188679245342</v>
      </c>
      <c r="S136" s="679"/>
      <c r="T136" s="246">
        <v>0.56666666666666665</v>
      </c>
      <c r="U136" s="50">
        <v>0.60347222222222219</v>
      </c>
      <c r="V136" s="142">
        <v>8</v>
      </c>
      <c r="W136" s="247">
        <f t="shared" si="92"/>
        <v>52.999999999999972</v>
      </c>
      <c r="X136" s="53"/>
      <c r="Y136" s="53"/>
      <c r="Z136" s="54"/>
      <c r="AA136" s="54"/>
      <c r="AB136" s="673"/>
      <c r="AC136" s="673"/>
      <c r="AD136" s="513"/>
      <c r="AE136" s="513"/>
      <c r="AF136" s="48">
        <f t="shared" si="61"/>
        <v>-83.547169811319918</v>
      </c>
      <c r="AG136" s="125">
        <f t="shared" si="62"/>
        <v>0.94430188679245342</v>
      </c>
      <c r="AH136" s="672"/>
    </row>
    <row r="137" spans="1:34" ht="19.2" customHeight="1">
      <c r="A137" s="676"/>
      <c r="B137" s="515" t="s">
        <v>127</v>
      </c>
      <c r="C137" s="513"/>
      <c r="D137" s="82" t="s">
        <v>75</v>
      </c>
      <c r="E137" s="83"/>
      <c r="F137" s="343">
        <v>57.734999999999999</v>
      </c>
      <c r="G137" s="209">
        <v>1922</v>
      </c>
      <c r="H137" s="84">
        <f t="shared" si="89"/>
        <v>110966.67</v>
      </c>
      <c r="I137" s="221"/>
      <c r="J137" s="46">
        <v>16</v>
      </c>
      <c r="K137" s="44">
        <v>1565</v>
      </c>
      <c r="L137" s="47">
        <v>97.8125</v>
      </c>
      <c r="M137" s="87">
        <v>16</v>
      </c>
      <c r="N137" s="57">
        <f t="shared" si="90"/>
        <v>1406.3414634146336</v>
      </c>
      <c r="O137" s="86">
        <f t="shared" si="91"/>
        <v>87.896341463414601</v>
      </c>
      <c r="P137" s="54">
        <f t="shared" si="86"/>
        <v>0</v>
      </c>
      <c r="Q137" s="88">
        <f t="shared" si="87"/>
        <v>-9.9161585365853995</v>
      </c>
      <c r="R137" s="514">
        <f t="shared" si="88"/>
        <v>0.89862074339593201</v>
      </c>
      <c r="S137" s="679"/>
      <c r="T137" s="50">
        <v>0.61944444444444446</v>
      </c>
      <c r="U137" s="50">
        <v>0.67638888888888893</v>
      </c>
      <c r="V137" s="249">
        <v>23</v>
      </c>
      <c r="W137" s="247">
        <f t="shared" si="92"/>
        <v>82.000000000000028</v>
      </c>
      <c r="X137" s="53">
        <v>0.60763888888888895</v>
      </c>
      <c r="Y137" s="53">
        <v>0.61805555555555558</v>
      </c>
      <c r="Z137" s="54"/>
      <c r="AA137" s="54"/>
      <c r="AB137" s="673"/>
      <c r="AC137" s="673"/>
      <c r="AD137" s="513"/>
      <c r="AE137" s="513"/>
      <c r="AF137" s="48">
        <f t="shared" si="61"/>
        <v>-158.65853658536639</v>
      </c>
      <c r="AG137" s="125">
        <f t="shared" si="62"/>
        <v>0.89862074339593201</v>
      </c>
      <c r="AH137" s="672"/>
    </row>
    <row r="138" spans="1:34" ht="19.2" customHeight="1">
      <c r="A138" s="676"/>
      <c r="B138" s="515" t="s">
        <v>127</v>
      </c>
      <c r="C138" s="223"/>
      <c r="D138" s="82" t="s">
        <v>169</v>
      </c>
      <c r="E138" s="83"/>
      <c r="F138" s="343">
        <v>50.67</v>
      </c>
      <c r="G138" s="57">
        <v>1589</v>
      </c>
      <c r="H138" s="84">
        <f t="shared" si="89"/>
        <v>80514.63</v>
      </c>
      <c r="I138" s="513"/>
      <c r="J138" s="87">
        <v>18</v>
      </c>
      <c r="K138" s="57">
        <v>1500</v>
      </c>
      <c r="L138" s="86">
        <v>83.333333333333329</v>
      </c>
      <c r="M138" s="228">
        <v>18</v>
      </c>
      <c r="N138" s="57">
        <f t="shared" si="90"/>
        <v>1422.9850746268639</v>
      </c>
      <c r="O138" s="86">
        <f t="shared" si="91"/>
        <v>79.054726368159109</v>
      </c>
      <c r="P138" s="54">
        <f t="shared" si="86"/>
        <v>0</v>
      </c>
      <c r="Q138" s="88">
        <f t="shared" si="87"/>
        <v>-4.2786069651742196</v>
      </c>
      <c r="R138" s="519">
        <f t="shared" si="88"/>
        <v>0.94865671641790938</v>
      </c>
      <c r="S138" s="679"/>
      <c r="T138" s="50">
        <v>0.68125000000000002</v>
      </c>
      <c r="U138" s="50">
        <v>0.72777777777777786</v>
      </c>
      <c r="V138" s="249">
        <v>7</v>
      </c>
      <c r="W138" s="247">
        <f t="shared" si="92"/>
        <v>67.000000000000085</v>
      </c>
      <c r="X138" s="53"/>
      <c r="Y138" s="53"/>
      <c r="Z138" s="54"/>
      <c r="AA138" s="54"/>
      <c r="AB138" s="673"/>
      <c r="AC138" s="673"/>
      <c r="AD138" s="513"/>
      <c r="AE138" s="513"/>
      <c r="AF138" s="48">
        <f t="shared" si="61"/>
        <v>-77.014925373136066</v>
      </c>
      <c r="AG138" s="125">
        <f t="shared" si="62"/>
        <v>0.94865671641790927</v>
      </c>
      <c r="AH138" s="672"/>
    </row>
    <row r="139" spans="1:34" ht="19.2" customHeight="1">
      <c r="A139" s="676"/>
      <c r="B139" s="515" t="s">
        <v>127</v>
      </c>
      <c r="C139" s="522"/>
      <c r="D139" s="42" t="s">
        <v>84</v>
      </c>
      <c r="E139" s="43"/>
      <c r="F139" s="343">
        <v>50.98</v>
      </c>
      <c r="G139" s="57">
        <v>1957</v>
      </c>
      <c r="H139" s="84">
        <f t="shared" si="89"/>
        <v>99767.86</v>
      </c>
      <c r="I139" s="513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1334.3181818181818</v>
      </c>
      <c r="O139" s="86">
        <f t="shared" si="91"/>
        <v>66.715909090909093</v>
      </c>
      <c r="P139" s="54">
        <f t="shared" si="86"/>
        <v>0</v>
      </c>
      <c r="Q139" s="88">
        <f t="shared" si="87"/>
        <v>-5.2840909090909065</v>
      </c>
      <c r="R139" s="514">
        <f t="shared" si="88"/>
        <v>0.92660984848484851</v>
      </c>
      <c r="S139" s="679"/>
      <c r="T139" s="50">
        <v>0.7680555555555556</v>
      </c>
      <c r="U139" s="50">
        <v>0.82916666666666672</v>
      </c>
      <c r="V139" s="250">
        <v>5</v>
      </c>
      <c r="W139" s="247">
        <f t="shared" si="92"/>
        <v>88</v>
      </c>
      <c r="X139" s="53"/>
      <c r="Y139" s="53"/>
      <c r="Z139" s="54"/>
      <c r="AA139" s="54"/>
      <c r="AB139" s="673"/>
      <c r="AC139" s="673"/>
      <c r="AD139" s="513"/>
      <c r="AE139" s="513"/>
      <c r="AF139" s="48">
        <f t="shared" si="61"/>
        <v>-105.68181818181824</v>
      </c>
      <c r="AG139" s="125">
        <f t="shared" si="62"/>
        <v>0.9266098484848484</v>
      </c>
      <c r="AH139" s="672"/>
    </row>
    <row r="140" spans="1:34" ht="19.2" customHeight="1">
      <c r="A140" s="677"/>
      <c r="B140" s="515" t="s">
        <v>127</v>
      </c>
      <c r="C140" s="522"/>
      <c r="D140" s="251" t="s">
        <v>83</v>
      </c>
      <c r="E140" s="83"/>
      <c r="F140" s="343">
        <v>50.67</v>
      </c>
      <c r="G140" s="57">
        <v>1069</v>
      </c>
      <c r="H140" s="84">
        <f t="shared" si="89"/>
        <v>54166.23</v>
      </c>
      <c r="I140" s="513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1394.3478260869565</v>
      </c>
      <c r="O140" s="86">
        <f t="shared" si="91"/>
        <v>82.020460358056269</v>
      </c>
      <c r="P140" s="54">
        <f t="shared" si="86"/>
        <v>0</v>
      </c>
      <c r="Q140" s="88">
        <f t="shared" si="87"/>
        <v>-6.214833759590789</v>
      </c>
      <c r="R140" s="514">
        <f t="shared" si="88"/>
        <v>0.92956521739130438</v>
      </c>
      <c r="S140" s="680"/>
      <c r="T140" s="63">
        <v>0.83402777777777781</v>
      </c>
      <c r="U140" s="252">
        <v>0.86597222222222225</v>
      </c>
      <c r="V140" s="253">
        <v>7</v>
      </c>
      <c r="W140" s="247">
        <f t="shared" si="92"/>
        <v>46</v>
      </c>
      <c r="X140" s="53"/>
      <c r="Y140" s="53"/>
      <c r="Z140" s="54"/>
      <c r="AA140" s="54"/>
      <c r="AB140" s="673"/>
      <c r="AC140" s="673"/>
      <c r="AD140" s="513"/>
      <c r="AE140" s="513"/>
      <c r="AF140" s="48">
        <f t="shared" si="61"/>
        <v>-105.6521739130435</v>
      </c>
      <c r="AG140" s="125">
        <f t="shared" si="62"/>
        <v>0.92956521739130438</v>
      </c>
      <c r="AH140" s="672"/>
    </row>
    <row r="141" spans="1:34" ht="19.2" customHeight="1">
      <c r="A141" s="677"/>
      <c r="B141" s="515" t="s">
        <v>127</v>
      </c>
      <c r="C141" s="522"/>
      <c r="D141" s="42" t="s">
        <v>85</v>
      </c>
      <c r="E141" s="254"/>
      <c r="F141" s="343">
        <v>50.92</v>
      </c>
      <c r="G141" s="57">
        <v>2084</v>
      </c>
      <c r="H141" s="84">
        <f t="shared" si="89"/>
        <v>106117.28</v>
      </c>
      <c r="I141" s="513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1330.2127659574471</v>
      </c>
      <c r="O141" s="86">
        <f t="shared" si="91"/>
        <v>70.011198208286686</v>
      </c>
      <c r="P141" s="54">
        <f t="shared" si="86"/>
        <v>0</v>
      </c>
      <c r="Q141" s="88">
        <f t="shared" si="87"/>
        <v>-5.7782754759238344</v>
      </c>
      <c r="R141" s="514">
        <f t="shared" si="88"/>
        <v>0.92375886524822715</v>
      </c>
      <c r="S141" s="680"/>
      <c r="T141" s="63">
        <v>0.87152777777777779</v>
      </c>
      <c r="U141" s="252">
        <v>0.93680555555555556</v>
      </c>
      <c r="V141" s="55">
        <v>8</v>
      </c>
      <c r="W141" s="247">
        <f t="shared" si="92"/>
        <v>93.999999999999986</v>
      </c>
      <c r="X141" s="53"/>
      <c r="Y141" s="53"/>
      <c r="Z141" s="54"/>
      <c r="AA141" s="54"/>
      <c r="AB141" s="673"/>
      <c r="AC141" s="673"/>
      <c r="AD141" s="513"/>
      <c r="AE141" s="513">
        <v>1</v>
      </c>
      <c r="AF141" s="48">
        <f t="shared" si="61"/>
        <v>-109.78723404255288</v>
      </c>
      <c r="AG141" s="125">
        <f t="shared" si="62"/>
        <v>0.92375886524822715</v>
      </c>
      <c r="AH141" s="672"/>
    </row>
    <row r="142" spans="1:34" ht="19.2" customHeight="1">
      <c r="A142" s="677"/>
      <c r="B142" s="515" t="s">
        <v>127</v>
      </c>
      <c r="C142" s="522"/>
      <c r="D142" s="42" t="s">
        <v>86</v>
      </c>
      <c r="E142" s="254"/>
      <c r="F142" s="343">
        <v>50.67</v>
      </c>
      <c r="G142" s="57">
        <v>944</v>
      </c>
      <c r="H142" s="84">
        <f t="shared" si="89"/>
        <v>47832.480000000003</v>
      </c>
      <c r="I142" s="513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1317.2093023255811</v>
      </c>
      <c r="O142" s="86">
        <f t="shared" si="91"/>
        <v>77.482900136798889</v>
      </c>
      <c r="P142" s="54">
        <f t="shared" si="86"/>
        <v>0</v>
      </c>
      <c r="Q142" s="88">
        <f t="shared" si="87"/>
        <v>-7.2229822161422845</v>
      </c>
      <c r="R142" s="514">
        <f t="shared" si="88"/>
        <v>0.91472868217054248</v>
      </c>
      <c r="S142" s="680"/>
      <c r="T142" s="63">
        <v>0.95208333333333328</v>
      </c>
      <c r="U142" s="252">
        <v>0.9819444444444444</v>
      </c>
      <c r="V142" s="55">
        <v>22</v>
      </c>
      <c r="W142" s="247">
        <f t="shared" si="92"/>
        <v>43.000000000000007</v>
      </c>
      <c r="X142" s="53">
        <v>0.94097222222222221</v>
      </c>
      <c r="Y142" s="53">
        <v>0.95138888888888884</v>
      </c>
      <c r="Z142" s="54"/>
      <c r="AA142" s="54"/>
      <c r="AB142" s="673"/>
      <c r="AC142" s="673"/>
      <c r="AD142" s="513"/>
      <c r="AE142" s="513"/>
      <c r="AF142" s="48">
        <f t="shared" si="61"/>
        <v>-122.79069767441888</v>
      </c>
      <c r="AG142" s="125">
        <f t="shared" si="62"/>
        <v>0.91472868217054248</v>
      </c>
      <c r="AH142" s="672"/>
    </row>
    <row r="143" spans="1:34" ht="19.2" customHeight="1">
      <c r="A143" s="677"/>
      <c r="B143" s="515" t="s">
        <v>127</v>
      </c>
      <c r="C143" s="255"/>
      <c r="D143" s="82" t="s">
        <v>87</v>
      </c>
      <c r="E143" s="83"/>
      <c r="F143" s="343">
        <v>50.49</v>
      </c>
      <c r="G143" s="57">
        <v>1315</v>
      </c>
      <c r="H143" s="84">
        <f t="shared" si="89"/>
        <v>66394.350000000006</v>
      </c>
      <c r="I143" s="513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1337.2881355932213</v>
      </c>
      <c r="O143" s="86">
        <f t="shared" si="91"/>
        <v>89.152542372881427</v>
      </c>
      <c r="P143" s="54">
        <f t="shared" si="86"/>
        <v>1</v>
      </c>
      <c r="Q143" s="88">
        <f t="shared" si="87"/>
        <v>-13.704600484261434</v>
      </c>
      <c r="R143" s="514">
        <f t="shared" si="88"/>
        <v>0.86676082862523607</v>
      </c>
      <c r="S143" s="680"/>
      <c r="T143" s="63">
        <v>0.98680555555555549</v>
      </c>
      <c r="U143" s="252">
        <v>1.0277777777777777</v>
      </c>
      <c r="V143" s="55">
        <v>7</v>
      </c>
      <c r="W143" s="247">
        <f t="shared" si="92"/>
        <v>58.99999999999995</v>
      </c>
      <c r="X143" s="53"/>
      <c r="Y143" s="53"/>
      <c r="Z143" s="54"/>
      <c r="AA143" s="54"/>
      <c r="AB143" s="673"/>
      <c r="AC143" s="673"/>
      <c r="AD143" s="513"/>
      <c r="AE143" s="513"/>
      <c r="AF143" s="48">
        <f t="shared" si="61"/>
        <v>-102.71186440677866</v>
      </c>
      <c r="AG143" s="125">
        <f t="shared" si="62"/>
        <v>0.92867231638418146</v>
      </c>
      <c r="AH143" s="672"/>
    </row>
    <row r="144" spans="1:34" ht="19.2" customHeight="1">
      <c r="A144" s="677"/>
      <c r="B144" s="515">
        <v>0</v>
      </c>
      <c r="C144" s="522"/>
      <c r="D144" s="42"/>
      <c r="E144" s="254"/>
      <c r="F144" s="343" t="s">
        <v>128</v>
      </c>
      <c r="G144" s="57"/>
      <c r="H144" s="84"/>
      <c r="I144" s="513"/>
      <c r="J144" s="46"/>
      <c r="K144" s="44"/>
      <c r="L144" s="47"/>
      <c r="M144" s="524"/>
      <c r="N144" s="57"/>
      <c r="O144" s="86"/>
      <c r="P144" s="54"/>
      <c r="Q144" s="88"/>
      <c r="R144" s="514"/>
      <c r="S144" s="680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673"/>
      <c r="AC144" s="673"/>
      <c r="AD144" s="513"/>
      <c r="AE144" s="513"/>
      <c r="AF144" s="48">
        <f t="shared" si="61"/>
        <v>0</v>
      </c>
      <c r="AG144" s="125" t="e">
        <f t="shared" si="62"/>
        <v>#DIV/0!</v>
      </c>
      <c r="AH144" s="672"/>
    </row>
    <row r="145" spans="1:34" ht="19.2" customHeight="1">
      <c r="A145" s="677"/>
      <c r="B145" s="515">
        <v>0</v>
      </c>
      <c r="C145" s="522"/>
      <c r="D145" s="42"/>
      <c r="E145" s="254"/>
      <c r="F145" s="343" t="s">
        <v>128</v>
      </c>
      <c r="G145" s="57" t="s">
        <v>15</v>
      </c>
      <c r="H145" s="84"/>
      <c r="I145" s="513"/>
      <c r="J145" s="87"/>
      <c r="K145" s="57"/>
      <c r="L145" s="86"/>
      <c r="M145" s="524"/>
      <c r="N145" s="57"/>
      <c r="O145" s="86"/>
      <c r="P145" s="54"/>
      <c r="Q145" s="88"/>
      <c r="R145" s="514"/>
      <c r="S145" s="680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673"/>
      <c r="AC145" s="673"/>
      <c r="AD145" s="513"/>
      <c r="AE145" s="513"/>
      <c r="AF145" s="48">
        <f t="shared" si="61"/>
        <v>0</v>
      </c>
      <c r="AG145" s="125" t="e">
        <f t="shared" si="62"/>
        <v>#DIV/0!</v>
      </c>
      <c r="AH145" s="672"/>
    </row>
    <row r="146" spans="1:34" ht="19.2" customHeight="1">
      <c r="A146" s="677"/>
      <c r="B146" s="529">
        <v>0</v>
      </c>
      <c r="C146" s="255"/>
      <c r="D146" s="256"/>
      <c r="E146" s="254"/>
      <c r="F146" s="343" t="s">
        <v>128</v>
      </c>
      <c r="G146" s="57"/>
      <c r="H146" s="84">
        <f t="shared" si="89"/>
        <v>0</v>
      </c>
      <c r="I146" s="513"/>
      <c r="J146" s="87"/>
      <c r="K146" s="57"/>
      <c r="L146" s="86"/>
      <c r="M146" s="524"/>
      <c r="N146" s="57"/>
      <c r="O146" s="86"/>
      <c r="P146" s="54"/>
      <c r="Q146" s="88"/>
      <c r="R146" s="514"/>
      <c r="S146" s="680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673"/>
      <c r="AC146" s="673"/>
      <c r="AD146" s="513"/>
      <c r="AE146" s="513"/>
      <c r="AF146" s="54"/>
      <c r="AG146" s="514"/>
      <c r="AH146" s="672"/>
    </row>
    <row r="147" spans="1:34" ht="19.2" customHeight="1">
      <c r="A147" s="678"/>
      <c r="B147" s="257">
        <v>0</v>
      </c>
      <c r="C147" s="100" t="s">
        <v>610</v>
      </c>
      <c r="D147" s="669" t="s">
        <v>611</v>
      </c>
      <c r="E147" s="669"/>
      <c r="F147" s="35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42">
        <f t="shared" ref="M147:O147" si="93">AVERAGE(M135:M146)</f>
        <v>17.222222222222221</v>
      </c>
      <c r="N147" s="242">
        <f t="shared" si="93"/>
        <v>1375.290013940679</v>
      </c>
      <c r="O147" s="243">
        <f t="shared" si="93"/>
        <v>80.477875839899468</v>
      </c>
      <c r="P147" s="51">
        <f t="shared" ref="P147:P155" si="94">M147-J147</f>
        <v>0.22222222222222143</v>
      </c>
      <c r="Q147" s="139">
        <f t="shared" ref="Q147:Q155" si="95">O147-L147</f>
        <v>-7.5480826429088665</v>
      </c>
      <c r="R147" s="258">
        <f t="shared" ref="R147:R155" si="96">O147/L147</f>
        <v>0.9142516278947076</v>
      </c>
      <c r="S147" s="681"/>
      <c r="T147" s="63"/>
      <c r="U147" s="63"/>
      <c r="V147" s="55"/>
      <c r="W147" s="526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673"/>
      <c r="AC147" s="673"/>
      <c r="AD147" s="107">
        <f>SUM(AD135:AD146)</f>
        <v>0</v>
      </c>
      <c r="AE147" s="107">
        <f>SUM(AE135:AE146)</f>
        <v>1</v>
      </c>
      <c r="AF147" s="204">
        <f t="shared" si="61"/>
        <v>-105.26554161487661</v>
      </c>
      <c r="AG147" s="259">
        <f t="shared" si="62"/>
        <v>0.9289013227366687</v>
      </c>
      <c r="AH147" s="672"/>
    </row>
    <row r="148" spans="1:34" ht="19.2" customHeight="1">
      <c r="A148" s="684" t="s">
        <v>612</v>
      </c>
      <c r="B148" s="513" t="s">
        <v>125</v>
      </c>
      <c r="C148" s="121"/>
      <c r="D148" s="173" t="s">
        <v>137</v>
      </c>
      <c r="E148" s="43"/>
      <c r="F148" s="350">
        <v>36.92</v>
      </c>
      <c r="G148" s="57">
        <v>2986</v>
      </c>
      <c r="H148" s="84">
        <f t="shared" ref="H148:H172" si="97">F148*G148</f>
        <v>110243.12000000001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5" si="98">G148/W148*60</f>
        <v>1421.9047619047624</v>
      </c>
      <c r="O148" s="47">
        <f t="shared" ref="O148:O155" si="99">N148/M148</f>
        <v>118.49206349206354</v>
      </c>
      <c r="P148" s="48">
        <f t="shared" si="94"/>
        <v>0</v>
      </c>
      <c r="Q148" s="49">
        <f t="shared" si="95"/>
        <v>-48.174603174603121</v>
      </c>
      <c r="R148" s="517">
        <f t="shared" si="96"/>
        <v>0.71095238095238122</v>
      </c>
      <c r="S148" s="685">
        <f>R160</f>
        <v>0.83628180053788437</v>
      </c>
      <c r="T148" s="246">
        <v>0.45833333333333331</v>
      </c>
      <c r="U148" s="50">
        <v>0.54583333333333328</v>
      </c>
      <c r="V148" s="515">
        <v>5</v>
      </c>
      <c r="W148" s="526">
        <f>(U148-T148)*24*60</f>
        <v>125.99999999999996</v>
      </c>
      <c r="X148" s="53"/>
      <c r="Y148" s="53"/>
      <c r="Z148" s="54"/>
      <c r="AA148" s="54"/>
      <c r="AB148" s="673"/>
      <c r="AC148" s="673"/>
      <c r="AD148" s="513"/>
      <c r="AE148" s="513"/>
      <c r="AF148" s="48">
        <f t="shared" si="61"/>
        <v>-578.09523809523762</v>
      </c>
      <c r="AG148" s="125">
        <f t="shared" si="62"/>
        <v>0.71095238095238122</v>
      </c>
      <c r="AH148" s="672">
        <f>AG160</f>
        <v>0.80890421985130923</v>
      </c>
    </row>
    <row r="149" spans="1:34" ht="19.2" customHeight="1">
      <c r="A149" s="684"/>
      <c r="B149" s="513" t="s">
        <v>125</v>
      </c>
      <c r="C149" s="221"/>
      <c r="D149" s="251" t="s">
        <v>190</v>
      </c>
      <c r="E149" s="60"/>
      <c r="F149" s="350">
        <v>26.5</v>
      </c>
      <c r="G149" s="57">
        <v>972.99999999999989</v>
      </c>
      <c r="H149" s="84">
        <f t="shared" si="97"/>
        <v>25784.499999999996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1423.9024390243894</v>
      </c>
      <c r="O149" s="47">
        <f t="shared" si="99"/>
        <v>118.65853658536578</v>
      </c>
      <c r="P149" s="48">
        <f t="shared" si="94"/>
        <v>0</v>
      </c>
      <c r="Q149" s="49">
        <f t="shared" si="95"/>
        <v>-48.008130081300877</v>
      </c>
      <c r="R149" s="517">
        <f t="shared" si="96"/>
        <v>0.71195121951219476</v>
      </c>
      <c r="S149" s="686"/>
      <c r="T149" s="246">
        <v>0.54930555555555549</v>
      </c>
      <c r="U149" s="50">
        <v>0.57777777777777772</v>
      </c>
      <c r="V149" s="515">
        <v>5</v>
      </c>
      <c r="W149" s="526">
        <f t="shared" ref="W149:W159" si="100">(U149-T149)*24*60</f>
        <v>41.000000000000014</v>
      </c>
      <c r="X149" s="53"/>
      <c r="Y149" s="53"/>
      <c r="Z149" s="54"/>
      <c r="AA149" s="54"/>
      <c r="AB149" s="673"/>
      <c r="AC149" s="673"/>
      <c r="AD149" s="513"/>
      <c r="AE149" s="513"/>
      <c r="AF149" s="48">
        <f t="shared" si="61"/>
        <v>-576.09756097561058</v>
      </c>
      <c r="AG149" s="125">
        <f t="shared" si="62"/>
        <v>0.71195121951219476</v>
      </c>
      <c r="AH149" s="674"/>
    </row>
    <row r="150" spans="1:34" ht="19.2" customHeight="1">
      <c r="A150" s="684"/>
      <c r="B150" s="513" t="s">
        <v>125</v>
      </c>
      <c r="C150" s="221"/>
      <c r="D150" s="176" t="s">
        <v>196</v>
      </c>
      <c r="E150" s="60"/>
      <c r="F150" s="350">
        <v>55.51</v>
      </c>
      <c r="G150" s="57">
        <v>194</v>
      </c>
      <c r="H150" s="84">
        <f t="shared" si="97"/>
        <v>10768.94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1164.0000000000041</v>
      </c>
      <c r="O150" s="47">
        <f t="shared" si="99"/>
        <v>97.000000000000341</v>
      </c>
      <c r="P150" s="48">
        <f t="shared" si="94"/>
        <v>0</v>
      </c>
      <c r="Q150" s="49">
        <f t="shared" si="95"/>
        <v>-27.999999999999659</v>
      </c>
      <c r="R150" s="517">
        <f t="shared" si="96"/>
        <v>0.77600000000000269</v>
      </c>
      <c r="S150" s="686"/>
      <c r="T150" s="246">
        <v>0.70833333333333337</v>
      </c>
      <c r="U150" s="50">
        <v>0.71527777777777779</v>
      </c>
      <c r="V150" s="515">
        <v>5</v>
      </c>
      <c r="W150" s="526">
        <f t="shared" si="100"/>
        <v>9.9999999999999645</v>
      </c>
      <c r="X150" s="216"/>
      <c r="Y150" s="216"/>
      <c r="Z150" s="217"/>
      <c r="AA150" s="217"/>
      <c r="AB150" s="673"/>
      <c r="AC150" s="673"/>
      <c r="AD150" s="513"/>
      <c r="AE150" s="513"/>
      <c r="AF150" s="48">
        <f t="shared" si="61"/>
        <v>-335.99999999999591</v>
      </c>
      <c r="AG150" s="125">
        <f t="shared" si="62"/>
        <v>0.77600000000000269</v>
      </c>
      <c r="AH150" s="674"/>
    </row>
    <row r="151" spans="1:34" s="218" customFormat="1" ht="19.2" customHeight="1">
      <c r="A151" s="684"/>
      <c r="B151" s="513" t="s">
        <v>126</v>
      </c>
      <c r="C151" s="221"/>
      <c r="D151" s="59" t="s">
        <v>182</v>
      </c>
      <c r="E151" s="60"/>
      <c r="F151" s="350">
        <v>28.57</v>
      </c>
      <c r="G151" s="57">
        <v>1438</v>
      </c>
      <c r="H151" s="84">
        <f t="shared" si="97"/>
        <v>41083.660000000003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1438.0000000000014</v>
      </c>
      <c r="O151" s="47">
        <f t="shared" si="99"/>
        <v>119.83333333333344</v>
      </c>
      <c r="P151" s="48">
        <f t="shared" si="94"/>
        <v>0</v>
      </c>
      <c r="Q151" s="49">
        <f t="shared" si="95"/>
        <v>-5.1666666666665577</v>
      </c>
      <c r="R151" s="517">
        <f t="shared" si="96"/>
        <v>0.95866666666666756</v>
      </c>
      <c r="S151" s="686"/>
      <c r="T151" s="246">
        <v>0.71875</v>
      </c>
      <c r="U151" s="50">
        <v>0.76041666666666663</v>
      </c>
      <c r="V151" s="515">
        <v>5</v>
      </c>
      <c r="W151" s="526">
        <f t="shared" si="100"/>
        <v>59.999999999999943</v>
      </c>
      <c r="X151" s="216"/>
      <c r="Y151" s="216"/>
      <c r="Z151" s="217"/>
      <c r="AA151" s="217"/>
      <c r="AB151" s="673"/>
      <c r="AC151" s="673"/>
      <c r="AD151" s="221"/>
      <c r="AE151" s="221"/>
      <c r="AF151" s="48">
        <f t="shared" si="61"/>
        <v>-61.999999999998636</v>
      </c>
      <c r="AG151" s="125">
        <f t="shared" si="62"/>
        <v>0.95866666666666756</v>
      </c>
      <c r="AH151" s="674"/>
    </row>
    <row r="152" spans="1:34" s="218" customFormat="1" ht="19.2" customHeight="1">
      <c r="A152" s="684"/>
      <c r="B152" s="513" t="s">
        <v>126</v>
      </c>
      <c r="C152" s="221"/>
      <c r="D152" s="59" t="s">
        <v>170</v>
      </c>
      <c r="E152" s="60"/>
      <c r="F152" s="350">
        <v>20.420000000000002</v>
      </c>
      <c r="G152" s="57">
        <v>272</v>
      </c>
      <c r="H152" s="84">
        <f t="shared" si="97"/>
        <v>5554.2400000000007</v>
      </c>
      <c r="I152" s="260"/>
      <c r="J152" s="87">
        <v>12</v>
      </c>
      <c r="K152" s="57">
        <v>1500</v>
      </c>
      <c r="L152" s="86">
        <v>125</v>
      </c>
      <c r="M152" s="228">
        <v>12</v>
      </c>
      <c r="N152" s="44">
        <f t="shared" si="98"/>
        <v>1020.0000000000036</v>
      </c>
      <c r="O152" s="47">
        <f t="shared" si="99"/>
        <v>85.000000000000298</v>
      </c>
      <c r="P152" s="48">
        <f t="shared" si="94"/>
        <v>0</v>
      </c>
      <c r="Q152" s="49">
        <f t="shared" si="95"/>
        <v>-39.999999999999702</v>
      </c>
      <c r="R152" s="517">
        <f t="shared" si="96"/>
        <v>0.68000000000000238</v>
      </c>
      <c r="S152" s="686"/>
      <c r="T152" s="261">
        <v>0.76388888888888884</v>
      </c>
      <c r="U152" s="63">
        <v>0.77499999999999991</v>
      </c>
      <c r="V152" s="528">
        <v>5</v>
      </c>
      <c r="W152" s="526">
        <f t="shared" si="100"/>
        <v>15.999999999999943</v>
      </c>
      <c r="X152" s="219"/>
      <c r="Y152" s="219"/>
      <c r="Z152" s="217"/>
      <c r="AA152" s="217"/>
      <c r="AB152" s="673"/>
      <c r="AC152" s="673"/>
      <c r="AD152" s="221"/>
      <c r="AE152" s="221"/>
      <c r="AF152" s="48">
        <f t="shared" si="61"/>
        <v>-479.99999999999636</v>
      </c>
      <c r="AG152" s="125">
        <f t="shared" si="62"/>
        <v>0.68000000000000238</v>
      </c>
      <c r="AH152" s="674"/>
    </row>
    <row r="153" spans="1:34" s="218" customFormat="1" ht="19.2" customHeight="1">
      <c r="A153" s="684"/>
      <c r="B153" s="513" t="s">
        <v>126</v>
      </c>
      <c r="C153" s="221"/>
      <c r="D153" s="251" t="s">
        <v>211</v>
      </c>
      <c r="E153" s="60"/>
      <c r="F153" s="350">
        <v>18.920000000000002</v>
      </c>
      <c r="G153" s="57">
        <v>1306</v>
      </c>
      <c r="H153" s="84">
        <f t="shared" si="97"/>
        <v>24709.52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2009.2307692307681</v>
      </c>
      <c r="O153" s="47">
        <f t="shared" si="99"/>
        <v>401.84615384615364</v>
      </c>
      <c r="P153" s="48">
        <f t="shared" si="94"/>
        <v>0</v>
      </c>
      <c r="Q153" s="49">
        <f t="shared" si="95"/>
        <v>-38.153846153846359</v>
      </c>
      <c r="R153" s="517">
        <f t="shared" si="96"/>
        <v>0.91328671328671285</v>
      </c>
      <c r="S153" s="686"/>
      <c r="T153" s="261">
        <v>0.77847222222222212</v>
      </c>
      <c r="U153" s="63">
        <v>0.80555555555555547</v>
      </c>
      <c r="V153" s="528">
        <v>5</v>
      </c>
      <c r="W153" s="526">
        <f t="shared" si="100"/>
        <v>39.000000000000021</v>
      </c>
      <c r="X153" s="219"/>
      <c r="Y153" s="219"/>
      <c r="Z153" s="217"/>
      <c r="AA153" s="217"/>
      <c r="AB153" s="673"/>
      <c r="AC153" s="673"/>
      <c r="AD153" s="221"/>
      <c r="AE153" s="221"/>
      <c r="AF153" s="48">
        <f t="shared" si="61"/>
        <v>-190.76923076923185</v>
      </c>
      <c r="AG153" s="125">
        <f t="shared" si="62"/>
        <v>0.91328671328671285</v>
      </c>
      <c r="AH153" s="674"/>
    </row>
    <row r="154" spans="1:34" s="218" customFormat="1" ht="19.2" customHeight="1">
      <c r="A154" s="684"/>
      <c r="B154" s="513" t="s">
        <v>126</v>
      </c>
      <c r="C154" s="221"/>
      <c r="D154" s="251" t="s">
        <v>212</v>
      </c>
      <c r="E154" s="60"/>
      <c r="F154" s="350">
        <v>17.71</v>
      </c>
      <c r="G154" s="57">
        <v>1168</v>
      </c>
      <c r="H154" s="84">
        <f t="shared" si="97"/>
        <v>20685.280000000002</v>
      </c>
      <c r="I154" s="260"/>
      <c r="J154" s="87">
        <v>5</v>
      </c>
      <c r="K154" s="57">
        <v>2200</v>
      </c>
      <c r="L154" s="86">
        <v>440</v>
      </c>
      <c r="M154" s="199">
        <v>5</v>
      </c>
      <c r="N154" s="44">
        <f t="shared" si="98"/>
        <v>1946.6666666666654</v>
      </c>
      <c r="O154" s="47">
        <f t="shared" si="99"/>
        <v>389.33333333333309</v>
      </c>
      <c r="P154" s="48">
        <f t="shared" si="94"/>
        <v>0</v>
      </c>
      <c r="Q154" s="49">
        <f t="shared" si="95"/>
        <v>-50.666666666666913</v>
      </c>
      <c r="R154" s="517">
        <f t="shared" si="96"/>
        <v>0.88484848484848433</v>
      </c>
      <c r="S154" s="686"/>
      <c r="T154" s="261">
        <v>0.80902777777777768</v>
      </c>
      <c r="U154" s="63">
        <v>0.8340277777777777</v>
      </c>
      <c r="V154" s="528">
        <v>5</v>
      </c>
      <c r="W154" s="526">
        <f t="shared" si="100"/>
        <v>36.000000000000028</v>
      </c>
      <c r="X154" s="219"/>
      <c r="Y154" s="219"/>
      <c r="Z154" s="217"/>
      <c r="AA154" s="217"/>
      <c r="AB154" s="673"/>
      <c r="AC154" s="673"/>
      <c r="AD154" s="221"/>
      <c r="AE154" s="221"/>
      <c r="AF154" s="48">
        <f t="shared" si="61"/>
        <v>-253.33333333333462</v>
      </c>
      <c r="AG154" s="125">
        <f t="shared" si="62"/>
        <v>0.88484848484848422</v>
      </c>
      <c r="AH154" s="674"/>
    </row>
    <row r="155" spans="1:34" s="218" customFormat="1" ht="19.2" customHeight="1">
      <c r="A155" s="684"/>
      <c r="B155" s="513" t="s">
        <v>127</v>
      </c>
      <c r="C155" s="221"/>
      <c r="D155" s="251" t="s">
        <v>193</v>
      </c>
      <c r="E155" s="60"/>
      <c r="F155" s="350">
        <v>51.06</v>
      </c>
      <c r="G155" s="57">
        <v>1898</v>
      </c>
      <c r="H155" s="84">
        <f t="shared" si="97"/>
        <v>96911.88</v>
      </c>
      <c r="I155" s="260"/>
      <c r="J155" s="87">
        <v>16</v>
      </c>
      <c r="K155" s="57">
        <v>1500</v>
      </c>
      <c r="L155" s="86">
        <v>93.75</v>
      </c>
      <c r="M155" s="199">
        <v>16</v>
      </c>
      <c r="N155" s="44">
        <f t="shared" si="98"/>
        <v>1224.516129032258</v>
      </c>
      <c r="O155" s="47">
        <f t="shared" si="99"/>
        <v>76.532258064516128</v>
      </c>
      <c r="P155" s="48">
        <f t="shared" si="94"/>
        <v>0</v>
      </c>
      <c r="Q155" s="49">
        <f t="shared" si="95"/>
        <v>-17.217741935483872</v>
      </c>
      <c r="R155" s="517">
        <f t="shared" si="96"/>
        <v>0.81634408602150532</v>
      </c>
      <c r="S155" s="686"/>
      <c r="T155" s="261">
        <v>0.84930555555555542</v>
      </c>
      <c r="U155" s="63">
        <v>0.91388888888888875</v>
      </c>
      <c r="V155" s="528">
        <v>22</v>
      </c>
      <c r="W155" s="526">
        <f t="shared" si="100"/>
        <v>92.999999999999986</v>
      </c>
      <c r="X155" s="219">
        <v>0.83888888888888891</v>
      </c>
      <c r="Y155" s="219">
        <v>0.84861111111111109</v>
      </c>
      <c r="Z155" s="217"/>
      <c r="AA155" s="217"/>
      <c r="AB155" s="673"/>
      <c r="AC155" s="673"/>
      <c r="AD155" s="221">
        <v>1</v>
      </c>
      <c r="AE155" s="221">
        <v>1</v>
      </c>
      <c r="AF155" s="48">
        <f t="shared" si="61"/>
        <v>-275.48387096774195</v>
      </c>
      <c r="AG155" s="125">
        <f t="shared" si="62"/>
        <v>0.81634408602150532</v>
      </c>
      <c r="AH155" s="674"/>
    </row>
    <row r="156" spans="1:34" s="218" customFormat="1" ht="19.2" customHeight="1">
      <c r="A156" s="684"/>
      <c r="B156" s="221">
        <v>0</v>
      </c>
      <c r="C156" s="221"/>
      <c r="D156" s="251"/>
      <c r="E156" s="60"/>
      <c r="F156" s="350" t="s">
        <v>128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517"/>
      <c r="S156" s="686"/>
      <c r="T156" s="261"/>
      <c r="U156" s="63"/>
      <c r="V156" s="528"/>
      <c r="W156" s="265">
        <f t="shared" si="100"/>
        <v>0</v>
      </c>
      <c r="X156" s="219"/>
      <c r="Y156" s="219"/>
      <c r="Z156" s="217"/>
      <c r="AA156" s="217"/>
      <c r="AB156" s="673"/>
      <c r="AC156" s="673"/>
      <c r="AD156" s="221"/>
      <c r="AE156" s="221"/>
      <c r="AF156" s="264"/>
      <c r="AG156" s="129"/>
      <c r="AH156" s="674"/>
    </row>
    <row r="157" spans="1:34" s="218" customFormat="1" ht="19.2" customHeight="1">
      <c r="A157" s="684"/>
      <c r="B157" s="221">
        <v>0</v>
      </c>
      <c r="C157" s="221"/>
      <c r="D157" s="251"/>
      <c r="E157" s="60"/>
      <c r="F157" s="356" t="s">
        <v>128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686"/>
      <c r="T157" s="261"/>
      <c r="U157" s="63"/>
      <c r="V157" s="528"/>
      <c r="W157" s="265">
        <f t="shared" si="100"/>
        <v>0</v>
      </c>
      <c r="X157" s="219"/>
      <c r="Y157" s="219"/>
      <c r="Z157" s="217"/>
      <c r="AA157" s="217"/>
      <c r="AB157" s="673"/>
      <c r="AC157" s="673"/>
      <c r="AD157" s="221"/>
      <c r="AE157" s="221"/>
      <c r="AF157" s="264"/>
      <c r="AG157" s="129"/>
      <c r="AH157" s="674"/>
    </row>
    <row r="158" spans="1:34" s="218" customFormat="1" ht="19.2" customHeight="1">
      <c r="A158" s="684"/>
      <c r="B158" s="221">
        <v>0</v>
      </c>
      <c r="C158" s="221"/>
      <c r="D158" s="251"/>
      <c r="E158" s="60"/>
      <c r="F158" s="356" t="s">
        <v>128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686"/>
      <c r="T158" s="261"/>
      <c r="U158" s="63"/>
      <c r="V158" s="528"/>
      <c r="W158" s="265">
        <f t="shared" si="100"/>
        <v>0</v>
      </c>
      <c r="X158" s="219"/>
      <c r="Y158" s="219"/>
      <c r="Z158" s="217"/>
      <c r="AA158" s="217"/>
      <c r="AB158" s="673"/>
      <c r="AC158" s="673"/>
      <c r="AD158" s="221"/>
      <c r="AE158" s="221"/>
      <c r="AF158" s="264"/>
      <c r="AG158" s="129"/>
      <c r="AH158" s="674"/>
    </row>
    <row r="159" spans="1:34" s="218" customFormat="1" ht="19.2" customHeight="1">
      <c r="A159" s="684"/>
      <c r="B159" s="221">
        <v>0</v>
      </c>
      <c r="C159" s="221"/>
      <c r="D159" s="251"/>
      <c r="E159" s="60"/>
      <c r="F159" s="356" t="s">
        <v>128</v>
      </c>
      <c r="G159" s="57"/>
      <c r="H159" s="230">
        <f t="shared" si="97"/>
        <v>0</v>
      </c>
      <c r="I159" s="260"/>
      <c r="J159" s="262"/>
      <c r="K159" s="179"/>
      <c r="L159" s="131"/>
      <c r="M159" s="524"/>
      <c r="N159" s="179"/>
      <c r="O159" s="224"/>
      <c r="P159" s="263"/>
      <c r="Q159" s="74"/>
      <c r="R159" s="129"/>
      <c r="S159" s="686"/>
      <c r="T159" s="261"/>
      <c r="U159" s="63"/>
      <c r="V159" s="528"/>
      <c r="W159" s="266">
        <f t="shared" si="100"/>
        <v>0</v>
      </c>
      <c r="X159" s="219"/>
      <c r="Y159" s="219"/>
      <c r="Z159" s="217"/>
      <c r="AA159" s="217"/>
      <c r="AB159" s="673"/>
      <c r="AC159" s="673"/>
      <c r="AD159" s="221"/>
      <c r="AE159" s="221"/>
      <c r="AF159" s="264"/>
      <c r="AG159" s="129"/>
      <c r="AH159" s="674"/>
    </row>
    <row r="160" spans="1:34" ht="19.2" customHeight="1">
      <c r="A160" s="684"/>
      <c r="B160" s="267">
        <v>0</v>
      </c>
      <c r="C160" s="268" t="s">
        <v>613</v>
      </c>
      <c r="D160" s="682" t="s">
        <v>602</v>
      </c>
      <c r="E160" s="683"/>
      <c r="F160" s="344"/>
      <c r="G160" s="202"/>
      <c r="H160" s="201"/>
      <c r="I160" s="72"/>
      <c r="J160" s="269">
        <v>10.75</v>
      </c>
      <c r="K160" s="269">
        <v>1800</v>
      </c>
      <c r="L160" s="270">
        <v>210.26041666666666</v>
      </c>
      <c r="M160" s="269">
        <f t="shared" ref="M160:O160" si="101">AVERAGE(M148:M159)</f>
        <v>10.75</v>
      </c>
      <c r="N160" s="269">
        <f t="shared" si="101"/>
        <v>1456.0275957323565</v>
      </c>
      <c r="O160" s="270">
        <f t="shared" si="101"/>
        <v>175.83695983184577</v>
      </c>
      <c r="P160" s="65">
        <f t="shared" ref="P160:P163" si="102">M160-J160</f>
        <v>0</v>
      </c>
      <c r="Q160" s="74">
        <f t="shared" ref="Q160:Q163" si="103">O160-L160</f>
        <v>-34.423456834820882</v>
      </c>
      <c r="R160" s="271">
        <f>O160/L160</f>
        <v>0.83628180053788437</v>
      </c>
      <c r="S160" s="686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673"/>
      <c r="AC160" s="673"/>
      <c r="AD160" s="79">
        <f>SUM(AD148:AD159)</f>
        <v>1</v>
      </c>
      <c r="AE160" s="79">
        <f>SUM(AE148:AE159)</f>
        <v>1</v>
      </c>
      <c r="AF160" s="65">
        <f t="shared" si="61"/>
        <v>-343.97240426764347</v>
      </c>
      <c r="AG160" s="129">
        <f t="shared" si="62"/>
        <v>0.80890421985130923</v>
      </c>
      <c r="AH160" s="674"/>
    </row>
    <row r="161" spans="1:36" ht="19.2" customHeight="1">
      <c r="A161" s="671" t="s">
        <v>614</v>
      </c>
      <c r="B161" s="121" t="s">
        <v>126</v>
      </c>
      <c r="C161" s="121"/>
      <c r="D161" s="82" t="s">
        <v>206</v>
      </c>
      <c r="E161" s="83"/>
      <c r="F161" s="349">
        <v>30.13</v>
      </c>
      <c r="G161" s="57">
        <v>3258.4500000000003</v>
      </c>
      <c r="H161" s="84">
        <f t="shared" ref="H161:H170" si="104">F161*G161</f>
        <v>98177.098500000007</v>
      </c>
      <c r="I161" s="513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6" si="105">G161/W161*60</f>
        <v>1170.7005988023955</v>
      </c>
      <c r="O161" s="86">
        <f t="shared" ref="O161:O166" si="106">N161/M161</f>
        <v>65.038922155688638</v>
      </c>
      <c r="P161" s="54">
        <f t="shared" si="102"/>
        <v>0</v>
      </c>
      <c r="Q161" s="88">
        <f t="shared" si="103"/>
        <v>-1.6277445109780331</v>
      </c>
      <c r="R161" s="514">
        <f t="shared" ref="R161:R163" si="107">O161/L161</f>
        <v>0.97558383233532953</v>
      </c>
      <c r="S161" s="672">
        <f>R173</f>
        <v>0.91556943710512784</v>
      </c>
      <c r="T161" s="89">
        <v>0.16666666666666666</v>
      </c>
      <c r="U161" s="89">
        <v>0.28263888888888888</v>
      </c>
      <c r="V161" s="513">
        <v>5</v>
      </c>
      <c r="W161" s="90">
        <f t="shared" ref="W161:W172" si="108">(U161-T161)*24*60</f>
        <v>167</v>
      </c>
      <c r="X161" s="96"/>
      <c r="Y161" s="96"/>
      <c r="Z161" s="54"/>
      <c r="AA161" s="54"/>
      <c r="AB161" s="673"/>
      <c r="AC161" s="673"/>
      <c r="AD161" s="513">
        <v>1</v>
      </c>
      <c r="AE161" s="513"/>
      <c r="AF161" s="54">
        <f t="shared" si="61"/>
        <v>-29.299401197604539</v>
      </c>
      <c r="AG161" s="514">
        <f t="shared" si="62"/>
        <v>0.97558383233532953</v>
      </c>
      <c r="AH161" s="672">
        <f>AG173</f>
        <v>0.92314562347271611</v>
      </c>
    </row>
    <row r="162" spans="1:36" ht="19.2" customHeight="1">
      <c r="A162" s="671"/>
      <c r="B162" s="121" t="s">
        <v>126</v>
      </c>
      <c r="C162" s="121"/>
      <c r="D162" s="82" t="s">
        <v>89</v>
      </c>
      <c r="E162" s="83"/>
      <c r="F162" s="349">
        <v>34.229999999999997</v>
      </c>
      <c r="G162" s="57">
        <v>3761</v>
      </c>
      <c r="H162" s="84">
        <f t="shared" si="104"/>
        <v>128739.02999999998</v>
      </c>
      <c r="I162" s="513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2149.1428571428564</v>
      </c>
      <c r="O162" s="86">
        <f t="shared" si="106"/>
        <v>165.31868131868126</v>
      </c>
      <c r="P162" s="54">
        <f t="shared" si="102"/>
        <v>0</v>
      </c>
      <c r="Q162" s="88">
        <f t="shared" si="103"/>
        <v>-7.7582417582418088</v>
      </c>
      <c r="R162" s="514">
        <f t="shared" si="107"/>
        <v>0.9551746031746029</v>
      </c>
      <c r="S162" s="672"/>
      <c r="T162" s="89">
        <v>0.2986111111111111</v>
      </c>
      <c r="U162" s="89">
        <v>0.37152777777777779</v>
      </c>
      <c r="V162" s="513">
        <v>23</v>
      </c>
      <c r="W162" s="90">
        <f t="shared" si="108"/>
        <v>105.00000000000003</v>
      </c>
      <c r="X162" s="96">
        <v>0.28750000000000003</v>
      </c>
      <c r="Y162" s="96">
        <v>0.29722222222222222</v>
      </c>
      <c r="Z162" s="54"/>
      <c r="AA162" s="54"/>
      <c r="AB162" s="673"/>
      <c r="AC162" s="673"/>
      <c r="AD162" s="513"/>
      <c r="AE162" s="513"/>
      <c r="AF162" s="54">
        <f t="shared" si="61"/>
        <v>-100.85714285714357</v>
      </c>
      <c r="AG162" s="514">
        <f t="shared" si="62"/>
        <v>0.9551746031746029</v>
      </c>
      <c r="AH162" s="672"/>
    </row>
    <row r="163" spans="1:36" ht="19.2" customHeight="1">
      <c r="A163" s="671"/>
      <c r="B163" s="121" t="s">
        <v>126</v>
      </c>
      <c r="C163" s="121"/>
      <c r="D163" s="248" t="s">
        <v>62</v>
      </c>
      <c r="E163" s="248"/>
      <c r="F163" s="349">
        <v>36.409999999999997</v>
      </c>
      <c r="G163" s="57">
        <v>3281.2000000000003</v>
      </c>
      <c r="H163" s="84">
        <f t="shared" si="104"/>
        <v>119468.492</v>
      </c>
      <c r="I163" s="513"/>
      <c r="J163" s="87">
        <v>10</v>
      </c>
      <c r="K163" s="57">
        <v>2769</v>
      </c>
      <c r="L163" s="86">
        <v>276.89999999999998</v>
      </c>
      <c r="M163" s="87">
        <v>10</v>
      </c>
      <c r="N163" s="57">
        <f t="shared" si="105"/>
        <v>2400.878048780487</v>
      </c>
      <c r="O163" s="86">
        <f t="shared" si="106"/>
        <v>240.0878048780487</v>
      </c>
      <c r="P163" s="54">
        <f t="shared" si="102"/>
        <v>0</v>
      </c>
      <c r="Q163" s="88">
        <f t="shared" si="103"/>
        <v>-36.812195121951277</v>
      </c>
      <c r="R163" s="514">
        <f t="shared" si="107"/>
        <v>0.86705599450360682</v>
      </c>
      <c r="S163" s="672"/>
      <c r="T163" s="89">
        <v>0.37638888888888888</v>
      </c>
      <c r="U163" s="89">
        <v>0.43333333333333335</v>
      </c>
      <c r="V163" s="513">
        <v>7</v>
      </c>
      <c r="W163" s="90">
        <f t="shared" si="108"/>
        <v>82.000000000000028</v>
      </c>
      <c r="X163" s="96"/>
      <c r="Y163" s="96"/>
      <c r="Z163" s="54"/>
      <c r="AA163" s="54"/>
      <c r="AB163" s="673"/>
      <c r="AC163" s="673"/>
      <c r="AD163" s="513"/>
      <c r="AE163" s="513"/>
      <c r="AF163" s="54">
        <f t="shared" si="61"/>
        <v>-368.12195121951299</v>
      </c>
      <c r="AG163" s="514">
        <f t="shared" si="62"/>
        <v>0.86705599450360671</v>
      </c>
      <c r="AH163" s="672"/>
    </row>
    <row r="164" spans="1:36" ht="19.2" customHeight="1">
      <c r="A164" s="671"/>
      <c r="B164" s="121" t="s">
        <v>126</v>
      </c>
      <c r="C164" s="121"/>
      <c r="D164" s="273" t="s">
        <v>90</v>
      </c>
      <c r="E164" s="273"/>
      <c r="F164" s="349">
        <v>35.83</v>
      </c>
      <c r="G164" s="57">
        <v>3401.4</v>
      </c>
      <c r="H164" s="84">
        <f t="shared" si="104"/>
        <v>121872.162</v>
      </c>
      <c r="I164" s="513"/>
      <c r="J164" s="87">
        <v>11</v>
      </c>
      <c r="K164" s="57">
        <v>2250</v>
      </c>
      <c r="L164" s="86">
        <v>204.54545454545453</v>
      </c>
      <c r="M164" s="87">
        <v>11</v>
      </c>
      <c r="N164" s="57">
        <f t="shared" si="105"/>
        <v>2171.106382978724</v>
      </c>
      <c r="O164" s="86">
        <f t="shared" si="106"/>
        <v>197.37330754352035</v>
      </c>
      <c r="P164" s="54">
        <f>M164-J164</f>
        <v>0</v>
      </c>
      <c r="Q164" s="88">
        <f>O164-L164</f>
        <v>-7.172147001934178</v>
      </c>
      <c r="R164" s="514">
        <f>O164/L164</f>
        <v>0.96493617021276623</v>
      </c>
      <c r="S164" s="672"/>
      <c r="T164" s="89">
        <v>0.43819444444444444</v>
      </c>
      <c r="U164" s="89">
        <v>0.50347222222222221</v>
      </c>
      <c r="V164" s="513">
        <v>7</v>
      </c>
      <c r="W164" s="90">
        <f t="shared" si="108"/>
        <v>93.999999999999986</v>
      </c>
      <c r="X164" s="96"/>
      <c r="Y164" s="96"/>
      <c r="Z164" s="54"/>
      <c r="AA164" s="54"/>
      <c r="AB164" s="673"/>
      <c r="AC164" s="673"/>
      <c r="AD164" s="513"/>
      <c r="AE164" s="513"/>
      <c r="AF164" s="54">
        <f>N164-K164</f>
        <v>-78.893617021275986</v>
      </c>
      <c r="AG164" s="514">
        <f>N164/K164</f>
        <v>0.96493617021276623</v>
      </c>
      <c r="AH164" s="672"/>
    </row>
    <row r="165" spans="1:36" ht="19.2" customHeight="1">
      <c r="A165" s="671"/>
      <c r="B165" s="121" t="s">
        <v>126</v>
      </c>
      <c r="C165" s="81"/>
      <c r="D165" s="82" t="s">
        <v>62</v>
      </c>
      <c r="E165" s="83"/>
      <c r="F165" s="346">
        <v>36.409999999999997</v>
      </c>
      <c r="G165" s="57">
        <v>4921.8</v>
      </c>
      <c r="H165" s="84">
        <f t="shared" si="104"/>
        <v>179202.73799999998</v>
      </c>
      <c r="I165" s="513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2420.5573770491796</v>
      </c>
      <c r="O165" s="86">
        <f t="shared" si="106"/>
        <v>242.05573770491796</v>
      </c>
      <c r="P165" s="54">
        <f t="shared" ref="P165:P166" si="109">M165-J165</f>
        <v>0</v>
      </c>
      <c r="Q165" s="88">
        <f t="shared" ref="Q165:Q166" si="110">O165-L165</f>
        <v>-34.844262295082018</v>
      </c>
      <c r="R165" s="514">
        <f t="shared" ref="R165:R166" si="111">O165/L165</f>
        <v>0.87416301085199699</v>
      </c>
      <c r="S165" s="672"/>
      <c r="T165" s="89">
        <v>0.54374999999999996</v>
      </c>
      <c r="U165" s="89">
        <v>0.62847222222222221</v>
      </c>
      <c r="V165" s="513">
        <v>5</v>
      </c>
      <c r="W165" s="90">
        <f t="shared" si="108"/>
        <v>122.00000000000004</v>
      </c>
      <c r="X165" s="96"/>
      <c r="Y165" s="96"/>
      <c r="Z165" s="54"/>
      <c r="AA165" s="54"/>
      <c r="AB165" s="673"/>
      <c r="AC165" s="673"/>
      <c r="AD165" s="513"/>
      <c r="AE165" s="513"/>
      <c r="AF165" s="54">
        <f>N165-K165</f>
        <v>-348.44262295082035</v>
      </c>
      <c r="AG165" s="514">
        <f>N165/K165</f>
        <v>0.87416301085199699</v>
      </c>
      <c r="AH165" s="672"/>
    </row>
    <row r="166" spans="1:36" ht="19.2" customHeight="1">
      <c r="A166" s="671"/>
      <c r="B166" s="121" t="s">
        <v>126</v>
      </c>
      <c r="C166" s="121"/>
      <c r="D166" s="82" t="s">
        <v>206</v>
      </c>
      <c r="E166" s="83"/>
      <c r="F166" s="349">
        <v>30.13</v>
      </c>
      <c r="G166" s="57">
        <v>1754.55</v>
      </c>
      <c r="H166" s="84">
        <f t="shared" si="104"/>
        <v>52864.591499999995</v>
      </c>
      <c r="I166" s="513">
        <v>1</v>
      </c>
      <c r="J166" s="87">
        <v>18</v>
      </c>
      <c r="K166" s="57">
        <v>1200</v>
      </c>
      <c r="L166" s="86">
        <v>66.666666666666671</v>
      </c>
      <c r="M166" s="87">
        <v>18</v>
      </c>
      <c r="N166" s="57">
        <f t="shared" si="105"/>
        <v>1169.7</v>
      </c>
      <c r="O166" s="86">
        <f t="shared" si="106"/>
        <v>64.983333333333334</v>
      </c>
      <c r="P166" s="54">
        <f t="shared" si="109"/>
        <v>0</v>
      </c>
      <c r="Q166" s="88">
        <f t="shared" si="110"/>
        <v>-1.6833333333333371</v>
      </c>
      <c r="R166" s="514">
        <f t="shared" si="111"/>
        <v>0.97474999999999989</v>
      </c>
      <c r="S166" s="672"/>
      <c r="T166" s="89">
        <v>0.64374999999999993</v>
      </c>
      <c r="U166" s="89">
        <v>0.70624999999999993</v>
      </c>
      <c r="V166" s="513">
        <v>22</v>
      </c>
      <c r="W166" s="90">
        <f t="shared" si="108"/>
        <v>90</v>
      </c>
      <c r="X166" s="96">
        <v>0.6333333333333333</v>
      </c>
      <c r="Y166" s="96">
        <v>0.6430555555555556</v>
      </c>
      <c r="Z166" s="54"/>
      <c r="AA166" s="54"/>
      <c r="AB166" s="673"/>
      <c r="AC166" s="673"/>
      <c r="AD166" s="513"/>
      <c r="AE166" s="513"/>
      <c r="AF166" s="54">
        <f>N166-K166</f>
        <v>-30.299999999999955</v>
      </c>
      <c r="AG166" s="514">
        <f>N166/K166</f>
        <v>0.97475000000000001</v>
      </c>
      <c r="AH166" s="672"/>
    </row>
    <row r="167" spans="1:36" ht="19.2" customHeight="1">
      <c r="A167" s="671"/>
      <c r="B167" s="121">
        <v>0</v>
      </c>
      <c r="C167" s="121"/>
      <c r="D167" s="251"/>
      <c r="E167" s="60"/>
      <c r="F167" s="349" t="s">
        <v>128</v>
      </c>
      <c r="G167" s="57"/>
      <c r="H167" s="84">
        <f t="shared" si="104"/>
        <v>0</v>
      </c>
      <c r="I167" s="513"/>
      <c r="J167" s="87"/>
      <c r="K167" s="57"/>
      <c r="L167" s="86"/>
      <c r="M167" s="87"/>
      <c r="N167" s="57"/>
      <c r="O167" s="86"/>
      <c r="P167" s="54"/>
      <c r="Q167" s="88"/>
      <c r="R167" s="514"/>
      <c r="S167" s="672"/>
      <c r="T167" s="89"/>
      <c r="U167" s="89"/>
      <c r="V167" s="513"/>
      <c r="W167" s="90">
        <f t="shared" si="108"/>
        <v>0</v>
      </c>
      <c r="X167" s="96"/>
      <c r="Y167" s="96"/>
      <c r="Z167" s="54"/>
      <c r="AA167" s="54"/>
      <c r="AB167" s="673"/>
      <c r="AC167" s="673"/>
      <c r="AD167" s="513"/>
      <c r="AE167" s="513"/>
      <c r="AF167" s="54">
        <f t="shared" si="61"/>
        <v>0</v>
      </c>
      <c r="AG167" s="514" t="e">
        <f t="shared" si="62"/>
        <v>#DIV/0!</v>
      </c>
      <c r="AH167" s="672"/>
    </row>
    <row r="168" spans="1:36" ht="19.2" customHeight="1">
      <c r="A168" s="671"/>
      <c r="B168" s="121">
        <v>0</v>
      </c>
      <c r="C168" s="121"/>
      <c r="D168" s="251"/>
      <c r="E168" s="60"/>
      <c r="F168" s="349" t="s">
        <v>128</v>
      </c>
      <c r="G168" s="57"/>
      <c r="H168" s="84">
        <f t="shared" si="104"/>
        <v>0</v>
      </c>
      <c r="I168" s="513"/>
      <c r="J168" s="87"/>
      <c r="K168" s="57"/>
      <c r="L168" s="86"/>
      <c r="M168" s="87"/>
      <c r="N168" s="57"/>
      <c r="O168" s="86"/>
      <c r="P168" s="54"/>
      <c r="Q168" s="88"/>
      <c r="R168" s="514"/>
      <c r="S168" s="672"/>
      <c r="T168" s="89"/>
      <c r="U168" s="89"/>
      <c r="V168" s="513"/>
      <c r="W168" s="90">
        <f t="shared" si="108"/>
        <v>0</v>
      </c>
      <c r="X168" s="96"/>
      <c r="Y168" s="96"/>
      <c r="Z168" s="54"/>
      <c r="AA168" s="54"/>
      <c r="AB168" s="673"/>
      <c r="AC168" s="673"/>
      <c r="AD168" s="513"/>
      <c r="AE168" s="513"/>
      <c r="AF168" s="54">
        <f t="shared" si="61"/>
        <v>0</v>
      </c>
      <c r="AG168" s="514" t="e">
        <f t="shared" si="62"/>
        <v>#DIV/0!</v>
      </c>
      <c r="AH168" s="672"/>
    </row>
    <row r="169" spans="1:36" ht="19.2" customHeight="1">
      <c r="A169" s="671"/>
      <c r="B169" s="121">
        <v>0</v>
      </c>
      <c r="C169" s="121"/>
      <c r="D169" s="251"/>
      <c r="E169" s="60"/>
      <c r="F169" s="349" t="s">
        <v>128</v>
      </c>
      <c r="G169" s="57"/>
      <c r="H169" s="84">
        <f t="shared" si="104"/>
        <v>0</v>
      </c>
      <c r="I169" s="513"/>
      <c r="J169" s="87"/>
      <c r="K169" s="57"/>
      <c r="L169" s="86"/>
      <c r="M169" s="87"/>
      <c r="N169" s="57"/>
      <c r="O169" s="86"/>
      <c r="P169" s="54"/>
      <c r="Q169" s="88"/>
      <c r="R169" s="514"/>
      <c r="S169" s="672"/>
      <c r="T169" s="89"/>
      <c r="U169" s="89"/>
      <c r="V169" s="513" t="s">
        <v>15</v>
      </c>
      <c r="W169" s="90">
        <f t="shared" si="108"/>
        <v>0</v>
      </c>
      <c r="X169" s="96"/>
      <c r="Y169" s="96"/>
      <c r="Z169" s="54"/>
      <c r="AA169" s="54"/>
      <c r="AB169" s="673"/>
      <c r="AC169" s="673"/>
      <c r="AD169" s="513"/>
      <c r="AE169" s="513"/>
      <c r="AF169" s="54">
        <f t="shared" si="61"/>
        <v>0</v>
      </c>
      <c r="AG169" s="514" t="e">
        <f t="shared" si="62"/>
        <v>#DIV/0!</v>
      </c>
      <c r="AH169" s="672"/>
    </row>
    <row r="170" spans="1:36" ht="19.2" customHeight="1">
      <c r="A170" s="671"/>
      <c r="B170" s="121">
        <v>0</v>
      </c>
      <c r="C170" s="121"/>
      <c r="D170" s="251"/>
      <c r="E170" s="60"/>
      <c r="F170" s="349" t="s">
        <v>128</v>
      </c>
      <c r="G170" s="57"/>
      <c r="H170" s="84">
        <f t="shared" si="104"/>
        <v>0</v>
      </c>
      <c r="I170" s="513"/>
      <c r="J170" s="87"/>
      <c r="K170" s="57"/>
      <c r="L170" s="86"/>
      <c r="M170" s="87"/>
      <c r="N170" s="57"/>
      <c r="O170" s="86"/>
      <c r="P170" s="54"/>
      <c r="Q170" s="88"/>
      <c r="R170" s="514"/>
      <c r="S170" s="672"/>
      <c r="T170" s="89"/>
      <c r="U170" s="89"/>
      <c r="V170" s="513"/>
      <c r="W170" s="90">
        <f t="shared" si="108"/>
        <v>0</v>
      </c>
      <c r="X170" s="96"/>
      <c r="Y170" s="96"/>
      <c r="Z170" s="54"/>
      <c r="AA170" s="54"/>
      <c r="AB170" s="673"/>
      <c r="AC170" s="673"/>
      <c r="AD170" s="513"/>
      <c r="AE170" s="513"/>
      <c r="AF170" s="54">
        <f t="shared" si="61"/>
        <v>0</v>
      </c>
      <c r="AG170" s="514" t="e">
        <f t="shared" si="62"/>
        <v>#DIV/0!</v>
      </c>
      <c r="AH170" s="672"/>
    </row>
    <row r="171" spans="1:36" ht="19.2" customHeight="1">
      <c r="A171" s="671"/>
      <c r="B171" s="121">
        <v>0</v>
      </c>
      <c r="C171" s="121"/>
      <c r="D171" s="251"/>
      <c r="E171" s="60"/>
      <c r="F171" s="349" t="s">
        <v>128</v>
      </c>
      <c r="G171" s="57"/>
      <c r="H171" s="84">
        <f t="shared" si="97"/>
        <v>0</v>
      </c>
      <c r="I171" s="513"/>
      <c r="J171" s="87"/>
      <c r="K171" s="57"/>
      <c r="L171" s="86"/>
      <c r="M171" s="87"/>
      <c r="N171" s="57"/>
      <c r="O171" s="86"/>
      <c r="P171" s="54"/>
      <c r="Q171" s="88"/>
      <c r="R171" s="514"/>
      <c r="S171" s="672"/>
      <c r="T171" s="89"/>
      <c r="U171" s="89"/>
      <c r="V171" s="513"/>
      <c r="W171" s="90">
        <f t="shared" si="108"/>
        <v>0</v>
      </c>
      <c r="X171" s="96"/>
      <c r="Y171" s="96"/>
      <c r="Z171" s="54"/>
      <c r="AA171" s="54"/>
      <c r="AB171" s="673"/>
      <c r="AC171" s="673"/>
      <c r="AD171" s="513"/>
      <c r="AE171" s="513"/>
      <c r="AF171" s="54"/>
      <c r="AG171" s="514"/>
      <c r="AH171" s="672"/>
    </row>
    <row r="172" spans="1:36" ht="19.2" customHeight="1">
      <c r="A172" s="671"/>
      <c r="B172" s="121">
        <v>0</v>
      </c>
      <c r="C172" s="121"/>
      <c r="D172" s="251"/>
      <c r="E172" s="60"/>
      <c r="F172" s="349" t="s">
        <v>128</v>
      </c>
      <c r="G172" s="57"/>
      <c r="H172" s="84">
        <f t="shared" si="97"/>
        <v>0</v>
      </c>
      <c r="I172" s="513"/>
      <c r="J172" s="87"/>
      <c r="K172" s="57"/>
      <c r="L172" s="86"/>
      <c r="M172" s="87"/>
      <c r="N172" s="57"/>
      <c r="O172" s="86"/>
      <c r="P172" s="54"/>
      <c r="Q172" s="88"/>
      <c r="R172" s="514"/>
      <c r="S172" s="672"/>
      <c r="T172" s="89"/>
      <c r="U172" s="89"/>
      <c r="V172" s="513"/>
      <c r="W172" s="90">
        <f t="shared" si="108"/>
        <v>0</v>
      </c>
      <c r="X172" s="96"/>
      <c r="Y172" s="96"/>
      <c r="Z172" s="54"/>
      <c r="AA172" s="54"/>
      <c r="AB172" s="673"/>
      <c r="AC172" s="673"/>
      <c r="AD172" s="513"/>
      <c r="AE172" s="513"/>
      <c r="AF172" s="54"/>
      <c r="AG172" s="514"/>
      <c r="AH172" s="672"/>
    </row>
    <row r="173" spans="1:36" ht="19.2" customHeight="1">
      <c r="A173" s="671"/>
      <c r="B173" s="121">
        <v>0</v>
      </c>
      <c r="C173" s="100" t="s">
        <v>326</v>
      </c>
      <c r="D173" s="669" t="s">
        <v>236</v>
      </c>
      <c r="E173" s="669"/>
      <c r="F173" s="347"/>
      <c r="G173" s="101"/>
      <c r="H173" s="102"/>
      <c r="I173" s="103"/>
      <c r="J173" s="101">
        <v>13.333333333333334</v>
      </c>
      <c r="K173" s="101">
        <v>2073</v>
      </c>
      <c r="L173" s="104">
        <v>177.45928515928514</v>
      </c>
      <c r="M173" s="101">
        <f t="shared" ref="M173:O173" si="112">AVERAGE(M161:M172)</f>
        <v>13.333333333333334</v>
      </c>
      <c r="N173" s="101">
        <f t="shared" si="112"/>
        <v>1913.6808774589406</v>
      </c>
      <c r="O173" s="104">
        <f t="shared" si="112"/>
        <v>162.47629782236507</v>
      </c>
      <c r="P173" s="54">
        <f>M173-J173</f>
        <v>0</v>
      </c>
      <c r="Q173" s="88">
        <f>O173-L173</f>
        <v>-14.982987336920075</v>
      </c>
      <c r="R173" s="105">
        <f>O173/L173</f>
        <v>0.91556943710512784</v>
      </c>
      <c r="S173" s="672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670"/>
      <c r="AC173" s="670"/>
      <c r="AD173" s="107">
        <f>SUM(AD161:AD172)</f>
        <v>1</v>
      </c>
      <c r="AE173" s="107">
        <f>SUM(AE161:AE172)</f>
        <v>0</v>
      </c>
      <c r="AF173" s="54">
        <f t="shared" si="61"/>
        <v>-159.31912254105941</v>
      </c>
      <c r="AG173" s="514">
        <f t="shared" si="62"/>
        <v>0.92314562347271611</v>
      </c>
      <c r="AH173" s="672"/>
    </row>
    <row r="174" spans="1:36" ht="19.2" customHeight="1">
      <c r="AJ174" s="275" t="s">
        <v>91</v>
      </c>
    </row>
    <row r="175" spans="1:36" ht="19.2" customHeight="1">
      <c r="AJ175" s="275" t="s">
        <v>92</v>
      </c>
    </row>
    <row r="176" spans="1:36" ht="19.2" customHeight="1">
      <c r="AJ176" s="275" t="s">
        <v>327</v>
      </c>
    </row>
    <row r="177" spans="23:36" ht="19.2" customHeight="1">
      <c r="W177" s="33"/>
      <c r="AJ177" s="275" t="s">
        <v>93</v>
      </c>
    </row>
    <row r="178" spans="23:36" ht="19.2" customHeight="1">
      <c r="W178" s="33"/>
      <c r="AJ178" s="275" t="s">
        <v>94</v>
      </c>
    </row>
    <row r="179" spans="23:36">
      <c r="W179" s="33"/>
      <c r="AJ179" s="275" t="s">
        <v>95</v>
      </c>
    </row>
    <row r="180" spans="23:36">
      <c r="W180" s="33"/>
      <c r="AJ180" s="275" t="s">
        <v>96</v>
      </c>
    </row>
    <row r="181" spans="23:36">
      <c r="W181" s="33"/>
      <c r="AJ181" s="275" t="s">
        <v>97</v>
      </c>
    </row>
    <row r="182" spans="23:36">
      <c r="W182" s="33"/>
      <c r="AJ182" s="275" t="s">
        <v>98</v>
      </c>
    </row>
    <row r="183" spans="23:36">
      <c r="W183" s="33"/>
      <c r="AJ183" s="275" t="s">
        <v>99</v>
      </c>
    </row>
    <row r="184" spans="23:36">
      <c r="W184" s="33"/>
      <c r="AJ184" s="275" t="s">
        <v>100</v>
      </c>
    </row>
    <row r="185" spans="23:36">
      <c r="W185" s="33"/>
      <c r="AJ185" s="275" t="s">
        <v>328</v>
      </c>
    </row>
    <row r="186" spans="23:36">
      <c r="W186" s="33"/>
      <c r="AJ186" s="275" t="s">
        <v>329</v>
      </c>
    </row>
  </sheetData>
  <mergeCells count="255"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</mergeCells>
  <phoneticPr fontId="3" type="noConversion"/>
  <conditionalFormatting sqref="P5:P172">
    <cfRule type="cellIs" dxfId="25" priority="4" operator="greaterThan">
      <formula>0</formula>
    </cfRule>
  </conditionalFormatting>
  <conditionalFormatting sqref="Q5:Q173">
    <cfRule type="cellIs" dxfId="24" priority="7" operator="lessThan">
      <formula>0</formula>
    </cfRule>
  </conditionalFormatting>
  <conditionalFormatting sqref="R5:R173">
    <cfRule type="cellIs" dxfId="23" priority="5" operator="greaterThan">
      <formula>1</formula>
    </cfRule>
    <cfRule type="cellIs" dxfId="22" priority="6" operator="lessThan">
      <formula>0.8</formula>
    </cfRule>
  </conditionalFormatting>
  <conditionalFormatting sqref="S5:S11">
    <cfRule type="cellIs" dxfId="21" priority="20" operator="lessThan">
      <formula>0.8</formula>
    </cfRule>
  </conditionalFormatting>
  <conditionalFormatting sqref="S21:S29 AH21:AH29">
    <cfRule type="cellIs" dxfId="20" priority="13" operator="lessThan">
      <formula>0.8</formula>
    </cfRule>
  </conditionalFormatting>
  <conditionalFormatting sqref="S43:S72">
    <cfRule type="cellIs" dxfId="19" priority="10" operator="lessThan">
      <formula>0.8</formula>
    </cfRule>
  </conditionalFormatting>
  <conditionalFormatting sqref="S82:S91 AH82:AH91">
    <cfRule type="cellIs" dxfId="18" priority="12" operator="lessThan">
      <formula>0.8</formula>
    </cfRule>
  </conditionalFormatting>
  <conditionalFormatting sqref="S95:S104">
    <cfRule type="cellIs" dxfId="17" priority="8" operator="lessThan">
      <formula>0.8</formula>
    </cfRule>
  </conditionalFormatting>
  <conditionalFormatting sqref="S108:S109">
    <cfRule type="cellIs" dxfId="16" priority="9" operator="lessThan">
      <formula>0.8</formula>
    </cfRule>
  </conditionalFormatting>
  <conditionalFormatting sqref="S122:S135 AH135">
    <cfRule type="cellIs" dxfId="15" priority="21" operator="lessThan">
      <formula>0.8</formula>
    </cfRule>
  </conditionalFormatting>
  <conditionalFormatting sqref="S137 AH137">
    <cfRule type="cellIs" dxfId="14" priority="17" operator="lessThan">
      <formula>0.8</formula>
    </cfRule>
  </conditionalFormatting>
  <conditionalFormatting sqref="S139:S146 AH139:AH146">
    <cfRule type="cellIs" dxfId="13" priority="11" operator="lessThan">
      <formula>0.8</formula>
    </cfRule>
  </conditionalFormatting>
  <conditionalFormatting sqref="S148:S150">
    <cfRule type="cellIs" dxfId="12" priority="14" operator="lessThan">
      <formula>0.8</formula>
    </cfRule>
  </conditionalFormatting>
  <conditionalFormatting sqref="S161">
    <cfRule type="cellIs" dxfId="11" priority="25" operator="lessThan">
      <formula>0.8</formula>
    </cfRule>
  </conditionalFormatting>
  <conditionalFormatting sqref="AF5:AF173">
    <cfRule type="cellIs" dxfId="10" priority="3" operator="lessThan">
      <formula>0</formula>
    </cfRule>
  </conditionalFormatting>
  <conditionalFormatting sqref="AG5:AG173">
    <cfRule type="cellIs" dxfId="9" priority="1" operator="greaterThan">
      <formula>1</formula>
    </cfRule>
    <cfRule type="cellIs" dxfId="8" priority="2" operator="lessThan">
      <formula>0.8</formula>
    </cfRule>
  </conditionalFormatting>
  <conditionalFormatting sqref="AH5:AH9 S17:S18 AH17:AH18 AH57 AH95">
    <cfRule type="cellIs" dxfId="7" priority="26" operator="lessThan">
      <formula>0.8</formula>
    </cfRule>
  </conditionalFormatting>
  <conditionalFormatting sqref="AH31 S31:S32">
    <cfRule type="cellIs" dxfId="6" priority="22" operator="lessThan">
      <formula>0.8</formula>
    </cfRule>
  </conditionalFormatting>
  <conditionalFormatting sqref="AH70:AH72">
    <cfRule type="cellIs" dxfId="5" priority="19" operator="lessThan">
      <formula>0.8</formula>
    </cfRule>
  </conditionalFormatting>
  <conditionalFormatting sqref="AH97:AH98">
    <cfRule type="cellIs" dxfId="4" priority="18" operator="lessThan">
      <formula>0.8</formula>
    </cfRule>
  </conditionalFormatting>
  <conditionalFormatting sqref="AH100:AH107">
    <cfRule type="cellIs" dxfId="3" priority="16" operator="lessThan">
      <formula>0.8</formula>
    </cfRule>
  </conditionalFormatting>
  <conditionalFormatting sqref="AH109">
    <cfRule type="cellIs" dxfId="2" priority="24" operator="lessThan">
      <formula>0.8</formula>
    </cfRule>
  </conditionalFormatting>
  <conditionalFormatting sqref="AH148">
    <cfRule type="cellIs" dxfId="1" priority="23" operator="lessThan">
      <formula>0.8</formula>
    </cfRule>
  </conditionalFormatting>
  <conditionalFormatting sqref="AH150">
    <cfRule type="cellIs" dxfId="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53DC57B-A00B-49E1-BA8E-FF5AAA7E2F42}"/>
</file>

<file path=customXml/itemProps2.xml><?xml version="1.0" encoding="utf-8"?>
<ds:datastoreItem xmlns:ds="http://schemas.openxmlformats.org/officeDocument/2006/customXml" ds:itemID="{3565CD4E-7AD9-4BE8-BB24-2D2066A9EE81}"/>
</file>

<file path=customXml/itemProps3.xml><?xml version="1.0" encoding="utf-8"?>
<ds:datastoreItem xmlns:ds="http://schemas.openxmlformats.org/officeDocument/2006/customXml" ds:itemID="{A8745E1A-EF3B-4762-B7F7-904ADE2F0A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0701</vt:lpstr>
      <vt:lpstr>晉欣18度C0701</vt:lpstr>
      <vt:lpstr>晉欣4度C0701</vt:lpstr>
      <vt:lpstr>0702</vt:lpstr>
      <vt:lpstr>晉欣18度C0702</vt:lpstr>
      <vt:lpstr>晉欣4度C0702</vt:lpstr>
      <vt:lpstr>0703</vt:lpstr>
      <vt:lpstr>晉欣18度C0703</vt:lpstr>
      <vt:lpstr>晉欣4度C0703</vt:lpstr>
      <vt:lpstr>0704</vt:lpstr>
      <vt:lpstr>晉欣18度C0704</vt:lpstr>
      <vt:lpstr>晉欣4度C0704</vt:lpstr>
      <vt:lpstr>0705</vt:lpstr>
      <vt:lpstr>晉欣18度C0705</vt:lpstr>
      <vt:lpstr>晉欣4度C0705</vt:lpstr>
      <vt:lpstr>0706</vt:lpstr>
      <vt:lpstr>晉欣18度C0706</vt:lpstr>
      <vt:lpstr>晉欣4度C0706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洪佳微</dc:creator>
  <cp:lastModifiedBy>洪佳微</cp:lastModifiedBy>
  <dcterms:created xsi:type="dcterms:W3CDTF">2026-02-11T07:15:57Z</dcterms:created>
  <dcterms:modified xsi:type="dcterms:W3CDTF">2026-07-07T12:31:13Z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