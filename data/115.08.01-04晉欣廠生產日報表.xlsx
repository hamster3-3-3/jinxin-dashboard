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20" yWindow="96" windowWidth="11292" windowHeight="9096" tabRatio="881" firstSheet="4" activeTab="9"/>
  </bookViews>
  <sheets>
    <sheet name="0801" sheetId="494" r:id="rId1"/>
    <sheet name="晉欣18度C0801" sheetId="498" r:id="rId2"/>
    <sheet name="晉欣4度C0801" sheetId="496" r:id="rId3"/>
    <sheet name="0802" sheetId="495" r:id="rId4"/>
    <sheet name="晉欣18度C0802" sheetId="499" r:id="rId5"/>
    <sheet name="晉欣4度C0802" sheetId="497" r:id="rId6"/>
    <sheet name="0803" sheetId="500" r:id="rId7"/>
    <sheet name="晉欣18度C0803" sheetId="501" r:id="rId8"/>
    <sheet name="晉欣4度C0803" sheetId="502" r:id="rId9"/>
    <sheet name="0804" sheetId="505" r:id="rId10"/>
    <sheet name="晉欣18度C0804" sheetId="504" r:id="rId11"/>
    <sheet name="晉欣4度C0804" sheetId="503" r:id="rId12"/>
  </sheets>
  <definedNames>
    <definedName name="_xlnm._FilterDatabase" localSheetId="0" hidden="1">'0801'!$B$10:$Q$25</definedName>
    <definedName name="_xlnm._FilterDatabase" localSheetId="3" hidden="1">'0802'!$B$10:$Q$25</definedName>
    <definedName name="_xlnm._FilterDatabase" localSheetId="6" hidden="1">'0803'!$B$10:$Q$25</definedName>
    <definedName name="_xlnm._FilterDatabase" localSheetId="9" hidden="1">'0804'!$B$10:$Q$25</definedName>
    <definedName name="_xlnm._FilterDatabase" localSheetId="1" hidden="1">晉欣18度C0801!$A$4:$R$124</definedName>
    <definedName name="_xlnm._FilterDatabase" localSheetId="4" hidden="1">晉欣18度C0802!$A$4:$R$124</definedName>
    <definedName name="_xlnm._FilterDatabase" localSheetId="7" hidden="1">晉欣18度C0803!$A$4:$R$124</definedName>
    <definedName name="_xlnm._FilterDatabase" localSheetId="10" hidden="1">晉欣18度C0804!$A$4:$R$124</definedName>
    <definedName name="_xlnm._FilterDatabase" localSheetId="2" hidden="1">晉欣4度C0801!$A$4:$AJ$173</definedName>
    <definedName name="_xlnm._FilterDatabase" localSheetId="5" hidden="1">晉欣4度C0802!$A$4:$AJ$173</definedName>
    <definedName name="_xlnm._FilterDatabase" localSheetId="8" hidden="1">晉欣4度C0803!$A$4:$AJ$173</definedName>
    <definedName name="_xlnm._FilterDatabase" localSheetId="11" hidden="1">晉欣4度C0804!$A$4:$AJ$173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2" i="505" l="1"/>
  <c r="L32" i="505"/>
  <c r="K32" i="505"/>
  <c r="J32" i="505"/>
  <c r="I32" i="505"/>
  <c r="H32" i="505"/>
  <c r="G32" i="505"/>
  <c r="F32" i="505"/>
  <c r="E32" i="505"/>
  <c r="D32" i="505"/>
  <c r="J8" i="505" s="1"/>
  <c r="Q15" i="505"/>
  <c r="P15" i="505"/>
  <c r="O15" i="505"/>
  <c r="N15" i="505"/>
  <c r="M15" i="505"/>
  <c r="L15" i="505"/>
  <c r="K15" i="505"/>
  <c r="J15" i="505"/>
  <c r="I15" i="505"/>
  <c r="H15" i="505"/>
  <c r="G15" i="505"/>
  <c r="F15" i="505"/>
  <c r="H8" i="505" s="1"/>
  <c r="E15" i="505"/>
  <c r="D15" i="505"/>
  <c r="L7" i="505"/>
  <c r="J7" i="505"/>
  <c r="H7" i="505"/>
  <c r="F7" i="505"/>
  <c r="L6" i="505"/>
  <c r="J6" i="505"/>
  <c r="H6" i="505"/>
  <c r="F6" i="505"/>
  <c r="L8" i="505" l="1"/>
  <c r="F8" i="505"/>
  <c r="J124" i="504" l="1"/>
  <c r="H123" i="504"/>
  <c r="H122" i="504"/>
  <c r="H121" i="504"/>
  <c r="H120" i="504"/>
  <c r="H119" i="504"/>
  <c r="P118" i="504"/>
  <c r="K118" i="504" s="1"/>
  <c r="L118" i="504" s="1"/>
  <c r="H118" i="504"/>
  <c r="P117" i="504"/>
  <c r="K117" i="504"/>
  <c r="L117" i="504" s="1"/>
  <c r="H117" i="504"/>
  <c r="P116" i="504"/>
  <c r="K116" i="504" s="1"/>
  <c r="L116" i="504" s="1"/>
  <c r="H116" i="504"/>
  <c r="P115" i="504"/>
  <c r="K115" i="504"/>
  <c r="L115" i="504" s="1"/>
  <c r="H115" i="504"/>
  <c r="P114" i="504"/>
  <c r="K114" i="504" s="1"/>
  <c r="L114" i="504" s="1"/>
  <c r="H114" i="504"/>
  <c r="P113" i="504"/>
  <c r="K113" i="504"/>
  <c r="L113" i="504" s="1"/>
  <c r="H113" i="504"/>
  <c r="P112" i="504"/>
  <c r="K112" i="504" s="1"/>
  <c r="H112" i="504"/>
  <c r="J111" i="504"/>
  <c r="H110" i="504"/>
  <c r="H109" i="504"/>
  <c r="H108" i="504"/>
  <c r="P107" i="504"/>
  <c r="K107" i="504"/>
  <c r="L107" i="504" s="1"/>
  <c r="H107" i="504"/>
  <c r="P106" i="504"/>
  <c r="K106" i="504" s="1"/>
  <c r="L106" i="504" s="1"/>
  <c r="H106" i="504"/>
  <c r="P105" i="504"/>
  <c r="K105" i="504"/>
  <c r="L105" i="504" s="1"/>
  <c r="H105" i="504"/>
  <c r="P104" i="504"/>
  <c r="K104" i="504" s="1"/>
  <c r="L104" i="504" s="1"/>
  <c r="H104" i="504"/>
  <c r="P103" i="504"/>
  <c r="K103" i="504"/>
  <c r="L103" i="504" s="1"/>
  <c r="H103" i="504"/>
  <c r="P102" i="504"/>
  <c r="K102" i="504" s="1"/>
  <c r="L102" i="504" s="1"/>
  <c r="H102" i="504"/>
  <c r="P101" i="504"/>
  <c r="K101" i="504"/>
  <c r="K111" i="504" s="1"/>
  <c r="H101" i="504"/>
  <c r="J100" i="504"/>
  <c r="H99" i="504"/>
  <c r="H98" i="504"/>
  <c r="H97" i="504"/>
  <c r="H96" i="504"/>
  <c r="H95" i="504"/>
  <c r="P94" i="504"/>
  <c r="K94" i="504" s="1"/>
  <c r="L94" i="504" s="1"/>
  <c r="H94" i="504"/>
  <c r="P93" i="504"/>
  <c r="K93" i="504"/>
  <c r="L93" i="504" s="1"/>
  <c r="H93" i="504"/>
  <c r="P92" i="504"/>
  <c r="K92" i="504" s="1"/>
  <c r="H92" i="504"/>
  <c r="H90" i="504"/>
  <c r="H89" i="504"/>
  <c r="H88" i="504"/>
  <c r="H87" i="504"/>
  <c r="H86" i="504"/>
  <c r="H85" i="504"/>
  <c r="H84" i="504"/>
  <c r="H83" i="504"/>
  <c r="H82" i="504"/>
  <c r="L81" i="504"/>
  <c r="K81" i="504"/>
  <c r="J81" i="504"/>
  <c r="H80" i="504"/>
  <c r="H79" i="504"/>
  <c r="H78" i="504"/>
  <c r="H77" i="504"/>
  <c r="H76" i="504"/>
  <c r="J75" i="504"/>
  <c r="H74" i="504"/>
  <c r="H73" i="504"/>
  <c r="H72" i="504"/>
  <c r="P71" i="504"/>
  <c r="K71" i="504"/>
  <c r="L71" i="504" s="1"/>
  <c r="H71" i="504"/>
  <c r="P70" i="504"/>
  <c r="K70" i="504" s="1"/>
  <c r="L70" i="504" s="1"/>
  <c r="H70" i="504"/>
  <c r="P69" i="504"/>
  <c r="K69" i="504"/>
  <c r="L69" i="504" s="1"/>
  <c r="H69" i="504"/>
  <c r="P68" i="504"/>
  <c r="K68" i="504" s="1"/>
  <c r="L68" i="504" s="1"/>
  <c r="H68" i="504"/>
  <c r="P67" i="504"/>
  <c r="K67" i="504"/>
  <c r="L67" i="504" s="1"/>
  <c r="H67" i="504"/>
  <c r="P66" i="504"/>
  <c r="K66" i="504" s="1"/>
  <c r="L66" i="504" s="1"/>
  <c r="H66" i="504"/>
  <c r="P65" i="504"/>
  <c r="K65" i="504"/>
  <c r="K75" i="504" s="1"/>
  <c r="H65" i="504"/>
  <c r="J64" i="504"/>
  <c r="H63" i="504"/>
  <c r="H62" i="504"/>
  <c r="H61" i="504"/>
  <c r="H60" i="504"/>
  <c r="P59" i="504"/>
  <c r="K59" i="504" s="1"/>
  <c r="L59" i="504" s="1"/>
  <c r="H59" i="504"/>
  <c r="P58" i="504"/>
  <c r="L58" i="504"/>
  <c r="K58" i="504"/>
  <c r="H58" i="504"/>
  <c r="P57" i="504"/>
  <c r="K57" i="504" s="1"/>
  <c r="L57" i="504" s="1"/>
  <c r="H57" i="504"/>
  <c r="P56" i="504"/>
  <c r="L56" i="504"/>
  <c r="K56" i="504"/>
  <c r="H56" i="504"/>
  <c r="P55" i="504"/>
  <c r="K55" i="504" s="1"/>
  <c r="L55" i="504" s="1"/>
  <c r="H55" i="504"/>
  <c r="P54" i="504"/>
  <c r="L54" i="504"/>
  <c r="K54" i="504"/>
  <c r="H54" i="504"/>
  <c r="P53" i="504"/>
  <c r="K53" i="504" s="1"/>
  <c r="H53" i="504"/>
  <c r="P52" i="504"/>
  <c r="L52" i="504"/>
  <c r="K52" i="504"/>
  <c r="H52" i="504"/>
  <c r="H50" i="504"/>
  <c r="H49" i="504"/>
  <c r="H47" i="504"/>
  <c r="H46" i="504"/>
  <c r="H45" i="504"/>
  <c r="H44" i="504"/>
  <c r="H43" i="504"/>
  <c r="H42" i="504"/>
  <c r="H41" i="504"/>
  <c r="H40" i="504"/>
  <c r="H39" i="504"/>
  <c r="J38" i="504"/>
  <c r="H37" i="504"/>
  <c r="H36" i="504"/>
  <c r="H35" i="504"/>
  <c r="H34" i="504"/>
  <c r="H33" i="504"/>
  <c r="H32" i="504"/>
  <c r="H31" i="504"/>
  <c r="H30" i="504"/>
  <c r="H29" i="504"/>
  <c r="P28" i="504"/>
  <c r="K28" i="504"/>
  <c r="L28" i="504" s="1"/>
  <c r="H28" i="504"/>
  <c r="P27" i="504"/>
  <c r="K27" i="504" s="1"/>
  <c r="L27" i="504" s="1"/>
  <c r="H27" i="504"/>
  <c r="P26" i="504"/>
  <c r="K26" i="504"/>
  <c r="L26" i="504" s="1"/>
  <c r="H26" i="504"/>
  <c r="P25" i="504"/>
  <c r="K25" i="504" s="1"/>
  <c r="H25" i="504"/>
  <c r="J24" i="504"/>
  <c r="H23" i="504"/>
  <c r="H22" i="504"/>
  <c r="P21" i="504"/>
  <c r="K21" i="504" s="1"/>
  <c r="L21" i="504" s="1"/>
  <c r="H21" i="504"/>
  <c r="P20" i="504"/>
  <c r="K20" i="504"/>
  <c r="L20" i="504" s="1"/>
  <c r="H20" i="504"/>
  <c r="P19" i="504"/>
  <c r="K19" i="504"/>
  <c r="L19" i="504" s="1"/>
  <c r="H19" i="504"/>
  <c r="P18" i="504"/>
  <c r="K18" i="504"/>
  <c r="L18" i="504" s="1"/>
  <c r="H18" i="504"/>
  <c r="P17" i="504"/>
  <c r="K17" i="504" s="1"/>
  <c r="H17" i="504"/>
  <c r="J16" i="504"/>
  <c r="H15" i="504"/>
  <c r="H14" i="504"/>
  <c r="H13" i="504"/>
  <c r="H12" i="504"/>
  <c r="H11" i="504"/>
  <c r="H10" i="504"/>
  <c r="H9" i="504"/>
  <c r="P8" i="504"/>
  <c r="K8" i="504"/>
  <c r="L8" i="504" s="1"/>
  <c r="H8" i="504"/>
  <c r="P7" i="504"/>
  <c r="K7" i="504" s="1"/>
  <c r="L7" i="504" s="1"/>
  <c r="H7" i="504"/>
  <c r="P6" i="504"/>
  <c r="K6" i="504"/>
  <c r="L6" i="504" s="1"/>
  <c r="H6" i="504"/>
  <c r="P5" i="504"/>
  <c r="K5" i="504" s="1"/>
  <c r="H5" i="504"/>
  <c r="I2" i="504"/>
  <c r="I1" i="504"/>
  <c r="E1" i="504"/>
  <c r="L5" i="504" l="1"/>
  <c r="L16" i="504" s="1"/>
  <c r="K16" i="504"/>
  <c r="L17" i="504"/>
  <c r="L24" i="504" s="1"/>
  <c r="K24" i="504"/>
  <c r="L25" i="504"/>
  <c r="L38" i="504" s="1"/>
  <c r="K38" i="504"/>
  <c r="L92" i="504"/>
  <c r="L100" i="504" s="1"/>
  <c r="K100" i="504"/>
  <c r="L112" i="504"/>
  <c r="L124" i="504" s="1"/>
  <c r="K124" i="504"/>
  <c r="G1" i="504"/>
  <c r="G2" i="504" s="1"/>
  <c r="K64" i="504"/>
  <c r="L53" i="504"/>
  <c r="L64" i="504" s="1"/>
  <c r="L101" i="504"/>
  <c r="L111" i="504" s="1"/>
  <c r="L65" i="504"/>
  <c r="L75" i="504" s="1"/>
  <c r="E2" i="504" l="1"/>
  <c r="AE173" i="503" l="1"/>
  <c r="AD173" i="503"/>
  <c r="AA173" i="503"/>
  <c r="Z173" i="503"/>
  <c r="M173" i="503"/>
  <c r="W172" i="503"/>
  <c r="H172" i="503"/>
  <c r="W171" i="503"/>
  <c r="H171" i="503"/>
  <c r="AG170" i="503"/>
  <c r="AF170" i="503"/>
  <c r="W170" i="503"/>
  <c r="H170" i="503"/>
  <c r="AG169" i="503"/>
  <c r="AF169" i="503"/>
  <c r="W169" i="503"/>
  <c r="H169" i="503"/>
  <c r="AG168" i="503"/>
  <c r="AF168" i="503"/>
  <c r="W168" i="503"/>
  <c r="H168" i="503"/>
  <c r="AG167" i="503"/>
  <c r="AF167" i="503"/>
  <c r="W167" i="503"/>
  <c r="H167" i="503"/>
  <c r="W166" i="503"/>
  <c r="N166" i="503"/>
  <c r="AG166" i="503" s="1"/>
  <c r="P166" i="503"/>
  <c r="H166" i="503"/>
  <c r="W165" i="503"/>
  <c r="P165" i="503"/>
  <c r="N165" i="503"/>
  <c r="O165" i="503" s="1"/>
  <c r="H165" i="503"/>
  <c r="W164" i="503"/>
  <c r="N164" i="503"/>
  <c r="AG164" i="503" s="1"/>
  <c r="P164" i="503"/>
  <c r="H164" i="503"/>
  <c r="W163" i="503"/>
  <c r="P163" i="503"/>
  <c r="N163" i="503"/>
  <c r="O163" i="503" s="1"/>
  <c r="H163" i="503"/>
  <c r="W162" i="503"/>
  <c r="P162" i="503"/>
  <c r="N162" i="503"/>
  <c r="AG162" i="503" s="1"/>
  <c r="H162" i="503"/>
  <c r="W161" i="503"/>
  <c r="N161" i="503" s="1"/>
  <c r="P161" i="503"/>
  <c r="H161" i="503"/>
  <c r="AE160" i="503"/>
  <c r="AD160" i="503"/>
  <c r="AA160" i="503"/>
  <c r="Z160" i="503"/>
  <c r="M160" i="503"/>
  <c r="W159" i="503"/>
  <c r="H159" i="503"/>
  <c r="W158" i="503"/>
  <c r="H158" i="503"/>
  <c r="W157" i="503"/>
  <c r="H157" i="503"/>
  <c r="W156" i="503"/>
  <c r="H156" i="503"/>
  <c r="W155" i="503"/>
  <c r="N155" i="503"/>
  <c r="O155" i="503" s="1"/>
  <c r="P155" i="503"/>
  <c r="H155" i="503"/>
  <c r="W154" i="503"/>
  <c r="N154" i="503" s="1"/>
  <c r="P154" i="503"/>
  <c r="H154" i="503"/>
  <c r="W153" i="503"/>
  <c r="N153" i="503"/>
  <c r="O153" i="503" s="1"/>
  <c r="P153" i="503"/>
  <c r="H153" i="503"/>
  <c r="W152" i="503"/>
  <c r="N152" i="503" s="1"/>
  <c r="P152" i="503"/>
  <c r="H152" i="503"/>
  <c r="W151" i="503"/>
  <c r="N151" i="503"/>
  <c r="O151" i="503" s="1"/>
  <c r="P151" i="503"/>
  <c r="H151" i="503"/>
  <c r="W150" i="503"/>
  <c r="N150" i="503" s="1"/>
  <c r="P150" i="503"/>
  <c r="H150" i="503"/>
  <c r="W149" i="503"/>
  <c r="N149" i="503"/>
  <c r="O149" i="503" s="1"/>
  <c r="P149" i="503"/>
  <c r="H149" i="503"/>
  <c r="W148" i="503"/>
  <c r="P148" i="503"/>
  <c r="N148" i="503"/>
  <c r="N160" i="503" s="1"/>
  <c r="H148" i="503"/>
  <c r="AE147" i="503"/>
  <c r="AD147" i="503"/>
  <c r="AA147" i="503"/>
  <c r="Z147" i="503"/>
  <c r="W147" i="503"/>
  <c r="M147" i="503"/>
  <c r="W146" i="503"/>
  <c r="H146" i="503"/>
  <c r="AG145" i="503"/>
  <c r="AF145" i="503"/>
  <c r="W145" i="503"/>
  <c r="AG144" i="503"/>
  <c r="AF144" i="503"/>
  <c r="W144" i="503"/>
  <c r="H144" i="503"/>
  <c r="W143" i="503"/>
  <c r="N143" i="503" s="1"/>
  <c r="P143" i="503"/>
  <c r="H143" i="503"/>
  <c r="W142" i="503"/>
  <c r="N142" i="503"/>
  <c r="O142" i="503" s="1"/>
  <c r="P142" i="503"/>
  <c r="H142" i="503"/>
  <c r="W141" i="503"/>
  <c r="N141" i="503" s="1"/>
  <c r="P141" i="503"/>
  <c r="H141" i="503"/>
  <c r="W140" i="503"/>
  <c r="N140" i="503"/>
  <c r="O140" i="503" s="1"/>
  <c r="P140" i="503"/>
  <c r="H140" i="503"/>
  <c r="W139" i="503"/>
  <c r="N139" i="503" s="1"/>
  <c r="P139" i="503"/>
  <c r="H139" i="503"/>
  <c r="W138" i="503"/>
  <c r="N138" i="503"/>
  <c r="O138" i="503" s="1"/>
  <c r="P138" i="503"/>
  <c r="H138" i="503"/>
  <c r="W137" i="503"/>
  <c r="N137" i="503" s="1"/>
  <c r="P137" i="503"/>
  <c r="H137" i="503"/>
  <c r="W136" i="503"/>
  <c r="N136" i="503"/>
  <c r="O136" i="503" s="1"/>
  <c r="P136" i="503"/>
  <c r="H136" i="503"/>
  <c r="W135" i="503"/>
  <c r="N135" i="503"/>
  <c r="O135" i="503" s="1"/>
  <c r="P147" i="503"/>
  <c r="H135" i="503"/>
  <c r="AE134" i="503"/>
  <c r="AD134" i="503"/>
  <c r="AA134" i="503"/>
  <c r="Z134" i="503"/>
  <c r="M134" i="503"/>
  <c r="W133" i="503"/>
  <c r="H133" i="503"/>
  <c r="W132" i="503"/>
  <c r="H132" i="503"/>
  <c r="AG131" i="503"/>
  <c r="AF131" i="503"/>
  <c r="W131" i="503"/>
  <c r="H131" i="503"/>
  <c r="W130" i="503"/>
  <c r="P130" i="503"/>
  <c r="N130" i="503"/>
  <c r="O130" i="503" s="1"/>
  <c r="H130" i="503"/>
  <c r="W129" i="503"/>
  <c r="N129" i="503"/>
  <c r="AG129" i="503" s="1"/>
  <c r="P129" i="503"/>
  <c r="H129" i="503"/>
  <c r="W128" i="503"/>
  <c r="P128" i="503"/>
  <c r="N128" i="503"/>
  <c r="O128" i="503" s="1"/>
  <c r="H128" i="503"/>
  <c r="W127" i="503"/>
  <c r="P127" i="503"/>
  <c r="N127" i="503"/>
  <c r="AG127" i="503" s="1"/>
  <c r="H127" i="503"/>
  <c r="W126" i="503"/>
  <c r="P126" i="503"/>
  <c r="N126" i="503"/>
  <c r="O126" i="503" s="1"/>
  <c r="H126" i="503"/>
  <c r="W125" i="503"/>
  <c r="P125" i="503"/>
  <c r="N125" i="503"/>
  <c r="H125" i="503"/>
  <c r="W124" i="503"/>
  <c r="P124" i="503"/>
  <c r="N124" i="503"/>
  <c r="O124" i="503" s="1"/>
  <c r="H124" i="503"/>
  <c r="W123" i="503"/>
  <c r="N123" i="503"/>
  <c r="P123" i="503"/>
  <c r="H123" i="503"/>
  <c r="W122" i="503"/>
  <c r="N122" i="503"/>
  <c r="AG122" i="503" s="1"/>
  <c r="H122" i="503"/>
  <c r="AE121" i="503"/>
  <c r="AD121" i="503"/>
  <c r="AA121" i="503"/>
  <c r="Z121" i="503"/>
  <c r="W121" i="503"/>
  <c r="M121" i="503"/>
  <c r="AG120" i="503"/>
  <c r="AF120" i="503"/>
  <c r="W120" i="503"/>
  <c r="H120" i="503"/>
  <c r="AG119" i="503"/>
  <c r="AF119" i="503"/>
  <c r="W119" i="503"/>
  <c r="H119" i="503"/>
  <c r="AG118" i="503"/>
  <c r="AF118" i="503"/>
  <c r="W118" i="503"/>
  <c r="H118" i="503"/>
  <c r="W117" i="503"/>
  <c r="N117" i="503" s="1"/>
  <c r="AF117" i="503" s="1"/>
  <c r="P117" i="503"/>
  <c r="H117" i="503"/>
  <c r="W116" i="503"/>
  <c r="N116" i="503"/>
  <c r="O116" i="503" s="1"/>
  <c r="P116" i="503"/>
  <c r="H116" i="503"/>
  <c r="W115" i="503"/>
  <c r="N115" i="503" s="1"/>
  <c r="P115" i="503"/>
  <c r="H115" i="503"/>
  <c r="W114" i="503"/>
  <c r="N114" i="503"/>
  <c r="O114" i="503" s="1"/>
  <c r="P114" i="503"/>
  <c r="H114" i="503"/>
  <c r="W113" i="503"/>
  <c r="N113" i="503" s="1"/>
  <c r="P113" i="503"/>
  <c r="H113" i="503"/>
  <c r="W112" i="503"/>
  <c r="N112" i="503"/>
  <c r="O112" i="503" s="1"/>
  <c r="P112" i="503"/>
  <c r="H112" i="503"/>
  <c r="W111" i="503"/>
  <c r="N111" i="503" s="1"/>
  <c r="P111" i="503"/>
  <c r="H111" i="503"/>
  <c r="W110" i="503"/>
  <c r="N110" i="503"/>
  <c r="O110" i="503" s="1"/>
  <c r="P110" i="503"/>
  <c r="H110" i="503"/>
  <c r="AF109" i="503"/>
  <c r="W109" i="503"/>
  <c r="N109" i="503"/>
  <c r="O109" i="503" s="1"/>
  <c r="H109" i="503"/>
  <c r="AE108" i="503"/>
  <c r="AD108" i="503"/>
  <c r="AA108" i="503"/>
  <c r="Z108" i="503"/>
  <c r="W108" i="503"/>
  <c r="M108" i="503"/>
  <c r="W107" i="503"/>
  <c r="H107" i="503"/>
  <c r="AG106" i="503"/>
  <c r="AF106" i="503"/>
  <c r="W106" i="503"/>
  <c r="H106" i="503"/>
  <c r="AG105" i="503"/>
  <c r="AF105" i="503"/>
  <c r="W105" i="503"/>
  <c r="H105" i="503"/>
  <c r="AG104" i="503"/>
  <c r="AF104" i="503"/>
  <c r="W104" i="503"/>
  <c r="H104" i="503"/>
  <c r="AG103" i="503"/>
  <c r="AF103" i="503"/>
  <c r="W103" i="503"/>
  <c r="H103" i="503"/>
  <c r="W102" i="503"/>
  <c r="N102" i="503" s="1"/>
  <c r="P102" i="503"/>
  <c r="H102" i="503"/>
  <c r="W101" i="503"/>
  <c r="N101" i="503"/>
  <c r="AF101" i="503" s="1"/>
  <c r="P101" i="503"/>
  <c r="H101" i="503"/>
  <c r="W100" i="503"/>
  <c r="P100" i="503"/>
  <c r="N100" i="503"/>
  <c r="O100" i="503" s="1"/>
  <c r="AG100" i="503"/>
  <c r="H100" i="503"/>
  <c r="W99" i="503"/>
  <c r="N99" i="503"/>
  <c r="AF99" i="503" s="1"/>
  <c r="P99" i="503"/>
  <c r="H99" i="503"/>
  <c r="W98" i="503"/>
  <c r="P98" i="503"/>
  <c r="N98" i="503"/>
  <c r="O98" i="503" s="1"/>
  <c r="AG98" i="503"/>
  <c r="H98" i="503"/>
  <c r="W97" i="503"/>
  <c r="N97" i="503"/>
  <c r="AF97" i="503" s="1"/>
  <c r="P97" i="503"/>
  <c r="H97" i="503"/>
  <c r="W96" i="503"/>
  <c r="P96" i="503"/>
  <c r="N96" i="503"/>
  <c r="O96" i="503" s="1"/>
  <c r="P108" i="503"/>
  <c r="H96" i="503"/>
  <c r="AE95" i="503"/>
  <c r="AD95" i="503"/>
  <c r="AA95" i="503"/>
  <c r="Z95" i="503"/>
  <c r="M95" i="503"/>
  <c r="AG94" i="503"/>
  <c r="AF94" i="503"/>
  <c r="W94" i="503"/>
  <c r="H94" i="503"/>
  <c r="AG93" i="503"/>
  <c r="AF93" i="503"/>
  <c r="W93" i="503"/>
  <c r="H93" i="503"/>
  <c r="AG92" i="503"/>
  <c r="AF92" i="503"/>
  <c r="W92" i="503"/>
  <c r="H92" i="503"/>
  <c r="AG91" i="503"/>
  <c r="AF91" i="503"/>
  <c r="W91" i="503"/>
  <c r="H91" i="503"/>
  <c r="W90" i="503"/>
  <c r="N90" i="503"/>
  <c r="AG90" i="503" s="1"/>
  <c r="P90" i="503"/>
  <c r="H90" i="503"/>
  <c r="W89" i="503"/>
  <c r="P89" i="503"/>
  <c r="N89" i="503"/>
  <c r="O89" i="503" s="1"/>
  <c r="AF89" i="503"/>
  <c r="H89" i="503"/>
  <c r="W88" i="503"/>
  <c r="N88" i="503"/>
  <c r="AG88" i="503" s="1"/>
  <c r="P88" i="503"/>
  <c r="H88" i="503"/>
  <c r="W87" i="503"/>
  <c r="P87" i="503"/>
  <c r="N87" i="503"/>
  <c r="O87" i="503" s="1"/>
  <c r="AF87" i="503"/>
  <c r="H87" i="503"/>
  <c r="W86" i="503"/>
  <c r="N86" i="503"/>
  <c r="AG86" i="503" s="1"/>
  <c r="P86" i="503"/>
  <c r="H86" i="503"/>
  <c r="W85" i="503"/>
  <c r="P85" i="503"/>
  <c r="N85" i="503"/>
  <c r="O85" i="503" s="1"/>
  <c r="AF85" i="503"/>
  <c r="H85" i="503"/>
  <c r="W84" i="503"/>
  <c r="N84" i="503"/>
  <c r="AG84" i="503" s="1"/>
  <c r="P84" i="503"/>
  <c r="H84" i="503"/>
  <c r="W83" i="503"/>
  <c r="P83" i="503"/>
  <c r="N83" i="503"/>
  <c r="AG83" i="503" s="1"/>
  <c r="H83" i="503"/>
  <c r="AE82" i="503"/>
  <c r="AD82" i="503"/>
  <c r="AA82" i="503"/>
  <c r="Z82" i="503"/>
  <c r="M82" i="503"/>
  <c r="W81" i="503"/>
  <c r="AG80" i="503"/>
  <c r="AF80" i="503"/>
  <c r="W80" i="503"/>
  <c r="AG79" i="503"/>
  <c r="AF79" i="503"/>
  <c r="W79" i="503"/>
  <c r="AG78" i="503"/>
  <c r="AF78" i="503"/>
  <c r="W78" i="503"/>
  <c r="AG77" i="503"/>
  <c r="AF77" i="503"/>
  <c r="W77" i="503"/>
  <c r="AG76" i="503"/>
  <c r="AF76" i="503"/>
  <c r="W76" i="503"/>
  <c r="H76" i="503"/>
  <c r="W75" i="503"/>
  <c r="P75" i="503"/>
  <c r="N75" i="503"/>
  <c r="AF75" i="503" s="1"/>
  <c r="H75" i="503"/>
  <c r="W74" i="503"/>
  <c r="P74" i="503"/>
  <c r="N74" i="503"/>
  <c r="AG74" i="503" s="1"/>
  <c r="H74" i="503"/>
  <c r="W73" i="503"/>
  <c r="P73" i="503"/>
  <c r="N73" i="503"/>
  <c r="H73" i="503"/>
  <c r="W72" i="503"/>
  <c r="P72" i="503"/>
  <c r="N72" i="503"/>
  <c r="H72" i="503"/>
  <c r="W71" i="503"/>
  <c r="O71" i="503"/>
  <c r="N71" i="503"/>
  <c r="AF71" i="503"/>
  <c r="P71" i="503"/>
  <c r="H71" i="503"/>
  <c r="W70" i="503"/>
  <c r="N70" i="503"/>
  <c r="AG70" i="503" s="1"/>
  <c r="H70" i="503"/>
  <c r="AE69" i="503"/>
  <c r="AD69" i="503"/>
  <c r="AA69" i="503"/>
  <c r="Z69" i="503"/>
  <c r="W69" i="503"/>
  <c r="M69" i="503"/>
  <c r="W68" i="503"/>
  <c r="H68" i="503"/>
  <c r="AG67" i="503"/>
  <c r="AF67" i="503"/>
  <c r="W67" i="503"/>
  <c r="H67" i="503"/>
  <c r="AG66" i="503"/>
  <c r="AF66" i="503"/>
  <c r="W66" i="503"/>
  <c r="H66" i="503"/>
  <c r="AG65" i="503"/>
  <c r="AF65" i="503"/>
  <c r="W65" i="503"/>
  <c r="H65" i="503"/>
  <c r="AG64" i="503"/>
  <c r="AF64" i="503"/>
  <c r="W64" i="503"/>
  <c r="H64" i="503"/>
  <c r="AG63" i="503"/>
  <c r="AF63" i="503"/>
  <c r="W63" i="503"/>
  <c r="H63" i="503"/>
  <c r="AG62" i="503"/>
  <c r="AF62" i="503"/>
  <c r="W62" i="503"/>
  <c r="H62" i="503"/>
  <c r="AG61" i="503"/>
  <c r="W61" i="503"/>
  <c r="P61" i="503"/>
  <c r="N61" i="503"/>
  <c r="AF61" i="503" s="1"/>
  <c r="H61" i="503"/>
  <c r="W60" i="503"/>
  <c r="N60" i="503" s="1"/>
  <c r="P60" i="503"/>
  <c r="H60" i="503"/>
  <c r="AG59" i="503"/>
  <c r="W59" i="503"/>
  <c r="P59" i="503"/>
  <c r="N59" i="503"/>
  <c r="AF59" i="503" s="1"/>
  <c r="H59" i="503"/>
  <c r="W58" i="503"/>
  <c r="N58" i="503" s="1"/>
  <c r="P58" i="503"/>
  <c r="H58" i="503"/>
  <c r="W57" i="503"/>
  <c r="N57" i="503" s="1"/>
  <c r="P57" i="503"/>
  <c r="H57" i="503"/>
  <c r="AE56" i="503"/>
  <c r="AD56" i="503"/>
  <c r="AA56" i="503"/>
  <c r="Z56" i="503"/>
  <c r="W56" i="503"/>
  <c r="M56" i="503"/>
  <c r="W55" i="503"/>
  <c r="H55" i="503"/>
  <c r="AG54" i="503"/>
  <c r="AF54" i="503"/>
  <c r="W54" i="503"/>
  <c r="H54" i="503"/>
  <c r="AG53" i="503"/>
  <c r="AF53" i="503"/>
  <c r="W53" i="503"/>
  <c r="H53" i="503"/>
  <c r="AG52" i="503"/>
  <c r="AF52" i="503"/>
  <c r="W52" i="503"/>
  <c r="H52" i="503"/>
  <c r="AG51" i="503"/>
  <c r="AF51" i="503"/>
  <c r="W51" i="503"/>
  <c r="H51" i="503"/>
  <c r="W50" i="503"/>
  <c r="N50" i="503"/>
  <c r="O50" i="503" s="1"/>
  <c r="P50" i="503"/>
  <c r="H50" i="503"/>
  <c r="W49" i="503"/>
  <c r="P49" i="503"/>
  <c r="N49" i="503"/>
  <c r="O49" i="503" s="1"/>
  <c r="AG49" i="503"/>
  <c r="H49" i="503"/>
  <c r="W48" i="503"/>
  <c r="N48" i="503"/>
  <c r="O48" i="503" s="1"/>
  <c r="H48" i="503"/>
  <c r="W47" i="503"/>
  <c r="N47" i="503" s="1"/>
  <c r="P47" i="503"/>
  <c r="H47" i="503"/>
  <c r="W46" i="503"/>
  <c r="N46" i="503"/>
  <c r="O46" i="503" s="1"/>
  <c r="H46" i="503"/>
  <c r="W45" i="503"/>
  <c r="N45" i="503" s="1"/>
  <c r="P45" i="503"/>
  <c r="H45" i="503"/>
  <c r="W44" i="503"/>
  <c r="N44" i="503" s="1"/>
  <c r="P44" i="503"/>
  <c r="H44" i="503"/>
  <c r="AE43" i="503"/>
  <c r="AD43" i="503"/>
  <c r="AA43" i="503"/>
  <c r="Z43" i="503"/>
  <c r="M43" i="503"/>
  <c r="P43" i="503" s="1"/>
  <c r="W42" i="503"/>
  <c r="H42" i="503"/>
  <c r="W41" i="503"/>
  <c r="H41" i="503"/>
  <c r="AG40" i="503"/>
  <c r="AF40" i="503"/>
  <c r="W40" i="503"/>
  <c r="H40" i="503"/>
  <c r="AG39" i="503"/>
  <c r="AF39" i="503"/>
  <c r="H39" i="503"/>
  <c r="AG38" i="503"/>
  <c r="AF38" i="503"/>
  <c r="W38" i="503"/>
  <c r="H38" i="503"/>
  <c r="W37" i="503"/>
  <c r="N37" i="503" s="1"/>
  <c r="P37" i="503"/>
  <c r="H37" i="503"/>
  <c r="AG36" i="503"/>
  <c r="W36" i="503"/>
  <c r="P36" i="503"/>
  <c r="N36" i="503"/>
  <c r="AF36" i="503" s="1"/>
  <c r="H36" i="503"/>
  <c r="W35" i="503"/>
  <c r="N35" i="503" s="1"/>
  <c r="P35" i="503"/>
  <c r="H35" i="503"/>
  <c r="AG34" i="503"/>
  <c r="W34" i="503"/>
  <c r="N34" i="503"/>
  <c r="AF34" i="503" s="1"/>
  <c r="P34" i="503"/>
  <c r="H34" i="503"/>
  <c r="W33" i="503"/>
  <c r="N33" i="503" s="1"/>
  <c r="P33" i="503"/>
  <c r="H33" i="503"/>
  <c r="AG32" i="503"/>
  <c r="W32" i="503"/>
  <c r="P32" i="503"/>
  <c r="N32" i="503"/>
  <c r="AF32" i="503" s="1"/>
  <c r="H32" i="503"/>
  <c r="AF31" i="503"/>
  <c r="W31" i="503"/>
  <c r="P31" i="503"/>
  <c r="N31" i="503"/>
  <c r="H31" i="503"/>
  <c r="AE30" i="503"/>
  <c r="AD30" i="503"/>
  <c r="AA30" i="503"/>
  <c r="Z30" i="503"/>
  <c r="M30" i="503"/>
  <c r="P30" i="503" s="1"/>
  <c r="AF29" i="503"/>
  <c r="W29" i="503"/>
  <c r="H29" i="503"/>
  <c r="AG28" i="503"/>
  <c r="AF28" i="503"/>
  <c r="W28" i="503"/>
  <c r="H28" i="503"/>
  <c r="AG27" i="503"/>
  <c r="AF27" i="503"/>
  <c r="W27" i="503"/>
  <c r="H27" i="503"/>
  <c r="W26" i="503"/>
  <c r="N26" i="503" s="1"/>
  <c r="P26" i="503"/>
  <c r="H26" i="503"/>
  <c r="W25" i="503"/>
  <c r="N25" i="503"/>
  <c r="O25" i="503" s="1"/>
  <c r="P25" i="503"/>
  <c r="H25" i="503"/>
  <c r="W24" i="503"/>
  <c r="N24" i="503" s="1"/>
  <c r="P24" i="503"/>
  <c r="H24" i="503"/>
  <c r="W23" i="503"/>
  <c r="N23" i="503"/>
  <c r="O23" i="503" s="1"/>
  <c r="P23" i="503"/>
  <c r="H23" i="503"/>
  <c r="W22" i="503"/>
  <c r="N22" i="503" s="1"/>
  <c r="P22" i="503"/>
  <c r="H22" i="503"/>
  <c r="W21" i="503"/>
  <c r="N21" i="503"/>
  <c r="O21" i="503" s="1"/>
  <c r="P21" i="503"/>
  <c r="H21" i="503"/>
  <c r="W20" i="503"/>
  <c r="N20" i="503" s="1"/>
  <c r="P20" i="503"/>
  <c r="H20" i="503"/>
  <c r="W19" i="503"/>
  <c r="N19" i="503"/>
  <c r="O19" i="503" s="1"/>
  <c r="P19" i="503"/>
  <c r="H19" i="503"/>
  <c r="W18" i="503"/>
  <c r="N18" i="503"/>
  <c r="O18" i="503" s="1"/>
  <c r="P18" i="503"/>
  <c r="H18" i="503"/>
  <c r="AE17" i="503"/>
  <c r="AE2" i="503" s="1"/>
  <c r="AD17" i="503"/>
  <c r="AA17" i="503"/>
  <c r="Z17" i="503"/>
  <c r="W17" i="503"/>
  <c r="M17" i="503"/>
  <c r="AG16" i="503"/>
  <c r="AF16" i="503"/>
  <c r="W16" i="503"/>
  <c r="H16" i="503"/>
  <c r="AG15" i="503"/>
  <c r="AF15" i="503"/>
  <c r="W15" i="503"/>
  <c r="H15" i="503"/>
  <c r="AG14" i="503"/>
  <c r="AF14" i="503"/>
  <c r="W14" i="503"/>
  <c r="H14" i="503"/>
  <c r="AG13" i="503"/>
  <c r="AF13" i="503"/>
  <c r="W13" i="503"/>
  <c r="H13" i="503"/>
  <c r="AG12" i="503"/>
  <c r="AF12" i="503"/>
  <c r="W12" i="503"/>
  <c r="H12" i="503"/>
  <c r="AG11" i="503"/>
  <c r="AF11" i="503"/>
  <c r="W11" i="503"/>
  <c r="H11" i="503"/>
  <c r="W10" i="503"/>
  <c r="P10" i="503"/>
  <c r="N10" i="503"/>
  <c r="O10" i="503" s="1"/>
  <c r="AG10" i="503"/>
  <c r="H10" i="503"/>
  <c r="W9" i="503"/>
  <c r="N9" i="503"/>
  <c r="AF9" i="503" s="1"/>
  <c r="P9" i="503"/>
  <c r="H9" i="503"/>
  <c r="W8" i="503"/>
  <c r="P8" i="503"/>
  <c r="N8" i="503"/>
  <c r="O8" i="503" s="1"/>
  <c r="AG8" i="503"/>
  <c r="H8" i="503"/>
  <c r="W7" i="503"/>
  <c r="N7" i="503"/>
  <c r="AF7" i="503" s="1"/>
  <c r="P7" i="503"/>
  <c r="H7" i="503"/>
  <c r="W6" i="503"/>
  <c r="P6" i="503"/>
  <c r="N6" i="503"/>
  <c r="O6" i="503" s="1"/>
  <c r="AF6" i="503"/>
  <c r="H6" i="503"/>
  <c r="W5" i="503"/>
  <c r="N5" i="503" s="1"/>
  <c r="P5" i="503"/>
  <c r="P17" i="503"/>
  <c r="H5" i="503"/>
  <c r="G1" i="503" s="1"/>
  <c r="G2" i="503" s="1"/>
  <c r="AD2" i="503"/>
  <c r="AA2" i="503"/>
  <c r="Z2" i="503"/>
  <c r="I2" i="503"/>
  <c r="I1" i="503"/>
  <c r="E1" i="503"/>
  <c r="R18" i="503" l="1"/>
  <c r="Q18" i="503"/>
  <c r="R23" i="503"/>
  <c r="Q23" i="503"/>
  <c r="AF37" i="503"/>
  <c r="O37" i="503"/>
  <c r="AG37" i="503"/>
  <c r="N69" i="503"/>
  <c r="O57" i="503"/>
  <c r="AG57" i="503"/>
  <c r="AF57" i="503"/>
  <c r="AG22" i="503"/>
  <c r="AF22" i="503"/>
  <c r="O22" i="503"/>
  <c r="AG26" i="503"/>
  <c r="AF26" i="503"/>
  <c r="O26" i="503"/>
  <c r="N43" i="503"/>
  <c r="AF35" i="503"/>
  <c r="O35" i="503"/>
  <c r="AG35" i="503"/>
  <c r="AG47" i="503"/>
  <c r="AF47" i="503"/>
  <c r="O47" i="503"/>
  <c r="R50" i="503"/>
  <c r="Q50" i="503"/>
  <c r="P56" i="503"/>
  <c r="AF60" i="503"/>
  <c r="O60" i="503"/>
  <c r="AG60" i="503"/>
  <c r="AG45" i="503"/>
  <c r="AF45" i="503"/>
  <c r="O45" i="503"/>
  <c r="R21" i="503"/>
  <c r="Q21" i="503"/>
  <c r="R25" i="503"/>
  <c r="Q25" i="503"/>
  <c r="N56" i="503"/>
  <c r="AF44" i="503"/>
  <c r="O44" i="503"/>
  <c r="AG44" i="503"/>
  <c r="R46" i="503"/>
  <c r="Q46" i="503"/>
  <c r="AF58" i="503"/>
  <c r="O58" i="503"/>
  <c r="AG58" i="503"/>
  <c r="AG20" i="503"/>
  <c r="AF20" i="503"/>
  <c r="O20" i="503"/>
  <c r="O30" i="503" s="1"/>
  <c r="AF33" i="503"/>
  <c r="O33" i="503"/>
  <c r="AG33" i="503"/>
  <c r="R48" i="503"/>
  <c r="Q48" i="503"/>
  <c r="AG5" i="503"/>
  <c r="AF5" i="503"/>
  <c r="N17" i="503"/>
  <c r="O5" i="503"/>
  <c r="AG24" i="503"/>
  <c r="AF24" i="503"/>
  <c r="O24" i="503"/>
  <c r="R19" i="503"/>
  <c r="Q19" i="503"/>
  <c r="AF8" i="503"/>
  <c r="R8" i="503"/>
  <c r="O9" i="503"/>
  <c r="AG7" i="503"/>
  <c r="AG9" i="503"/>
  <c r="AF19" i="503"/>
  <c r="AF21" i="503"/>
  <c r="AF23" i="503"/>
  <c r="AF25" i="503"/>
  <c r="O31" i="503"/>
  <c r="O32" i="503"/>
  <c r="O34" i="503"/>
  <c r="O36" i="503"/>
  <c r="P46" i="503"/>
  <c r="AF46" i="503"/>
  <c r="P48" i="503"/>
  <c r="AF48" i="503"/>
  <c r="AF50" i="503"/>
  <c r="O59" i="503"/>
  <c r="O61" i="503"/>
  <c r="P69" i="503"/>
  <c r="O70" i="503"/>
  <c r="AG71" i="503"/>
  <c r="AG111" i="503"/>
  <c r="AF111" i="503"/>
  <c r="O111" i="503"/>
  <c r="O121" i="503" s="1"/>
  <c r="AG115" i="503"/>
  <c r="AF115" i="503"/>
  <c r="O115" i="503"/>
  <c r="P121" i="503"/>
  <c r="AF10" i="503"/>
  <c r="AF18" i="503"/>
  <c r="AG19" i="503"/>
  <c r="AG21" i="503"/>
  <c r="AG23" i="503"/>
  <c r="AG25" i="503"/>
  <c r="AG46" i="503"/>
  <c r="AG48" i="503"/>
  <c r="AG50" i="503"/>
  <c r="P70" i="503"/>
  <c r="AF73" i="503"/>
  <c r="O73" i="503"/>
  <c r="AG73" i="503"/>
  <c r="R98" i="503"/>
  <c r="Q98" i="503"/>
  <c r="R109" i="503"/>
  <c r="Q109" i="503"/>
  <c r="R110" i="503"/>
  <c r="Q110" i="503"/>
  <c r="R114" i="503"/>
  <c r="Q114" i="503"/>
  <c r="R6" i="503"/>
  <c r="AG6" i="503"/>
  <c r="R10" i="503"/>
  <c r="AG18" i="503"/>
  <c r="N30" i="503"/>
  <c r="AF49" i="503"/>
  <c r="P82" i="503"/>
  <c r="P95" i="503"/>
  <c r="AG102" i="503"/>
  <c r="AF102" i="503"/>
  <c r="O102" i="503"/>
  <c r="AG113" i="503"/>
  <c r="AF113" i="503"/>
  <c r="O113" i="503"/>
  <c r="O7" i="503"/>
  <c r="AG31" i="503"/>
  <c r="N82" i="503"/>
  <c r="AF70" i="503"/>
  <c r="Q71" i="503"/>
  <c r="R71" i="503"/>
  <c r="AG72" i="503"/>
  <c r="O72" i="503"/>
  <c r="AF72" i="503"/>
  <c r="R87" i="503"/>
  <c r="Q87" i="503"/>
  <c r="R96" i="503"/>
  <c r="Q96" i="503"/>
  <c r="R112" i="503"/>
  <c r="Q112" i="503"/>
  <c r="R116" i="503"/>
  <c r="Q116" i="503"/>
  <c r="O74" i="503"/>
  <c r="AG75" i="503"/>
  <c r="O83" i="503"/>
  <c r="O84" i="503"/>
  <c r="AG85" i="503"/>
  <c r="O86" i="503"/>
  <c r="AG87" i="503"/>
  <c r="O88" i="503"/>
  <c r="Q89" i="503"/>
  <c r="AG89" i="503"/>
  <c r="O90" i="503"/>
  <c r="N95" i="503"/>
  <c r="AF96" i="503"/>
  <c r="AG97" i="503"/>
  <c r="AG99" i="503"/>
  <c r="AG101" i="503"/>
  <c r="N108" i="503"/>
  <c r="P109" i="503"/>
  <c r="AF110" i="503"/>
  <c r="AF112" i="503"/>
  <c r="AF114" i="503"/>
  <c r="AF116" i="503"/>
  <c r="AG117" i="503"/>
  <c r="P122" i="503"/>
  <c r="R126" i="503"/>
  <c r="Q126" i="503"/>
  <c r="R128" i="503"/>
  <c r="Q128" i="503"/>
  <c r="P134" i="503"/>
  <c r="AG139" i="503"/>
  <c r="AF139" i="503"/>
  <c r="O139" i="503"/>
  <c r="AG143" i="503"/>
  <c r="AF143" i="503"/>
  <c r="O143" i="503"/>
  <c r="R151" i="503"/>
  <c r="Q151" i="503"/>
  <c r="AG152" i="503"/>
  <c r="AF152" i="503"/>
  <c r="O152" i="503"/>
  <c r="R165" i="503"/>
  <c r="Q165" i="503"/>
  <c r="AF74" i="503"/>
  <c r="AF84" i="503"/>
  <c r="AF86" i="503"/>
  <c r="AF88" i="503"/>
  <c r="AF90" i="503"/>
  <c r="AG96" i="503"/>
  <c r="AF98" i="503"/>
  <c r="AF100" i="503"/>
  <c r="AG110" i="503"/>
  <c r="AG112" i="503"/>
  <c r="AG114" i="503"/>
  <c r="AG116" i="503"/>
  <c r="AF124" i="503"/>
  <c r="R138" i="503"/>
  <c r="Q138" i="503"/>
  <c r="R142" i="503"/>
  <c r="Q142" i="503"/>
  <c r="AG160" i="503"/>
  <c r="AH148" i="503" s="1"/>
  <c r="AF160" i="503"/>
  <c r="AG150" i="503"/>
  <c r="AF150" i="503"/>
  <c r="O150" i="503"/>
  <c r="P160" i="503"/>
  <c r="R163" i="503"/>
  <c r="Q163" i="503"/>
  <c r="O75" i="503"/>
  <c r="AF83" i="503"/>
  <c r="O97" i="503"/>
  <c r="O108" i="503" s="1"/>
  <c r="O99" i="503"/>
  <c r="R100" i="503"/>
  <c r="O101" i="503"/>
  <c r="AG109" i="503"/>
  <c r="N121" i="503"/>
  <c r="AF122" i="503"/>
  <c r="N134" i="503"/>
  <c r="R124" i="503"/>
  <c r="Q124" i="503"/>
  <c r="R130" i="503"/>
  <c r="Q130" i="503"/>
  <c r="AG137" i="503"/>
  <c r="AF137" i="503"/>
  <c r="O137" i="503"/>
  <c r="O147" i="503" s="1"/>
  <c r="AG141" i="503"/>
  <c r="AF141" i="503"/>
  <c r="O141" i="503"/>
  <c r="R149" i="503"/>
  <c r="Q149" i="503"/>
  <c r="R155" i="503"/>
  <c r="Q155" i="503"/>
  <c r="O117" i="503"/>
  <c r="O122" i="503"/>
  <c r="AG123" i="503"/>
  <c r="AF123" i="503"/>
  <c r="O123" i="503"/>
  <c r="AG125" i="503"/>
  <c r="AF125" i="503"/>
  <c r="O125" i="503"/>
  <c r="R135" i="503"/>
  <c r="Q135" i="503"/>
  <c r="R136" i="503"/>
  <c r="Q136" i="503"/>
  <c r="R140" i="503"/>
  <c r="Q140" i="503"/>
  <c r="R153" i="503"/>
  <c r="Q153" i="503"/>
  <c r="AG154" i="503"/>
  <c r="AF154" i="503"/>
  <c r="O154" i="503"/>
  <c r="AF161" i="503"/>
  <c r="N173" i="503"/>
  <c r="O161" i="503"/>
  <c r="AG161" i="503"/>
  <c r="AF126" i="503"/>
  <c r="AF128" i="503"/>
  <c r="AF130" i="503"/>
  <c r="P135" i="503"/>
  <c r="AF136" i="503"/>
  <c r="AF138" i="503"/>
  <c r="AF140" i="503"/>
  <c r="AF142" i="503"/>
  <c r="N147" i="503"/>
  <c r="AF149" i="503"/>
  <c r="AF151" i="503"/>
  <c r="AF153" i="503"/>
  <c r="AF155" i="503"/>
  <c r="AF163" i="503"/>
  <c r="AF165" i="503"/>
  <c r="AG124" i="503"/>
  <c r="AG126" i="503"/>
  <c r="O127" i="503"/>
  <c r="AG128" i="503"/>
  <c r="O129" i="503"/>
  <c r="AG130" i="503"/>
  <c r="AF135" i="503"/>
  <c r="AG136" i="503"/>
  <c r="AG138" i="503"/>
  <c r="AG140" i="503"/>
  <c r="AG142" i="503"/>
  <c r="AF148" i="503"/>
  <c r="AG149" i="503"/>
  <c r="AG151" i="503"/>
  <c r="AG153" i="503"/>
  <c r="AG155" i="503"/>
  <c r="O162" i="503"/>
  <c r="AG163" i="503"/>
  <c r="O164" i="503"/>
  <c r="AG165" i="503"/>
  <c r="O166" i="503"/>
  <c r="P173" i="503"/>
  <c r="AF127" i="503"/>
  <c r="AF129" i="503"/>
  <c r="AG135" i="503"/>
  <c r="AG148" i="503"/>
  <c r="AF162" i="503"/>
  <c r="AF164" i="503"/>
  <c r="AF166" i="503"/>
  <c r="O148" i="503"/>
  <c r="AE173" i="502"/>
  <c r="AD173" i="502"/>
  <c r="AA173" i="502"/>
  <c r="Z173" i="502"/>
  <c r="M173" i="502"/>
  <c r="W172" i="502"/>
  <c r="H172" i="502"/>
  <c r="W171" i="502"/>
  <c r="H171" i="502"/>
  <c r="AG170" i="502"/>
  <c r="AF170" i="502"/>
  <c r="W170" i="502"/>
  <c r="H170" i="502"/>
  <c r="AG169" i="502"/>
  <c r="AF169" i="502"/>
  <c r="W169" i="502"/>
  <c r="H169" i="502"/>
  <c r="AG168" i="502"/>
  <c r="AF168" i="502"/>
  <c r="W168" i="502"/>
  <c r="H168" i="502"/>
  <c r="AG167" i="502"/>
  <c r="AF167" i="502"/>
  <c r="W167" i="502"/>
  <c r="H167" i="502"/>
  <c r="W166" i="502"/>
  <c r="N166" i="502"/>
  <c r="AG166" i="502" s="1"/>
  <c r="P166" i="502"/>
  <c r="H166" i="502"/>
  <c r="W165" i="502"/>
  <c r="P165" i="502"/>
  <c r="N165" i="502"/>
  <c r="O165" i="502" s="1"/>
  <c r="H165" i="502"/>
  <c r="W164" i="502"/>
  <c r="N164" i="502"/>
  <c r="AG164" i="502" s="1"/>
  <c r="P164" i="502"/>
  <c r="H164" i="502"/>
  <c r="W163" i="502"/>
  <c r="P163" i="502"/>
  <c r="N163" i="502"/>
  <c r="O163" i="502" s="1"/>
  <c r="H163" i="502"/>
  <c r="W162" i="502"/>
  <c r="N162" i="502"/>
  <c r="AG162" i="502" s="1"/>
  <c r="P162" i="502"/>
  <c r="H162" i="502"/>
  <c r="W161" i="502"/>
  <c r="N161" i="502"/>
  <c r="AF161" i="502" s="1"/>
  <c r="P161" i="502"/>
  <c r="H161" i="502"/>
  <c r="AE160" i="502"/>
  <c r="AD160" i="502"/>
  <c r="AA160" i="502"/>
  <c r="Z160" i="502"/>
  <c r="M160" i="502"/>
  <c r="W159" i="502"/>
  <c r="H159" i="502"/>
  <c r="W158" i="502"/>
  <c r="H158" i="502"/>
  <c r="W157" i="502"/>
  <c r="H157" i="502"/>
  <c r="W156" i="502"/>
  <c r="P156" i="502"/>
  <c r="N156" i="502"/>
  <c r="O156" i="502" s="1"/>
  <c r="H156" i="502"/>
  <c r="W155" i="502"/>
  <c r="N155" i="502"/>
  <c r="O155" i="502" s="1"/>
  <c r="P155" i="502"/>
  <c r="H155" i="502"/>
  <c r="W154" i="502"/>
  <c r="P154" i="502"/>
  <c r="N154" i="502"/>
  <c r="AG154" i="502" s="1"/>
  <c r="H154" i="502"/>
  <c r="W153" i="502"/>
  <c r="N153" i="502"/>
  <c r="O153" i="502" s="1"/>
  <c r="P153" i="502"/>
  <c r="H153" i="502"/>
  <c r="W152" i="502"/>
  <c r="P152" i="502"/>
  <c r="N152" i="502"/>
  <c r="AG152" i="502" s="1"/>
  <c r="H152" i="502"/>
  <c r="W151" i="502"/>
  <c r="N151" i="502"/>
  <c r="O151" i="502" s="1"/>
  <c r="P151" i="502"/>
  <c r="H151" i="502"/>
  <c r="W150" i="502"/>
  <c r="P150" i="502"/>
  <c r="N150" i="502"/>
  <c r="AG150" i="502" s="1"/>
  <c r="H150" i="502"/>
  <c r="W149" i="502"/>
  <c r="N149" i="502"/>
  <c r="O149" i="502" s="1"/>
  <c r="P149" i="502"/>
  <c r="H149" i="502"/>
  <c r="W148" i="502"/>
  <c r="P148" i="502"/>
  <c r="N148" i="502"/>
  <c r="N160" i="502" s="1"/>
  <c r="H148" i="502"/>
  <c r="AE147" i="502"/>
  <c r="AD147" i="502"/>
  <c r="AA147" i="502"/>
  <c r="Z147" i="502"/>
  <c r="W147" i="502"/>
  <c r="M147" i="502"/>
  <c r="W146" i="502"/>
  <c r="H146" i="502"/>
  <c r="AG145" i="502"/>
  <c r="AF145" i="502"/>
  <c r="W145" i="502"/>
  <c r="W144" i="502"/>
  <c r="N144" i="502"/>
  <c r="O144" i="502" s="1"/>
  <c r="P144" i="502"/>
  <c r="H144" i="502"/>
  <c r="W143" i="502"/>
  <c r="P143" i="502"/>
  <c r="N143" i="502"/>
  <c r="AG143" i="502" s="1"/>
  <c r="H143" i="502"/>
  <c r="W142" i="502"/>
  <c r="N142" i="502"/>
  <c r="O142" i="502" s="1"/>
  <c r="P142" i="502"/>
  <c r="H142" i="502"/>
  <c r="W141" i="502"/>
  <c r="P141" i="502"/>
  <c r="N141" i="502"/>
  <c r="AG141" i="502" s="1"/>
  <c r="H141" i="502"/>
  <c r="W140" i="502"/>
  <c r="N140" i="502"/>
  <c r="O140" i="502" s="1"/>
  <c r="P140" i="502"/>
  <c r="H140" i="502"/>
  <c r="W139" i="502"/>
  <c r="P139" i="502"/>
  <c r="N139" i="502"/>
  <c r="AG139" i="502" s="1"/>
  <c r="H139" i="502"/>
  <c r="W138" i="502"/>
  <c r="N138" i="502"/>
  <c r="O138" i="502" s="1"/>
  <c r="P138" i="502"/>
  <c r="H138" i="502"/>
  <c r="W137" i="502"/>
  <c r="P137" i="502"/>
  <c r="N137" i="502"/>
  <c r="AG137" i="502" s="1"/>
  <c r="H137" i="502"/>
  <c r="W136" i="502"/>
  <c r="N136" i="502"/>
  <c r="O136" i="502" s="1"/>
  <c r="P136" i="502"/>
  <c r="H136" i="502"/>
  <c r="W135" i="502"/>
  <c r="N135" i="502"/>
  <c r="O135" i="502" s="1"/>
  <c r="P147" i="502"/>
  <c r="H135" i="502"/>
  <c r="AE134" i="502"/>
  <c r="AD134" i="502"/>
  <c r="AA134" i="502"/>
  <c r="Z134" i="502"/>
  <c r="M134" i="502"/>
  <c r="W133" i="502"/>
  <c r="H133" i="502"/>
  <c r="W132" i="502"/>
  <c r="H132" i="502"/>
  <c r="AG131" i="502"/>
  <c r="AF131" i="502"/>
  <c r="W131" i="502"/>
  <c r="H131" i="502"/>
  <c r="W130" i="502"/>
  <c r="P130" i="502"/>
  <c r="N130" i="502"/>
  <c r="O130" i="502" s="1"/>
  <c r="H130" i="502"/>
  <c r="W129" i="502"/>
  <c r="P129" i="502"/>
  <c r="N129" i="502"/>
  <c r="AG129" i="502" s="1"/>
  <c r="H129" i="502"/>
  <c r="W128" i="502"/>
  <c r="P128" i="502"/>
  <c r="N128" i="502"/>
  <c r="O128" i="502" s="1"/>
  <c r="H128" i="502"/>
  <c r="W127" i="502"/>
  <c r="P127" i="502"/>
  <c r="N127" i="502"/>
  <c r="H127" i="502"/>
  <c r="W126" i="502"/>
  <c r="P126" i="502"/>
  <c r="N126" i="502"/>
  <c r="O126" i="502" s="1"/>
  <c r="H126" i="502"/>
  <c r="W125" i="502"/>
  <c r="P125" i="502"/>
  <c r="N125" i="502"/>
  <c r="H125" i="502"/>
  <c r="W124" i="502"/>
  <c r="P124" i="502"/>
  <c r="N124" i="502"/>
  <c r="O124" i="502" s="1"/>
  <c r="H124" i="502"/>
  <c r="W123" i="502"/>
  <c r="N123" i="502"/>
  <c r="P123" i="502"/>
  <c r="H123" i="502"/>
  <c r="W122" i="502"/>
  <c r="N122" i="502" s="1"/>
  <c r="P122" i="502"/>
  <c r="H122" i="502"/>
  <c r="AE121" i="502"/>
  <c r="AD121" i="502"/>
  <c r="AA121" i="502"/>
  <c r="Z121" i="502"/>
  <c r="W121" i="502"/>
  <c r="M121" i="502"/>
  <c r="AG120" i="502"/>
  <c r="AF120" i="502"/>
  <c r="W120" i="502"/>
  <c r="H120" i="502"/>
  <c r="AG119" i="502"/>
  <c r="AF119" i="502"/>
  <c r="W119" i="502"/>
  <c r="H119" i="502"/>
  <c r="AG118" i="502"/>
  <c r="AF118" i="502"/>
  <c r="W118" i="502"/>
  <c r="H118" i="502"/>
  <c r="AG117" i="502"/>
  <c r="AF117" i="502"/>
  <c r="W117" i="502"/>
  <c r="H117" i="502"/>
  <c r="W116" i="502"/>
  <c r="P116" i="502"/>
  <c r="N116" i="502"/>
  <c r="AG116" i="502" s="1"/>
  <c r="H116" i="502"/>
  <c r="W115" i="502"/>
  <c r="P115" i="502"/>
  <c r="N115" i="502"/>
  <c r="AF115" i="502" s="1"/>
  <c r="H115" i="502"/>
  <c r="W114" i="502"/>
  <c r="P114" i="502"/>
  <c r="N114" i="502"/>
  <c r="AG114" i="502" s="1"/>
  <c r="H114" i="502"/>
  <c r="W113" i="502"/>
  <c r="N113" i="502"/>
  <c r="AF113" i="502" s="1"/>
  <c r="P113" i="502"/>
  <c r="H113" i="502"/>
  <c r="W112" i="502"/>
  <c r="P112" i="502"/>
  <c r="N112" i="502"/>
  <c r="AG112" i="502" s="1"/>
  <c r="H112" i="502"/>
  <c r="W111" i="502"/>
  <c r="P111" i="502"/>
  <c r="N111" i="502"/>
  <c r="AF111" i="502" s="1"/>
  <c r="H111" i="502"/>
  <c r="W110" i="502"/>
  <c r="P110" i="502"/>
  <c r="N110" i="502"/>
  <c r="AG110" i="502" s="1"/>
  <c r="H110" i="502"/>
  <c r="W109" i="502"/>
  <c r="N109" i="502" s="1"/>
  <c r="P109" i="502"/>
  <c r="H109" i="502"/>
  <c r="AE108" i="502"/>
  <c r="AD108" i="502"/>
  <c r="AA108" i="502"/>
  <c r="Z108" i="502"/>
  <c r="W108" i="502"/>
  <c r="M108" i="502"/>
  <c r="W107" i="502"/>
  <c r="H107" i="502"/>
  <c r="AG106" i="502"/>
  <c r="AF106" i="502"/>
  <c r="W106" i="502"/>
  <c r="H106" i="502"/>
  <c r="AG105" i="502"/>
  <c r="AF105" i="502"/>
  <c r="W105" i="502"/>
  <c r="H105" i="502"/>
  <c r="AG104" i="502"/>
  <c r="AF104" i="502"/>
  <c r="W104" i="502"/>
  <c r="H104" i="502"/>
  <c r="AG103" i="502"/>
  <c r="W103" i="502"/>
  <c r="N103" i="502"/>
  <c r="O103" i="502" s="1"/>
  <c r="P103" i="502"/>
  <c r="H103" i="502"/>
  <c r="W102" i="502"/>
  <c r="N102" i="502" s="1"/>
  <c r="P102" i="502"/>
  <c r="H102" i="502"/>
  <c r="AG101" i="502"/>
  <c r="W101" i="502"/>
  <c r="N101" i="502"/>
  <c r="O101" i="502" s="1"/>
  <c r="P101" i="502"/>
  <c r="H101" i="502"/>
  <c r="W100" i="502"/>
  <c r="N100" i="502" s="1"/>
  <c r="P100" i="502"/>
  <c r="H100" i="502"/>
  <c r="AG99" i="502"/>
  <c r="W99" i="502"/>
  <c r="N99" i="502"/>
  <c r="O99" i="502" s="1"/>
  <c r="P99" i="502"/>
  <c r="H99" i="502"/>
  <c r="W98" i="502"/>
  <c r="N98" i="502" s="1"/>
  <c r="P98" i="502"/>
  <c r="H98" i="502"/>
  <c r="AG97" i="502"/>
  <c r="W97" i="502"/>
  <c r="N97" i="502"/>
  <c r="O97" i="502" s="1"/>
  <c r="P97" i="502"/>
  <c r="H97" i="502"/>
  <c r="W96" i="502"/>
  <c r="N96" i="502" s="1"/>
  <c r="P96" i="502"/>
  <c r="P108" i="502"/>
  <c r="H96" i="502"/>
  <c r="AE95" i="502"/>
  <c r="AD95" i="502"/>
  <c r="AA95" i="502"/>
  <c r="Z95" i="502"/>
  <c r="M95" i="502"/>
  <c r="AG94" i="502"/>
  <c r="AF94" i="502"/>
  <c r="W94" i="502"/>
  <c r="H94" i="502"/>
  <c r="AG93" i="502"/>
  <c r="AF93" i="502"/>
  <c r="W93" i="502"/>
  <c r="H93" i="502"/>
  <c r="AG92" i="502"/>
  <c r="AF92" i="502"/>
  <c r="W92" i="502"/>
  <c r="H92" i="502"/>
  <c r="AG91" i="502"/>
  <c r="AF91" i="502"/>
  <c r="W91" i="502"/>
  <c r="H91" i="502"/>
  <c r="AG90" i="502"/>
  <c r="AF90" i="502"/>
  <c r="W90" i="502"/>
  <c r="H90" i="502"/>
  <c r="AG89" i="502"/>
  <c r="W89" i="502"/>
  <c r="P89" i="502"/>
  <c r="N89" i="502"/>
  <c r="O89" i="502" s="1"/>
  <c r="AF89" i="502"/>
  <c r="H89" i="502"/>
  <c r="W88" i="502"/>
  <c r="N88" i="502" s="1"/>
  <c r="H88" i="502"/>
  <c r="W87" i="502"/>
  <c r="N87" i="502" s="1"/>
  <c r="P87" i="502"/>
  <c r="H87" i="502"/>
  <c r="W86" i="502"/>
  <c r="N86" i="502" s="1"/>
  <c r="H86" i="502"/>
  <c r="W85" i="502"/>
  <c r="N85" i="502" s="1"/>
  <c r="P85" i="502"/>
  <c r="H85" i="502"/>
  <c r="W84" i="502"/>
  <c r="N84" i="502" s="1"/>
  <c r="H84" i="502"/>
  <c r="W83" i="502"/>
  <c r="O83" i="502"/>
  <c r="Q83" i="502" s="1"/>
  <c r="N83" i="502"/>
  <c r="AF83" i="502" s="1"/>
  <c r="H83" i="502"/>
  <c r="AE82" i="502"/>
  <c r="AD82" i="502"/>
  <c r="AA82" i="502"/>
  <c r="Z82" i="502"/>
  <c r="M82" i="502"/>
  <c r="W81" i="502"/>
  <c r="AG80" i="502"/>
  <c r="AF80" i="502"/>
  <c r="W80" i="502"/>
  <c r="AG79" i="502"/>
  <c r="AF79" i="502"/>
  <c r="W79" i="502"/>
  <c r="AG78" i="502"/>
  <c r="AF78" i="502"/>
  <c r="W78" i="502"/>
  <c r="AG77" i="502"/>
  <c r="AF77" i="502"/>
  <c r="W77" i="502"/>
  <c r="W76" i="502"/>
  <c r="N76" i="502" s="1"/>
  <c r="P76" i="502"/>
  <c r="H76" i="502"/>
  <c r="AG75" i="502"/>
  <c r="W75" i="502"/>
  <c r="P75" i="502"/>
  <c r="N75" i="502"/>
  <c r="O75" i="502" s="1"/>
  <c r="AF75" i="502"/>
  <c r="H75" i="502"/>
  <c r="W74" i="502"/>
  <c r="N74" i="502" s="1"/>
  <c r="O74" i="502" s="1"/>
  <c r="P74" i="502"/>
  <c r="H74" i="502"/>
  <c r="AG73" i="502"/>
  <c r="W73" i="502"/>
  <c r="P73" i="502"/>
  <c r="N73" i="502"/>
  <c r="O73" i="502" s="1"/>
  <c r="R73" i="502" s="1"/>
  <c r="AF73" i="502"/>
  <c r="H73" i="502"/>
  <c r="W72" i="502"/>
  <c r="O72" i="502"/>
  <c r="N72" i="502"/>
  <c r="P72" i="502"/>
  <c r="H72" i="502"/>
  <c r="AG71" i="502"/>
  <c r="AF71" i="502"/>
  <c r="W71" i="502"/>
  <c r="P71" i="502"/>
  <c r="N71" i="502"/>
  <c r="O71" i="502" s="1"/>
  <c r="R71" i="502" s="1"/>
  <c r="H71" i="502"/>
  <c r="W70" i="502"/>
  <c r="N70" i="502" s="1"/>
  <c r="AF70" i="502" s="1"/>
  <c r="P70" i="502"/>
  <c r="P82" i="502"/>
  <c r="H70" i="502"/>
  <c r="AE69" i="502"/>
  <c r="AD69" i="502"/>
  <c r="AA69" i="502"/>
  <c r="Z69" i="502"/>
  <c r="W69" i="502"/>
  <c r="M69" i="502"/>
  <c r="W68" i="502"/>
  <c r="H68" i="502"/>
  <c r="AG67" i="502"/>
  <c r="AF67" i="502"/>
  <c r="W67" i="502"/>
  <c r="H67" i="502"/>
  <c r="AG66" i="502"/>
  <c r="AF66" i="502"/>
  <c r="W66" i="502"/>
  <c r="H66" i="502"/>
  <c r="AG65" i="502"/>
  <c r="AF65" i="502"/>
  <c r="W65" i="502"/>
  <c r="H65" i="502"/>
  <c r="AG64" i="502"/>
  <c r="AF64" i="502"/>
  <c r="W64" i="502"/>
  <c r="H64" i="502"/>
  <c r="AG63" i="502"/>
  <c r="AF63" i="502"/>
  <c r="W63" i="502"/>
  <c r="H63" i="502"/>
  <c r="AG62" i="502"/>
  <c r="AF62" i="502"/>
  <c r="W62" i="502"/>
  <c r="H62" i="502"/>
  <c r="W61" i="502"/>
  <c r="P61" i="502"/>
  <c r="N61" i="502"/>
  <c r="O61" i="502" s="1"/>
  <c r="AG61" i="502"/>
  <c r="H61" i="502"/>
  <c r="W60" i="502"/>
  <c r="N60" i="502"/>
  <c r="AF60" i="502" s="1"/>
  <c r="P60" i="502"/>
  <c r="H60" i="502"/>
  <c r="W59" i="502"/>
  <c r="P59" i="502"/>
  <c r="N59" i="502"/>
  <c r="O59" i="502" s="1"/>
  <c r="AG59" i="502"/>
  <c r="H59" i="502"/>
  <c r="W58" i="502"/>
  <c r="N58" i="502"/>
  <c r="AF58" i="502" s="1"/>
  <c r="P58" i="502"/>
  <c r="H58" i="502"/>
  <c r="W57" i="502"/>
  <c r="N57" i="502"/>
  <c r="O57" i="502" s="1"/>
  <c r="P57" i="502"/>
  <c r="H57" i="502"/>
  <c r="AE56" i="502"/>
  <c r="AD56" i="502"/>
  <c r="AA56" i="502"/>
  <c r="Z56" i="502"/>
  <c r="W56" i="502"/>
  <c r="M56" i="502"/>
  <c r="P56" i="502" s="1"/>
  <c r="W55" i="502"/>
  <c r="H55" i="502"/>
  <c r="AG54" i="502"/>
  <c r="AF54" i="502"/>
  <c r="W54" i="502"/>
  <c r="H54" i="502"/>
  <c r="AG53" i="502"/>
  <c r="AF53" i="502"/>
  <c r="W53" i="502"/>
  <c r="H53" i="502"/>
  <c r="AG52" i="502"/>
  <c r="AF52" i="502"/>
  <c r="W52" i="502"/>
  <c r="H52" i="502"/>
  <c r="W51" i="502"/>
  <c r="N51" i="502" s="1"/>
  <c r="P51" i="502"/>
  <c r="H51" i="502"/>
  <c r="W50" i="502"/>
  <c r="N50" i="502"/>
  <c r="O50" i="502" s="1"/>
  <c r="H50" i="502"/>
  <c r="W49" i="502"/>
  <c r="N49" i="502" s="1"/>
  <c r="P49" i="502"/>
  <c r="H49" i="502"/>
  <c r="W48" i="502"/>
  <c r="N48" i="502"/>
  <c r="O48" i="502" s="1"/>
  <c r="H48" i="502"/>
  <c r="W47" i="502"/>
  <c r="N47" i="502" s="1"/>
  <c r="P47" i="502"/>
  <c r="H47" i="502"/>
  <c r="W46" i="502"/>
  <c r="N46" i="502"/>
  <c r="O46" i="502" s="1"/>
  <c r="H46" i="502"/>
  <c r="W45" i="502"/>
  <c r="N45" i="502" s="1"/>
  <c r="P45" i="502"/>
  <c r="H45" i="502"/>
  <c r="W44" i="502"/>
  <c r="N44" i="502" s="1"/>
  <c r="P44" i="502"/>
  <c r="H44" i="502"/>
  <c r="AE43" i="502"/>
  <c r="AD43" i="502"/>
  <c r="AA43" i="502"/>
  <c r="Z43" i="502"/>
  <c r="M43" i="502"/>
  <c r="W42" i="502"/>
  <c r="H42" i="502"/>
  <c r="W41" i="502"/>
  <c r="AG40" i="502"/>
  <c r="AF40" i="502"/>
  <c r="W40" i="502"/>
  <c r="H40" i="502"/>
  <c r="AG39" i="502"/>
  <c r="AF39" i="502"/>
  <c r="H39" i="502"/>
  <c r="W38" i="502"/>
  <c r="N38" i="502" s="1"/>
  <c r="P38" i="502"/>
  <c r="H38" i="502"/>
  <c r="W37" i="502"/>
  <c r="N37" i="502"/>
  <c r="H37" i="502"/>
  <c r="W36" i="502"/>
  <c r="N36" i="502" s="1"/>
  <c r="AF36" i="502" s="1"/>
  <c r="P36" i="502"/>
  <c r="H36" i="502"/>
  <c r="W35" i="502"/>
  <c r="N35" i="502"/>
  <c r="H35" i="502"/>
  <c r="W34" i="502"/>
  <c r="N34" i="502" s="1"/>
  <c r="P34" i="502"/>
  <c r="H34" i="502"/>
  <c r="W33" i="502"/>
  <c r="N33" i="502" s="1"/>
  <c r="H33" i="502"/>
  <c r="AG32" i="502"/>
  <c r="W32" i="502"/>
  <c r="N32" i="502" s="1"/>
  <c r="O32" i="502" s="1"/>
  <c r="P32" i="502"/>
  <c r="Q32" i="502"/>
  <c r="H32" i="502"/>
  <c r="W31" i="502"/>
  <c r="N31" i="502" s="1"/>
  <c r="P31" i="502"/>
  <c r="H31" i="502"/>
  <c r="AE30" i="502"/>
  <c r="AD30" i="502"/>
  <c r="AA30" i="502"/>
  <c r="Z30" i="502"/>
  <c r="M30" i="502"/>
  <c r="AF29" i="502"/>
  <c r="W29" i="502"/>
  <c r="H29" i="502"/>
  <c r="AG28" i="502"/>
  <c r="AF28" i="502"/>
  <c r="W28" i="502"/>
  <c r="H28" i="502"/>
  <c r="AG27" i="502"/>
  <c r="AF27" i="502"/>
  <c r="W27" i="502"/>
  <c r="H27" i="502"/>
  <c r="AG26" i="502"/>
  <c r="AF26" i="502"/>
  <c r="W26" i="502"/>
  <c r="H26" i="502"/>
  <c r="AG25" i="502"/>
  <c r="AF25" i="502"/>
  <c r="W25" i="502"/>
  <c r="H25" i="502"/>
  <c r="AG24" i="502"/>
  <c r="AF24" i="502"/>
  <c r="W24" i="502"/>
  <c r="H24" i="502"/>
  <c r="W23" i="502"/>
  <c r="P23" i="502"/>
  <c r="N23" i="502"/>
  <c r="O23" i="502" s="1"/>
  <c r="Q23" i="502"/>
  <c r="H23" i="502"/>
  <c r="W22" i="502"/>
  <c r="N22" i="502"/>
  <c r="AF22" i="502" s="1"/>
  <c r="P22" i="502"/>
  <c r="H22" i="502"/>
  <c r="W21" i="502"/>
  <c r="P21" i="502"/>
  <c r="N21" i="502"/>
  <c r="O21" i="502" s="1"/>
  <c r="H21" i="502"/>
  <c r="W20" i="502"/>
  <c r="P20" i="502"/>
  <c r="N20" i="502"/>
  <c r="AF20" i="502" s="1"/>
  <c r="H20" i="502"/>
  <c r="W19" i="502"/>
  <c r="N19" i="502"/>
  <c r="AF19" i="502" s="1"/>
  <c r="P19" i="502"/>
  <c r="H19" i="502"/>
  <c r="W18" i="502"/>
  <c r="N18" i="502"/>
  <c r="O18" i="502" s="1"/>
  <c r="P18" i="502"/>
  <c r="H18" i="502"/>
  <c r="AE17" i="502"/>
  <c r="AD17" i="502"/>
  <c r="AA17" i="502"/>
  <c r="Z17" i="502"/>
  <c r="W17" i="502"/>
  <c r="M17" i="502"/>
  <c r="AG16" i="502"/>
  <c r="AF16" i="502"/>
  <c r="W16" i="502"/>
  <c r="H16" i="502"/>
  <c r="AG15" i="502"/>
  <c r="AF15" i="502"/>
  <c r="W15" i="502"/>
  <c r="H15" i="502"/>
  <c r="AG14" i="502"/>
  <c r="AF14" i="502"/>
  <c r="W14" i="502"/>
  <c r="H14" i="502"/>
  <c r="AG13" i="502"/>
  <c r="AF13" i="502"/>
  <c r="W13" i="502"/>
  <c r="H13" i="502"/>
  <c r="AG12" i="502"/>
  <c r="AF12" i="502"/>
  <c r="W12" i="502"/>
  <c r="H12" i="502"/>
  <c r="AG11" i="502"/>
  <c r="AF11" i="502"/>
  <c r="W11" i="502"/>
  <c r="H11" i="502"/>
  <c r="W10" i="502"/>
  <c r="N10" i="502"/>
  <c r="O10" i="502" s="1"/>
  <c r="P10" i="502"/>
  <c r="H10" i="502"/>
  <c r="W9" i="502"/>
  <c r="N9" i="502" s="1"/>
  <c r="P9" i="502"/>
  <c r="H9" i="502"/>
  <c r="W8" i="502"/>
  <c r="N8" i="502"/>
  <c r="O8" i="502" s="1"/>
  <c r="P8" i="502"/>
  <c r="H8" i="502"/>
  <c r="W7" i="502"/>
  <c r="N7" i="502" s="1"/>
  <c r="P7" i="502"/>
  <c r="H7" i="502"/>
  <c r="AG6" i="502"/>
  <c r="W6" i="502"/>
  <c r="N6" i="502"/>
  <c r="AF6" i="502" s="1"/>
  <c r="P6" i="502"/>
  <c r="H6" i="502"/>
  <c r="AF5" i="502"/>
  <c r="W5" i="502"/>
  <c r="N5" i="502"/>
  <c r="P17" i="502"/>
  <c r="H5" i="502"/>
  <c r="AE2" i="502"/>
  <c r="AD2" i="502"/>
  <c r="AA2" i="502"/>
  <c r="Z2" i="502"/>
  <c r="I2" i="502"/>
  <c r="I1" i="502"/>
  <c r="E1" i="502"/>
  <c r="J124" i="501"/>
  <c r="H123" i="501"/>
  <c r="H122" i="501"/>
  <c r="H121" i="501"/>
  <c r="H120" i="501"/>
  <c r="H119" i="501"/>
  <c r="P118" i="501"/>
  <c r="K118" i="501" s="1"/>
  <c r="L118" i="501" s="1"/>
  <c r="H118" i="501"/>
  <c r="P117" i="501"/>
  <c r="K117" i="501"/>
  <c r="L117" i="501" s="1"/>
  <c r="H117" i="501"/>
  <c r="P116" i="501"/>
  <c r="K116" i="501" s="1"/>
  <c r="L116" i="501" s="1"/>
  <c r="H116" i="501"/>
  <c r="P115" i="501"/>
  <c r="K115" i="501"/>
  <c r="L115" i="501" s="1"/>
  <c r="H115" i="501"/>
  <c r="P114" i="501"/>
  <c r="K114" i="501" s="1"/>
  <c r="L114" i="501" s="1"/>
  <c r="H114" i="501"/>
  <c r="P113" i="501"/>
  <c r="K113" i="501"/>
  <c r="L113" i="501" s="1"/>
  <c r="H113" i="501"/>
  <c r="P112" i="501"/>
  <c r="K112" i="501" s="1"/>
  <c r="H112" i="501"/>
  <c r="J111" i="501"/>
  <c r="H110" i="501"/>
  <c r="H109" i="501"/>
  <c r="H108" i="501"/>
  <c r="P107" i="501"/>
  <c r="K107" i="501"/>
  <c r="L107" i="501" s="1"/>
  <c r="H107" i="501"/>
  <c r="P106" i="501"/>
  <c r="K106" i="501" s="1"/>
  <c r="L106" i="501" s="1"/>
  <c r="H106" i="501"/>
  <c r="P105" i="501"/>
  <c r="K105" i="501"/>
  <c r="L105" i="501" s="1"/>
  <c r="H105" i="501"/>
  <c r="P104" i="501"/>
  <c r="K104" i="501" s="1"/>
  <c r="L104" i="501" s="1"/>
  <c r="H104" i="501"/>
  <c r="P103" i="501"/>
  <c r="K103" i="501"/>
  <c r="L103" i="501" s="1"/>
  <c r="H103" i="501"/>
  <c r="P102" i="501"/>
  <c r="K102" i="501" s="1"/>
  <c r="L102" i="501" s="1"/>
  <c r="H102" i="501"/>
  <c r="P101" i="501"/>
  <c r="K101" i="501"/>
  <c r="K111" i="501" s="1"/>
  <c r="H101" i="501"/>
  <c r="J100" i="501"/>
  <c r="H99" i="501"/>
  <c r="H98" i="501"/>
  <c r="H97" i="501"/>
  <c r="H96" i="501"/>
  <c r="H95" i="501"/>
  <c r="P94" i="501"/>
  <c r="K94" i="501" s="1"/>
  <c r="L94" i="501" s="1"/>
  <c r="H94" i="501"/>
  <c r="P93" i="501"/>
  <c r="K93" i="501"/>
  <c r="L93" i="501" s="1"/>
  <c r="H93" i="501"/>
  <c r="P92" i="501"/>
  <c r="K92" i="501" s="1"/>
  <c r="H92" i="501"/>
  <c r="H90" i="501"/>
  <c r="H89" i="501"/>
  <c r="H88" i="501"/>
  <c r="H87" i="501"/>
  <c r="H86" i="501"/>
  <c r="H85" i="501"/>
  <c r="H84" i="501"/>
  <c r="H83" i="501"/>
  <c r="H82" i="501"/>
  <c r="L81" i="501"/>
  <c r="K81" i="501"/>
  <c r="J81" i="501"/>
  <c r="H80" i="501"/>
  <c r="H79" i="501"/>
  <c r="H78" i="501"/>
  <c r="H77" i="501"/>
  <c r="H76" i="501"/>
  <c r="J75" i="501"/>
  <c r="H74" i="501"/>
  <c r="H73" i="501"/>
  <c r="H72" i="501"/>
  <c r="P71" i="501"/>
  <c r="K71" i="501" s="1"/>
  <c r="L71" i="501" s="1"/>
  <c r="H71" i="501"/>
  <c r="P70" i="501"/>
  <c r="L70" i="501"/>
  <c r="K70" i="501"/>
  <c r="H70" i="501"/>
  <c r="P69" i="501"/>
  <c r="L69" i="501"/>
  <c r="K69" i="501"/>
  <c r="H69" i="501"/>
  <c r="P68" i="501"/>
  <c r="K68" i="501" s="1"/>
  <c r="L68" i="501" s="1"/>
  <c r="H68" i="501"/>
  <c r="P67" i="501"/>
  <c r="L67" i="501"/>
  <c r="K67" i="501"/>
  <c r="H67" i="501"/>
  <c r="P66" i="501"/>
  <c r="K66" i="501" s="1"/>
  <c r="L66" i="501" s="1"/>
  <c r="H66" i="501"/>
  <c r="P65" i="501"/>
  <c r="L65" i="501"/>
  <c r="K65" i="501"/>
  <c r="K75" i="501" s="1"/>
  <c r="H65" i="501"/>
  <c r="J64" i="501"/>
  <c r="H63" i="501"/>
  <c r="H62" i="501"/>
  <c r="H61" i="501"/>
  <c r="H60" i="501"/>
  <c r="P59" i="501"/>
  <c r="K59" i="501" s="1"/>
  <c r="L59" i="501" s="1"/>
  <c r="H59" i="501"/>
  <c r="P58" i="501"/>
  <c r="L58" i="501"/>
  <c r="K58" i="501"/>
  <c r="H58" i="501"/>
  <c r="P57" i="501"/>
  <c r="K57" i="501" s="1"/>
  <c r="L57" i="501" s="1"/>
  <c r="H57" i="501"/>
  <c r="P56" i="501"/>
  <c r="L56" i="501"/>
  <c r="K56" i="501"/>
  <c r="H56" i="501"/>
  <c r="P55" i="501"/>
  <c r="K55" i="501" s="1"/>
  <c r="L55" i="501" s="1"/>
  <c r="H55" i="501"/>
  <c r="P54" i="501"/>
  <c r="L54" i="501"/>
  <c r="K54" i="501"/>
  <c r="H54" i="501"/>
  <c r="P53" i="501"/>
  <c r="K53" i="501" s="1"/>
  <c r="H53" i="501"/>
  <c r="P52" i="501"/>
  <c r="L52" i="501"/>
  <c r="K52" i="501"/>
  <c r="H52" i="501"/>
  <c r="H50" i="501"/>
  <c r="H49" i="501"/>
  <c r="H47" i="501"/>
  <c r="H46" i="501"/>
  <c r="H45" i="501"/>
  <c r="H44" i="501"/>
  <c r="H43" i="501"/>
  <c r="H42" i="501"/>
  <c r="H41" i="501"/>
  <c r="H40" i="501"/>
  <c r="H39" i="501"/>
  <c r="J38" i="501"/>
  <c r="H37" i="501"/>
  <c r="H36" i="501"/>
  <c r="H35" i="501"/>
  <c r="H34" i="501"/>
  <c r="H33" i="501"/>
  <c r="H32" i="501"/>
  <c r="H31" i="501"/>
  <c r="H30" i="501"/>
  <c r="H29" i="501"/>
  <c r="P28" i="501"/>
  <c r="K28" i="501"/>
  <c r="L28" i="501" s="1"/>
  <c r="H28" i="501"/>
  <c r="P27" i="501"/>
  <c r="K27" i="501"/>
  <c r="L27" i="501" s="1"/>
  <c r="H27" i="501"/>
  <c r="P26" i="501"/>
  <c r="K26" i="501" s="1"/>
  <c r="L26" i="501" s="1"/>
  <c r="H26" i="501"/>
  <c r="P25" i="501"/>
  <c r="K25" i="501"/>
  <c r="L25" i="501" s="1"/>
  <c r="H25" i="501"/>
  <c r="J24" i="501"/>
  <c r="H23" i="501"/>
  <c r="H22" i="501"/>
  <c r="P21" i="501"/>
  <c r="K21" i="501"/>
  <c r="L21" i="501" s="1"/>
  <c r="H21" i="501"/>
  <c r="P20" i="501"/>
  <c r="K20" i="501"/>
  <c r="L20" i="501" s="1"/>
  <c r="H20" i="501"/>
  <c r="P19" i="501"/>
  <c r="K19" i="501"/>
  <c r="L19" i="501" s="1"/>
  <c r="H19" i="501"/>
  <c r="P18" i="501"/>
  <c r="K18" i="501"/>
  <c r="L18" i="501" s="1"/>
  <c r="H18" i="501"/>
  <c r="P17" i="501"/>
  <c r="K17" i="501"/>
  <c r="L17" i="501" s="1"/>
  <c r="L24" i="501" s="1"/>
  <c r="H17" i="501"/>
  <c r="J16" i="501"/>
  <c r="H15" i="501"/>
  <c r="H14" i="501"/>
  <c r="H13" i="501"/>
  <c r="H12" i="501"/>
  <c r="H11" i="501"/>
  <c r="H10" i="501"/>
  <c r="H9" i="501"/>
  <c r="P8" i="501"/>
  <c r="K8" i="501"/>
  <c r="L8" i="501" s="1"/>
  <c r="H8" i="501"/>
  <c r="P7" i="501"/>
  <c r="K7" i="501" s="1"/>
  <c r="L7" i="501" s="1"/>
  <c r="H7" i="501"/>
  <c r="P6" i="501"/>
  <c r="K6" i="501"/>
  <c r="L6" i="501" s="1"/>
  <c r="H6" i="501"/>
  <c r="P5" i="501"/>
  <c r="K5" i="501" s="1"/>
  <c r="H5" i="501"/>
  <c r="I2" i="501"/>
  <c r="I1" i="501"/>
  <c r="E1" i="501"/>
  <c r="R121" i="503" l="1"/>
  <c r="S109" i="503" s="1"/>
  <c r="Q121" i="503"/>
  <c r="Q147" i="503"/>
  <c r="R147" i="503"/>
  <c r="S135" i="503" s="1"/>
  <c r="R30" i="503"/>
  <c r="S18" i="503" s="1"/>
  <c r="Q30" i="503"/>
  <c r="Q161" i="503"/>
  <c r="O173" i="503"/>
  <c r="R161" i="503"/>
  <c r="Q143" i="503"/>
  <c r="R143" i="503"/>
  <c r="R84" i="503"/>
  <c r="Q84" i="503"/>
  <c r="Q100" i="503"/>
  <c r="R89" i="503"/>
  <c r="O82" i="503"/>
  <c r="R82" i="503" s="1"/>
  <c r="S70" i="503" s="1"/>
  <c r="Q70" i="503"/>
  <c r="R70" i="503"/>
  <c r="R34" i="503"/>
  <c r="Q34" i="503"/>
  <c r="R33" i="503"/>
  <c r="Q33" i="503"/>
  <c r="Q45" i="503"/>
  <c r="R45" i="503"/>
  <c r="Q10" i="503"/>
  <c r="R60" i="503"/>
  <c r="Q60" i="503"/>
  <c r="AG69" i="503"/>
  <c r="AH57" i="503" s="1"/>
  <c r="Q69" i="503"/>
  <c r="AF69" i="503"/>
  <c r="R148" i="503"/>
  <c r="Q148" i="503"/>
  <c r="O160" i="503"/>
  <c r="Q164" i="503"/>
  <c r="R164" i="503"/>
  <c r="Q127" i="503"/>
  <c r="R127" i="503"/>
  <c r="AG173" i="503"/>
  <c r="AH161" i="503" s="1"/>
  <c r="AF173" i="503"/>
  <c r="Q122" i="503"/>
  <c r="O134" i="503"/>
  <c r="R122" i="503"/>
  <c r="AG134" i="503"/>
  <c r="AH122" i="503" s="1"/>
  <c r="AF134" i="503"/>
  <c r="R101" i="503"/>
  <c r="Q101" i="503"/>
  <c r="R97" i="503"/>
  <c r="Q97" i="503"/>
  <c r="Q108" i="503"/>
  <c r="R86" i="503"/>
  <c r="Q86" i="503"/>
  <c r="R83" i="503"/>
  <c r="Q83" i="503"/>
  <c r="O95" i="503"/>
  <c r="Q72" i="503"/>
  <c r="R72" i="503"/>
  <c r="R7" i="503"/>
  <c r="Q7" i="503"/>
  <c r="R102" i="503"/>
  <c r="Q102" i="503"/>
  <c r="AF30" i="503"/>
  <c r="AG30" i="503"/>
  <c r="AH18" i="503" s="1"/>
  <c r="Q111" i="503"/>
  <c r="R111" i="503"/>
  <c r="Q85" i="503"/>
  <c r="R32" i="503"/>
  <c r="Q32" i="503"/>
  <c r="Q9" i="503"/>
  <c r="R9" i="503"/>
  <c r="R5" i="503"/>
  <c r="Q5" i="503"/>
  <c r="O17" i="503"/>
  <c r="AG56" i="503"/>
  <c r="AH44" i="503" s="1"/>
  <c r="Q56" i="503"/>
  <c r="AF56" i="503"/>
  <c r="R49" i="503"/>
  <c r="Q43" i="503"/>
  <c r="AG43" i="503"/>
  <c r="AH31" i="503" s="1"/>
  <c r="AF43" i="503"/>
  <c r="Q22" i="503"/>
  <c r="R22" i="503"/>
  <c r="AG147" i="503"/>
  <c r="AH135" i="503" s="1"/>
  <c r="AF147" i="503"/>
  <c r="Q123" i="503"/>
  <c r="R123" i="503"/>
  <c r="R117" i="503"/>
  <c r="Q117" i="503"/>
  <c r="Q137" i="503"/>
  <c r="R137" i="503"/>
  <c r="Q152" i="503"/>
  <c r="R152" i="503"/>
  <c r="AG95" i="503"/>
  <c r="AH83" i="503" s="1"/>
  <c r="AF95" i="503"/>
  <c r="R88" i="503"/>
  <c r="Q88" i="503"/>
  <c r="AF82" i="503"/>
  <c r="Q82" i="503"/>
  <c r="AG82" i="503"/>
  <c r="AH70" i="503" s="1"/>
  <c r="Q113" i="503"/>
  <c r="R113" i="503"/>
  <c r="Q73" i="503"/>
  <c r="R73" i="503"/>
  <c r="Q115" i="503"/>
  <c r="R115" i="503"/>
  <c r="R85" i="503"/>
  <c r="R61" i="503"/>
  <c r="Q61" i="503"/>
  <c r="R31" i="503"/>
  <c r="Q31" i="503"/>
  <c r="O43" i="503"/>
  <c r="R43" i="503" s="1"/>
  <c r="S31" i="503" s="1"/>
  <c r="Q24" i="503"/>
  <c r="R24" i="503"/>
  <c r="AG17" i="503"/>
  <c r="AH5" i="503" s="1"/>
  <c r="AF17" i="503"/>
  <c r="Q20" i="503"/>
  <c r="R20" i="503"/>
  <c r="R58" i="503"/>
  <c r="Q58" i="503"/>
  <c r="Q8" i="503"/>
  <c r="Q49" i="503"/>
  <c r="Q26" i="503"/>
  <c r="R26" i="503"/>
  <c r="R37" i="503"/>
  <c r="Q37" i="503"/>
  <c r="Q6" i="503"/>
  <c r="Q166" i="503"/>
  <c r="R166" i="503"/>
  <c r="Q162" i="503"/>
  <c r="R162" i="503"/>
  <c r="Q129" i="503"/>
  <c r="R129" i="503"/>
  <c r="Q154" i="503"/>
  <c r="R154" i="503"/>
  <c r="Q125" i="503"/>
  <c r="R125" i="503"/>
  <c r="Q141" i="503"/>
  <c r="R141" i="503"/>
  <c r="AF121" i="503"/>
  <c r="AG121" i="503"/>
  <c r="AH109" i="503" s="1"/>
  <c r="R99" i="503"/>
  <c r="Q99" i="503"/>
  <c r="R75" i="503"/>
  <c r="Q75" i="503"/>
  <c r="Q150" i="503"/>
  <c r="R150" i="503"/>
  <c r="Q139" i="503"/>
  <c r="R139" i="503"/>
  <c r="AG108" i="503"/>
  <c r="AH96" i="503" s="1"/>
  <c r="AF108" i="503"/>
  <c r="R90" i="503"/>
  <c r="Q90" i="503"/>
  <c r="R74" i="503"/>
  <c r="Q74" i="503"/>
  <c r="R59" i="503"/>
  <c r="Q59" i="503"/>
  <c r="R36" i="503"/>
  <c r="Q36" i="503"/>
  <c r="Q44" i="503"/>
  <c r="O56" i="503"/>
  <c r="R56" i="503" s="1"/>
  <c r="S44" i="503" s="1"/>
  <c r="R44" i="503"/>
  <c r="Q47" i="503"/>
  <c r="R47" i="503"/>
  <c r="R35" i="503"/>
  <c r="Q35" i="503"/>
  <c r="O69" i="503"/>
  <c r="R69" i="503" s="1"/>
  <c r="S57" i="503" s="1"/>
  <c r="R57" i="503"/>
  <c r="Q57" i="503"/>
  <c r="AG7" i="502"/>
  <c r="AF7" i="502"/>
  <c r="O7" i="502"/>
  <c r="Q10" i="502"/>
  <c r="R10" i="502"/>
  <c r="AG33" i="502"/>
  <c r="AF33" i="502"/>
  <c r="O33" i="502"/>
  <c r="G1" i="502"/>
  <c r="G2" i="502" s="1"/>
  <c r="N17" i="502"/>
  <c r="AG9" i="502"/>
  <c r="O9" i="502"/>
  <c r="AF9" i="502"/>
  <c r="R23" i="502"/>
  <c r="R8" i="502"/>
  <c r="Q8" i="502"/>
  <c r="R21" i="502"/>
  <c r="Q21" i="502"/>
  <c r="R18" i="502"/>
  <c r="Q18" i="502"/>
  <c r="O5" i="502"/>
  <c r="O6" i="502"/>
  <c r="P5" i="502"/>
  <c r="AF8" i="502"/>
  <c r="AF10" i="502"/>
  <c r="AF18" i="502"/>
  <c r="AG19" i="502"/>
  <c r="O20" i="502"/>
  <c r="AF21" i="502"/>
  <c r="O22" i="502"/>
  <c r="AF23" i="502"/>
  <c r="N30" i="502"/>
  <c r="AF32" i="502"/>
  <c r="AG34" i="502"/>
  <c r="O34" i="502"/>
  <c r="R48" i="502"/>
  <c r="Q48" i="502"/>
  <c r="AG51" i="502"/>
  <c r="AF51" i="502"/>
  <c r="O51" i="502"/>
  <c r="AG8" i="502"/>
  <c r="AG10" i="502"/>
  <c r="AG18" i="502"/>
  <c r="AG21" i="502"/>
  <c r="AG23" i="502"/>
  <c r="P33" i="502"/>
  <c r="AF34" i="502"/>
  <c r="P43" i="502"/>
  <c r="AG45" i="502"/>
  <c r="AF45" i="502"/>
  <c r="O45" i="502"/>
  <c r="R50" i="502"/>
  <c r="Q50" i="502"/>
  <c r="O19" i="502"/>
  <c r="P30" i="502"/>
  <c r="N43" i="502"/>
  <c r="O31" i="502"/>
  <c r="AG31" i="502"/>
  <c r="O37" i="502"/>
  <c r="AG37" i="502"/>
  <c r="AF37" i="502"/>
  <c r="AG38" i="502"/>
  <c r="O38" i="502"/>
  <c r="AG47" i="502"/>
  <c r="AF47" i="502"/>
  <c r="O47" i="502"/>
  <c r="R59" i="502"/>
  <c r="AG5" i="502"/>
  <c r="AG20" i="502"/>
  <c r="AG22" i="502"/>
  <c r="AF31" i="502"/>
  <c r="R32" i="502"/>
  <c r="O35" i="502"/>
  <c r="AG35" i="502"/>
  <c r="AF35" i="502"/>
  <c r="AG36" i="502"/>
  <c r="O36" i="502"/>
  <c r="AF38" i="502"/>
  <c r="N56" i="502"/>
  <c r="AF44" i="502"/>
  <c r="O44" i="502"/>
  <c r="AG44" i="502"/>
  <c r="R46" i="502"/>
  <c r="Q46" i="502"/>
  <c r="AG49" i="502"/>
  <c r="AF49" i="502"/>
  <c r="O49" i="502"/>
  <c r="P35" i="502"/>
  <c r="P37" i="502"/>
  <c r="P46" i="502"/>
  <c r="AF46" i="502"/>
  <c r="P48" i="502"/>
  <c r="AF48" i="502"/>
  <c r="P50" i="502"/>
  <c r="AF50" i="502"/>
  <c r="Q57" i="502"/>
  <c r="AF57" i="502"/>
  <c r="AG58" i="502"/>
  <c r="AG60" i="502"/>
  <c r="P69" i="502"/>
  <c r="N69" i="502"/>
  <c r="Q71" i="502"/>
  <c r="Q73" i="502"/>
  <c r="AG76" i="502"/>
  <c r="AF76" i="502"/>
  <c r="O76" i="502"/>
  <c r="AG88" i="502"/>
  <c r="AF88" i="502"/>
  <c r="O88" i="502"/>
  <c r="R97" i="502"/>
  <c r="Q97" i="502"/>
  <c r="AG98" i="502"/>
  <c r="AF98" i="502"/>
  <c r="O98" i="502"/>
  <c r="R101" i="502"/>
  <c r="Q101" i="502"/>
  <c r="AG102" i="502"/>
  <c r="AF102" i="502"/>
  <c r="O102" i="502"/>
  <c r="AG46" i="502"/>
  <c r="AG48" i="502"/>
  <c r="AG50" i="502"/>
  <c r="AG57" i="502"/>
  <c r="AF59" i="502"/>
  <c r="AF61" i="502"/>
  <c r="AG72" i="502"/>
  <c r="AF72" i="502"/>
  <c r="AG74" i="502"/>
  <c r="AF74" i="502"/>
  <c r="O85" i="502"/>
  <c r="AG85" i="502"/>
  <c r="AF85" i="502"/>
  <c r="AG109" i="502"/>
  <c r="AF109" i="502"/>
  <c r="N121" i="502"/>
  <c r="O109" i="502"/>
  <c r="P121" i="502"/>
  <c r="AF122" i="502"/>
  <c r="N134" i="502"/>
  <c r="O122" i="502"/>
  <c r="AG122" i="502"/>
  <c r="O58" i="502"/>
  <c r="O69" i="502" s="1"/>
  <c r="Q59" i="502"/>
  <c r="O60" i="502"/>
  <c r="Q61" i="502"/>
  <c r="Q72" i="502"/>
  <c r="AG84" i="502"/>
  <c r="AF84" i="502"/>
  <c r="O84" i="502"/>
  <c r="O87" i="502"/>
  <c r="AG87" i="502"/>
  <c r="AF87" i="502"/>
  <c r="R89" i="502"/>
  <c r="Q89" i="502"/>
  <c r="O96" i="502"/>
  <c r="AG96" i="502"/>
  <c r="N108" i="502"/>
  <c r="AF96" i="502"/>
  <c r="R99" i="502"/>
  <c r="Q99" i="502"/>
  <c r="AG100" i="502"/>
  <c r="AF100" i="502"/>
  <c r="O100" i="502"/>
  <c r="R103" i="502"/>
  <c r="Q103" i="502"/>
  <c r="N82" i="502"/>
  <c r="O70" i="502"/>
  <c r="AG70" i="502"/>
  <c r="R72" i="502"/>
  <c r="Q74" i="502"/>
  <c r="R75" i="502"/>
  <c r="Q75" i="502"/>
  <c r="AG86" i="502"/>
  <c r="AF86" i="502"/>
  <c r="O86" i="502"/>
  <c r="R83" i="502"/>
  <c r="AG83" i="502"/>
  <c r="AF97" i="502"/>
  <c r="AF99" i="502"/>
  <c r="AF101" i="502"/>
  <c r="AF103" i="502"/>
  <c r="O110" i="502"/>
  <c r="AG111" i="502"/>
  <c r="O112" i="502"/>
  <c r="AG113" i="502"/>
  <c r="O114" i="502"/>
  <c r="AG115" i="502"/>
  <c r="O116" i="502"/>
  <c r="R126" i="502"/>
  <c r="Q126" i="502"/>
  <c r="P134" i="502"/>
  <c r="R153" i="502"/>
  <c r="Q153" i="502"/>
  <c r="R165" i="502"/>
  <c r="Q165" i="502"/>
  <c r="P95" i="502"/>
  <c r="N95" i="502"/>
  <c r="AF110" i="502"/>
  <c r="AF112" i="502"/>
  <c r="AF114" i="502"/>
  <c r="AF116" i="502"/>
  <c r="AF124" i="502"/>
  <c r="AG127" i="502"/>
  <c r="AF127" i="502"/>
  <c r="O127" i="502"/>
  <c r="R136" i="502"/>
  <c r="Q136" i="502"/>
  <c r="R140" i="502"/>
  <c r="Q140" i="502"/>
  <c r="R144" i="502"/>
  <c r="Q144" i="502"/>
  <c r="R151" i="502"/>
  <c r="Q151" i="502"/>
  <c r="Q156" i="502"/>
  <c r="R156" i="502"/>
  <c r="P160" i="502"/>
  <c r="R163" i="502"/>
  <c r="Q163" i="502"/>
  <c r="P83" i="502"/>
  <c r="P84" i="502"/>
  <c r="P86" i="502"/>
  <c r="P88" i="502"/>
  <c r="O95" i="502"/>
  <c r="O111" i="502"/>
  <c r="O113" i="502"/>
  <c r="O115" i="502"/>
  <c r="AG123" i="502"/>
  <c r="AF123" i="502"/>
  <c r="O123" i="502"/>
  <c r="R124" i="502"/>
  <c r="Q124" i="502"/>
  <c r="R128" i="502"/>
  <c r="Q128" i="502"/>
  <c r="R130" i="502"/>
  <c r="Q130" i="502"/>
  <c r="AG125" i="502"/>
  <c r="AF125" i="502"/>
  <c r="O125" i="502"/>
  <c r="AF126" i="502"/>
  <c r="R138" i="502"/>
  <c r="Q138" i="502"/>
  <c r="R142" i="502"/>
  <c r="Q142" i="502"/>
  <c r="AF160" i="502"/>
  <c r="R149" i="502"/>
  <c r="Q149" i="502"/>
  <c r="R155" i="502"/>
  <c r="Q155" i="502"/>
  <c r="AF128" i="502"/>
  <c r="AF130" i="502"/>
  <c r="P135" i="502"/>
  <c r="AF136" i="502"/>
  <c r="AF138" i="502"/>
  <c r="AF140" i="502"/>
  <c r="AF142" i="502"/>
  <c r="AF144" i="502"/>
  <c r="N147" i="502"/>
  <c r="AF149" i="502"/>
  <c r="AF151" i="502"/>
  <c r="AF153" i="502"/>
  <c r="AF155" i="502"/>
  <c r="AG160" i="502"/>
  <c r="AH148" i="502" s="1"/>
  <c r="AG161" i="502"/>
  <c r="AF163" i="502"/>
  <c r="AF165" i="502"/>
  <c r="AG124" i="502"/>
  <c r="AG126" i="502"/>
  <c r="AG128" i="502"/>
  <c r="O129" i="502"/>
  <c r="AG130" i="502"/>
  <c r="AF135" i="502"/>
  <c r="AG136" i="502"/>
  <c r="O137" i="502"/>
  <c r="AG138" i="502"/>
  <c r="O139" i="502"/>
  <c r="AG140" i="502"/>
  <c r="O141" i="502"/>
  <c r="AG142" i="502"/>
  <c r="O143" i="502"/>
  <c r="AG144" i="502"/>
  <c r="AF148" i="502"/>
  <c r="AG149" i="502"/>
  <c r="O150" i="502"/>
  <c r="AG151" i="502"/>
  <c r="O152" i="502"/>
  <c r="AG153" i="502"/>
  <c r="O154" i="502"/>
  <c r="AG155" i="502"/>
  <c r="O161" i="502"/>
  <c r="O162" i="502"/>
  <c r="AG163" i="502"/>
  <c r="O164" i="502"/>
  <c r="AG165" i="502"/>
  <c r="O166" i="502"/>
  <c r="P173" i="502"/>
  <c r="N173" i="502"/>
  <c r="AF129" i="502"/>
  <c r="AG135" i="502"/>
  <c r="AF137" i="502"/>
  <c r="AF139" i="502"/>
  <c r="AF141" i="502"/>
  <c r="AF143" i="502"/>
  <c r="AG148" i="502"/>
  <c r="AF150" i="502"/>
  <c r="AF152" i="502"/>
  <c r="AF154" i="502"/>
  <c r="AF162" i="502"/>
  <c r="AF164" i="502"/>
  <c r="AF166" i="502"/>
  <c r="O148" i="502"/>
  <c r="L64" i="501"/>
  <c r="K64" i="501"/>
  <c r="L53" i="501"/>
  <c r="L75" i="501"/>
  <c r="L112" i="501"/>
  <c r="L124" i="501" s="1"/>
  <c r="K124" i="501"/>
  <c r="L92" i="501"/>
  <c r="L100" i="501" s="1"/>
  <c r="K100" i="501"/>
  <c r="L38" i="501"/>
  <c r="G1" i="501"/>
  <c r="G2" i="501" s="1"/>
  <c r="L5" i="501"/>
  <c r="L16" i="501" s="1"/>
  <c r="K16" i="501"/>
  <c r="K38" i="501"/>
  <c r="L101" i="501"/>
  <c r="L111" i="501" s="1"/>
  <c r="K24" i="501"/>
  <c r="R134" i="503" l="1"/>
  <c r="S122" i="503" s="1"/>
  <c r="Q134" i="503"/>
  <c r="R160" i="503"/>
  <c r="S148" i="503" s="1"/>
  <c r="Q160" i="503"/>
  <c r="Q17" i="503"/>
  <c r="R17" i="503"/>
  <c r="S5" i="503" s="1"/>
  <c r="E2" i="503"/>
  <c r="R173" i="503"/>
  <c r="S161" i="503" s="1"/>
  <c r="Q173" i="503"/>
  <c r="R108" i="503"/>
  <c r="S96" i="503" s="1"/>
  <c r="Q95" i="503"/>
  <c r="R95" i="503"/>
  <c r="S83" i="503" s="1"/>
  <c r="AG173" i="502"/>
  <c r="AH161" i="502" s="1"/>
  <c r="AF173" i="502"/>
  <c r="Q164" i="502"/>
  <c r="R164" i="502"/>
  <c r="Q129" i="502"/>
  <c r="R129" i="502"/>
  <c r="AG147" i="502"/>
  <c r="AH135" i="502" s="1"/>
  <c r="AF147" i="502"/>
  <c r="R135" i="502"/>
  <c r="R111" i="502"/>
  <c r="Q111" i="502"/>
  <c r="AG95" i="502"/>
  <c r="AH83" i="502" s="1"/>
  <c r="AF95" i="502"/>
  <c r="Q86" i="502"/>
  <c r="R86" i="502"/>
  <c r="R70" i="502"/>
  <c r="O82" i="502"/>
  <c r="Q70" i="502"/>
  <c r="Q100" i="502"/>
  <c r="R100" i="502"/>
  <c r="O108" i="502"/>
  <c r="R96" i="502"/>
  <c r="Q96" i="502"/>
  <c r="AG134" i="502"/>
  <c r="AH122" i="502" s="1"/>
  <c r="AF134" i="502"/>
  <c r="AG121" i="502"/>
  <c r="AH109" i="502" s="1"/>
  <c r="AF121" i="502"/>
  <c r="Q102" i="502"/>
  <c r="R102" i="502"/>
  <c r="Q43" i="502"/>
  <c r="AG43" i="502"/>
  <c r="AH31" i="502" s="1"/>
  <c r="AF43" i="502"/>
  <c r="R74" i="502"/>
  <c r="R61" i="502"/>
  <c r="R5" i="502"/>
  <c r="Q5" i="502"/>
  <c r="O17" i="502"/>
  <c r="Q7" i="502"/>
  <c r="R7" i="502"/>
  <c r="R148" i="502"/>
  <c r="Q148" i="502"/>
  <c r="O160" i="502"/>
  <c r="Q154" i="502"/>
  <c r="R154" i="502"/>
  <c r="Q150" i="502"/>
  <c r="R150" i="502"/>
  <c r="Q143" i="502"/>
  <c r="R143" i="502"/>
  <c r="Q139" i="502"/>
  <c r="R139" i="502"/>
  <c r="Q125" i="502"/>
  <c r="R125" i="502"/>
  <c r="R95" i="502"/>
  <c r="S83" i="502" s="1"/>
  <c r="Q95" i="502"/>
  <c r="R116" i="502"/>
  <c r="Q116" i="502"/>
  <c r="R112" i="502"/>
  <c r="Q112" i="502"/>
  <c r="Q82" i="502"/>
  <c r="AG82" i="502"/>
  <c r="AH70" i="502" s="1"/>
  <c r="AF82" i="502"/>
  <c r="R87" i="502"/>
  <c r="Q87" i="502"/>
  <c r="R58" i="502"/>
  <c r="Q58" i="502"/>
  <c r="R85" i="502"/>
  <c r="Q85" i="502"/>
  <c r="Q98" i="502"/>
  <c r="R98" i="502"/>
  <c r="Q49" i="502"/>
  <c r="R49" i="502"/>
  <c r="AG56" i="502"/>
  <c r="AH44" i="502" s="1"/>
  <c r="Q56" i="502"/>
  <c r="AF56" i="502"/>
  <c r="Q38" i="502"/>
  <c r="R38" i="502"/>
  <c r="Q37" i="502"/>
  <c r="R37" i="502"/>
  <c r="Q51" i="502"/>
  <c r="R51" i="502"/>
  <c r="AG30" i="502"/>
  <c r="AH18" i="502" s="1"/>
  <c r="AF30" i="502"/>
  <c r="Q20" i="502"/>
  <c r="R20" i="502"/>
  <c r="AG17" i="502"/>
  <c r="AH5" i="502" s="1"/>
  <c r="AF17" i="502"/>
  <c r="Q166" i="502"/>
  <c r="R166" i="502"/>
  <c r="Q162" i="502"/>
  <c r="R162" i="502"/>
  <c r="Q135" i="502"/>
  <c r="R115" i="502"/>
  <c r="Q115" i="502"/>
  <c r="AF108" i="502"/>
  <c r="AG108" i="502"/>
  <c r="AH96" i="502" s="1"/>
  <c r="Q84" i="502"/>
  <c r="R84" i="502"/>
  <c r="AG69" i="502"/>
  <c r="AH57" i="502" s="1"/>
  <c r="Q69" i="502"/>
  <c r="AF69" i="502"/>
  <c r="Q47" i="502"/>
  <c r="R47" i="502"/>
  <c r="Q34" i="502"/>
  <c r="R34" i="502"/>
  <c r="Q161" i="502"/>
  <c r="O173" i="502"/>
  <c r="R161" i="502"/>
  <c r="Q152" i="502"/>
  <c r="R152" i="502"/>
  <c r="Q141" i="502"/>
  <c r="R141" i="502"/>
  <c r="Q137" i="502"/>
  <c r="R137" i="502"/>
  <c r="O147" i="502"/>
  <c r="Q123" i="502"/>
  <c r="R123" i="502"/>
  <c r="R113" i="502"/>
  <c r="Q113" i="502"/>
  <c r="Q127" i="502"/>
  <c r="R127" i="502"/>
  <c r="R114" i="502"/>
  <c r="Q114" i="502"/>
  <c r="R110" i="502"/>
  <c r="Q110" i="502"/>
  <c r="R60" i="502"/>
  <c r="Q60" i="502"/>
  <c r="Q122" i="502"/>
  <c r="O134" i="502"/>
  <c r="R122" i="502"/>
  <c r="R109" i="502"/>
  <c r="Q109" i="502"/>
  <c r="O121" i="502"/>
  <c r="Q88" i="502"/>
  <c r="R88" i="502"/>
  <c r="Q76" i="502"/>
  <c r="R76" i="502"/>
  <c r="R69" i="502"/>
  <c r="S57" i="502" s="1"/>
  <c r="Q44" i="502"/>
  <c r="O56" i="502"/>
  <c r="R56" i="502" s="1"/>
  <c r="S44" i="502" s="1"/>
  <c r="R44" i="502"/>
  <c r="Q36" i="502"/>
  <c r="R36" i="502"/>
  <c r="Q35" i="502"/>
  <c r="R35" i="502"/>
  <c r="O43" i="502"/>
  <c r="R43" i="502" s="1"/>
  <c r="S31" i="502" s="1"/>
  <c r="R31" i="502"/>
  <c r="Q31" i="502"/>
  <c r="R19" i="502"/>
  <c r="Q19" i="502"/>
  <c r="R57" i="502"/>
  <c r="Q45" i="502"/>
  <c r="R45" i="502"/>
  <c r="Q22" i="502"/>
  <c r="R22" i="502"/>
  <c r="R6" i="502"/>
  <c r="Q6" i="502"/>
  <c r="O30" i="502"/>
  <c r="Q9" i="502"/>
  <c r="R9" i="502"/>
  <c r="Q33" i="502"/>
  <c r="R33" i="502"/>
  <c r="E2" i="501"/>
  <c r="Q147" i="502" l="1"/>
  <c r="R147" i="502"/>
  <c r="S135" i="502" s="1"/>
  <c r="R173" i="502"/>
  <c r="S161" i="502" s="1"/>
  <c r="Q173" i="502"/>
  <c r="R160" i="502"/>
  <c r="S148" i="502" s="1"/>
  <c r="Q160" i="502"/>
  <c r="R30" i="502"/>
  <c r="S18" i="502" s="1"/>
  <c r="Q30" i="502"/>
  <c r="Q121" i="502"/>
  <c r="R121" i="502"/>
  <c r="S109" i="502" s="1"/>
  <c r="R134" i="502"/>
  <c r="S122" i="502" s="1"/>
  <c r="Q134" i="502"/>
  <c r="R17" i="502"/>
  <c r="S5" i="502" s="1"/>
  <c r="Q17" i="502"/>
  <c r="E2" i="502"/>
  <c r="R108" i="502"/>
  <c r="S96" i="502" s="1"/>
  <c r="Q108" i="502"/>
  <c r="R82" i="502"/>
  <c r="S70" i="502" s="1"/>
  <c r="M32" i="500" l="1"/>
  <c r="L32" i="500"/>
  <c r="L8" i="500" s="1"/>
  <c r="K32" i="500"/>
  <c r="J32" i="500"/>
  <c r="I32" i="500"/>
  <c r="H32" i="500"/>
  <c r="G32" i="500"/>
  <c r="F32" i="500"/>
  <c r="E32" i="500"/>
  <c r="D32" i="500"/>
  <c r="J8" i="500" s="1"/>
  <c r="Q15" i="500"/>
  <c r="P15" i="500"/>
  <c r="O15" i="500"/>
  <c r="N15" i="500"/>
  <c r="M15" i="500"/>
  <c r="L15" i="500"/>
  <c r="K15" i="500"/>
  <c r="J15" i="500"/>
  <c r="I15" i="500"/>
  <c r="H15" i="500"/>
  <c r="G15" i="500"/>
  <c r="F15" i="500"/>
  <c r="H8" i="500" s="1"/>
  <c r="E15" i="500"/>
  <c r="D15" i="500"/>
  <c r="L7" i="500"/>
  <c r="J7" i="500"/>
  <c r="H7" i="500"/>
  <c r="F7" i="500"/>
  <c r="L6" i="500"/>
  <c r="J6" i="500"/>
  <c r="H6" i="500"/>
  <c r="F6" i="500"/>
  <c r="F8" i="500" l="1"/>
  <c r="R144" i="496"/>
  <c r="R142" i="496"/>
  <c r="R143" i="496"/>
  <c r="N144" i="496"/>
  <c r="O144" i="496"/>
  <c r="Q144" i="496" s="1"/>
  <c r="P144" i="496"/>
  <c r="N131" i="496" l="1"/>
  <c r="O131" i="496"/>
  <c r="Q131" i="496" s="1"/>
  <c r="P131" i="496"/>
  <c r="R131" i="496" l="1"/>
  <c r="J124" i="499"/>
  <c r="H123" i="499"/>
  <c r="H122" i="499"/>
  <c r="H121" i="499"/>
  <c r="H120" i="499"/>
  <c r="H119" i="499"/>
  <c r="P118" i="499"/>
  <c r="K118" i="499" s="1"/>
  <c r="L118" i="499" s="1"/>
  <c r="H118" i="499"/>
  <c r="P117" i="499"/>
  <c r="K117" i="499"/>
  <c r="L117" i="499" s="1"/>
  <c r="H117" i="499"/>
  <c r="P116" i="499"/>
  <c r="K116" i="499" s="1"/>
  <c r="L116" i="499" s="1"/>
  <c r="H116" i="499"/>
  <c r="P115" i="499"/>
  <c r="K115" i="499"/>
  <c r="L115" i="499" s="1"/>
  <c r="H115" i="499"/>
  <c r="P114" i="499"/>
  <c r="K114" i="499" s="1"/>
  <c r="L114" i="499" s="1"/>
  <c r="H114" i="499"/>
  <c r="P113" i="499"/>
  <c r="K113" i="499"/>
  <c r="L113" i="499" s="1"/>
  <c r="H113" i="499"/>
  <c r="P112" i="499"/>
  <c r="K112" i="499" s="1"/>
  <c r="H112" i="499"/>
  <c r="J111" i="499"/>
  <c r="H110" i="499"/>
  <c r="H109" i="499"/>
  <c r="H108" i="499"/>
  <c r="P107" i="499"/>
  <c r="K107" i="499"/>
  <c r="L107" i="499" s="1"/>
  <c r="H107" i="499"/>
  <c r="P106" i="499"/>
  <c r="K106" i="499" s="1"/>
  <c r="L106" i="499" s="1"/>
  <c r="H106" i="499"/>
  <c r="P105" i="499"/>
  <c r="K105" i="499"/>
  <c r="L105" i="499" s="1"/>
  <c r="H105" i="499"/>
  <c r="P104" i="499"/>
  <c r="K104" i="499" s="1"/>
  <c r="L104" i="499" s="1"/>
  <c r="H104" i="499"/>
  <c r="P103" i="499"/>
  <c r="K103" i="499"/>
  <c r="L103" i="499" s="1"/>
  <c r="H103" i="499"/>
  <c r="P102" i="499"/>
  <c r="K102" i="499" s="1"/>
  <c r="L102" i="499" s="1"/>
  <c r="H102" i="499"/>
  <c r="P101" i="499"/>
  <c r="K101" i="499"/>
  <c r="H101" i="499"/>
  <c r="J100" i="499"/>
  <c r="H99" i="499"/>
  <c r="H98" i="499"/>
  <c r="H97" i="499"/>
  <c r="H96" i="499"/>
  <c r="H95" i="499"/>
  <c r="P94" i="499"/>
  <c r="K94" i="499" s="1"/>
  <c r="L94" i="499" s="1"/>
  <c r="H94" i="499"/>
  <c r="P93" i="499"/>
  <c r="K93" i="499"/>
  <c r="L93" i="499" s="1"/>
  <c r="H93" i="499"/>
  <c r="P92" i="499"/>
  <c r="K92" i="499" s="1"/>
  <c r="H92" i="499"/>
  <c r="H90" i="499"/>
  <c r="H89" i="499"/>
  <c r="H88" i="499"/>
  <c r="H87" i="499"/>
  <c r="H86" i="499"/>
  <c r="H85" i="499"/>
  <c r="H84" i="499"/>
  <c r="H83" i="499"/>
  <c r="H82" i="499"/>
  <c r="L81" i="499"/>
  <c r="K81" i="499"/>
  <c r="J81" i="499"/>
  <c r="H80" i="499"/>
  <c r="H79" i="499"/>
  <c r="H78" i="499"/>
  <c r="H77" i="499"/>
  <c r="H76" i="499"/>
  <c r="J75" i="499"/>
  <c r="H74" i="499"/>
  <c r="H73" i="499"/>
  <c r="H72" i="499"/>
  <c r="P71" i="499"/>
  <c r="K71" i="499"/>
  <c r="L71" i="499" s="1"/>
  <c r="H71" i="499"/>
  <c r="P70" i="499"/>
  <c r="K70" i="499" s="1"/>
  <c r="L70" i="499" s="1"/>
  <c r="H70" i="499"/>
  <c r="P69" i="499"/>
  <c r="K69" i="499"/>
  <c r="L69" i="499" s="1"/>
  <c r="H69" i="499"/>
  <c r="P68" i="499"/>
  <c r="K68" i="499" s="1"/>
  <c r="L68" i="499" s="1"/>
  <c r="H68" i="499"/>
  <c r="P67" i="499"/>
  <c r="K67" i="499"/>
  <c r="L67" i="499" s="1"/>
  <c r="H67" i="499"/>
  <c r="P66" i="499"/>
  <c r="K66" i="499" s="1"/>
  <c r="L66" i="499" s="1"/>
  <c r="H66" i="499"/>
  <c r="P65" i="499"/>
  <c r="K65" i="499"/>
  <c r="K75" i="499" s="1"/>
  <c r="H65" i="499"/>
  <c r="J64" i="499"/>
  <c r="H63" i="499"/>
  <c r="H62" i="499"/>
  <c r="H61" i="499"/>
  <c r="H60" i="499"/>
  <c r="P59" i="499"/>
  <c r="K59" i="499" s="1"/>
  <c r="L59" i="499" s="1"/>
  <c r="H59" i="499"/>
  <c r="P58" i="499"/>
  <c r="K58" i="499"/>
  <c r="L58" i="499" s="1"/>
  <c r="H58" i="499"/>
  <c r="P57" i="499"/>
  <c r="K57" i="499" s="1"/>
  <c r="L57" i="499" s="1"/>
  <c r="H57" i="499"/>
  <c r="P56" i="499"/>
  <c r="K56" i="499"/>
  <c r="L56" i="499" s="1"/>
  <c r="H56" i="499"/>
  <c r="P55" i="499"/>
  <c r="K55" i="499" s="1"/>
  <c r="L55" i="499" s="1"/>
  <c r="H55" i="499"/>
  <c r="P54" i="499"/>
  <c r="K54" i="499"/>
  <c r="L54" i="499" s="1"/>
  <c r="H54" i="499"/>
  <c r="P53" i="499"/>
  <c r="K53" i="499" s="1"/>
  <c r="H53" i="499"/>
  <c r="P52" i="499"/>
  <c r="K52" i="499"/>
  <c r="L52" i="499" s="1"/>
  <c r="H52" i="499"/>
  <c r="H50" i="499"/>
  <c r="H49" i="499"/>
  <c r="H47" i="499"/>
  <c r="H46" i="499"/>
  <c r="H45" i="499"/>
  <c r="H44" i="499"/>
  <c r="H43" i="499"/>
  <c r="H42" i="499"/>
  <c r="H41" i="499"/>
  <c r="H40" i="499"/>
  <c r="H39" i="499"/>
  <c r="J38" i="499"/>
  <c r="H37" i="499"/>
  <c r="H36" i="499"/>
  <c r="H35" i="499"/>
  <c r="H34" i="499"/>
  <c r="H33" i="499"/>
  <c r="H32" i="499"/>
  <c r="H31" i="499"/>
  <c r="H30" i="499"/>
  <c r="H29" i="499"/>
  <c r="P28" i="499"/>
  <c r="K28" i="499"/>
  <c r="L28" i="499" s="1"/>
  <c r="H28" i="499"/>
  <c r="P27" i="499"/>
  <c r="K27" i="499" s="1"/>
  <c r="L27" i="499" s="1"/>
  <c r="H27" i="499"/>
  <c r="P26" i="499"/>
  <c r="K26" i="499"/>
  <c r="L26" i="499" s="1"/>
  <c r="H26" i="499"/>
  <c r="P25" i="499"/>
  <c r="K25" i="499" s="1"/>
  <c r="H25" i="499"/>
  <c r="J24" i="499"/>
  <c r="H23" i="499"/>
  <c r="H22" i="499"/>
  <c r="P21" i="499"/>
  <c r="K21" i="499" s="1"/>
  <c r="L21" i="499" s="1"/>
  <c r="H21" i="499"/>
  <c r="P20" i="499"/>
  <c r="K20" i="499"/>
  <c r="L20" i="499" s="1"/>
  <c r="H20" i="499"/>
  <c r="P19" i="499"/>
  <c r="K19" i="499" s="1"/>
  <c r="L19" i="499" s="1"/>
  <c r="H19" i="499"/>
  <c r="P18" i="499"/>
  <c r="K18" i="499"/>
  <c r="L18" i="499" s="1"/>
  <c r="H18" i="499"/>
  <c r="P17" i="499"/>
  <c r="K17" i="499" s="1"/>
  <c r="H17" i="499"/>
  <c r="J16" i="499"/>
  <c r="H15" i="499"/>
  <c r="H14" i="499"/>
  <c r="H13" i="499"/>
  <c r="H12" i="499"/>
  <c r="H11" i="499"/>
  <c r="H10" i="499"/>
  <c r="H9" i="499"/>
  <c r="P8" i="499"/>
  <c r="K8" i="499"/>
  <c r="L8" i="499" s="1"/>
  <c r="H8" i="499"/>
  <c r="P7" i="499"/>
  <c r="K7" i="499" s="1"/>
  <c r="L7" i="499" s="1"/>
  <c r="H7" i="499"/>
  <c r="P6" i="499"/>
  <c r="K6" i="499"/>
  <c r="L6" i="499" s="1"/>
  <c r="H6" i="499"/>
  <c r="P5" i="499"/>
  <c r="K5" i="499" s="1"/>
  <c r="H5" i="499"/>
  <c r="I2" i="499"/>
  <c r="I1" i="499"/>
  <c r="E1" i="499"/>
  <c r="J124" i="498"/>
  <c r="H123" i="498"/>
  <c r="H122" i="498"/>
  <c r="H121" i="498"/>
  <c r="H120" i="498"/>
  <c r="H119" i="498"/>
  <c r="P118" i="498"/>
  <c r="K118" i="498" s="1"/>
  <c r="L118" i="498" s="1"/>
  <c r="H118" i="498"/>
  <c r="P117" i="498"/>
  <c r="K117" i="498"/>
  <c r="L117" i="498" s="1"/>
  <c r="H117" i="498"/>
  <c r="P116" i="498"/>
  <c r="K116" i="498" s="1"/>
  <c r="L116" i="498" s="1"/>
  <c r="H116" i="498"/>
  <c r="P115" i="498"/>
  <c r="K115" i="498"/>
  <c r="L115" i="498" s="1"/>
  <c r="H115" i="498"/>
  <c r="P114" i="498"/>
  <c r="K114" i="498" s="1"/>
  <c r="L114" i="498" s="1"/>
  <c r="H114" i="498"/>
  <c r="P113" i="498"/>
  <c r="K113" i="498"/>
  <c r="L113" i="498" s="1"/>
  <c r="H113" i="498"/>
  <c r="P112" i="498"/>
  <c r="K112" i="498" s="1"/>
  <c r="H112" i="498"/>
  <c r="J111" i="498"/>
  <c r="H110" i="498"/>
  <c r="H109" i="498"/>
  <c r="H108" i="498"/>
  <c r="P107" i="498"/>
  <c r="K107" i="498"/>
  <c r="L107" i="498" s="1"/>
  <c r="H107" i="498"/>
  <c r="P106" i="498"/>
  <c r="K106" i="498" s="1"/>
  <c r="L106" i="498" s="1"/>
  <c r="H106" i="498"/>
  <c r="P105" i="498"/>
  <c r="K105" i="498"/>
  <c r="L105" i="498" s="1"/>
  <c r="H105" i="498"/>
  <c r="P104" i="498"/>
  <c r="K104" i="498" s="1"/>
  <c r="L104" i="498" s="1"/>
  <c r="H104" i="498"/>
  <c r="P103" i="498"/>
  <c r="K103" i="498"/>
  <c r="L103" i="498" s="1"/>
  <c r="H103" i="498"/>
  <c r="P102" i="498"/>
  <c r="K102" i="498" s="1"/>
  <c r="L102" i="498" s="1"/>
  <c r="H102" i="498"/>
  <c r="P101" i="498"/>
  <c r="K101" i="498"/>
  <c r="K111" i="498" s="1"/>
  <c r="H101" i="498"/>
  <c r="J100" i="498"/>
  <c r="H99" i="498"/>
  <c r="H98" i="498"/>
  <c r="H97" i="498"/>
  <c r="H96" i="498"/>
  <c r="H95" i="498"/>
  <c r="P94" i="498"/>
  <c r="K94" i="498" s="1"/>
  <c r="L94" i="498" s="1"/>
  <c r="H94" i="498"/>
  <c r="P93" i="498"/>
  <c r="K93" i="498"/>
  <c r="L93" i="498" s="1"/>
  <c r="H93" i="498"/>
  <c r="P92" i="498"/>
  <c r="K92" i="498" s="1"/>
  <c r="H92" i="498"/>
  <c r="H90" i="498"/>
  <c r="H89" i="498"/>
  <c r="H88" i="498"/>
  <c r="H87" i="498"/>
  <c r="H86" i="498"/>
  <c r="H85" i="498"/>
  <c r="H84" i="498"/>
  <c r="H83" i="498"/>
  <c r="H82" i="498"/>
  <c r="L81" i="498"/>
  <c r="K81" i="498"/>
  <c r="J81" i="498"/>
  <c r="H80" i="498"/>
  <c r="H79" i="498"/>
  <c r="H78" i="498"/>
  <c r="H77" i="498"/>
  <c r="H76" i="498"/>
  <c r="J75" i="498"/>
  <c r="H74" i="498"/>
  <c r="H73" i="498"/>
  <c r="H72" i="498"/>
  <c r="P71" i="498"/>
  <c r="K71" i="498" s="1"/>
  <c r="L71" i="498" s="1"/>
  <c r="H71" i="498"/>
  <c r="P70" i="498"/>
  <c r="L70" i="498"/>
  <c r="K70" i="498"/>
  <c r="H70" i="498"/>
  <c r="P69" i="498"/>
  <c r="K69" i="498" s="1"/>
  <c r="L69" i="498" s="1"/>
  <c r="H69" i="498"/>
  <c r="P68" i="498"/>
  <c r="L68" i="498"/>
  <c r="K68" i="498"/>
  <c r="H68" i="498"/>
  <c r="P67" i="498"/>
  <c r="K67" i="498" s="1"/>
  <c r="L67" i="498" s="1"/>
  <c r="H67" i="498"/>
  <c r="P66" i="498"/>
  <c r="L66" i="498"/>
  <c r="K66" i="498"/>
  <c r="H66" i="498"/>
  <c r="P65" i="498"/>
  <c r="K65" i="498" s="1"/>
  <c r="H65" i="498"/>
  <c r="J64" i="498"/>
  <c r="H63" i="498"/>
  <c r="H62" i="498"/>
  <c r="H61" i="498"/>
  <c r="H60" i="498"/>
  <c r="P59" i="498"/>
  <c r="L59" i="498"/>
  <c r="K59" i="498"/>
  <c r="H59" i="498"/>
  <c r="P58" i="498"/>
  <c r="L58" i="498"/>
  <c r="K58" i="498"/>
  <c r="H58" i="498"/>
  <c r="P57" i="498"/>
  <c r="L57" i="498"/>
  <c r="K57" i="498"/>
  <c r="H57" i="498"/>
  <c r="P56" i="498"/>
  <c r="L56" i="498"/>
  <c r="K56" i="498"/>
  <c r="H56" i="498"/>
  <c r="P55" i="498"/>
  <c r="L55" i="498"/>
  <c r="K55" i="498"/>
  <c r="H55" i="498"/>
  <c r="P54" i="498"/>
  <c r="L54" i="498"/>
  <c r="K54" i="498"/>
  <c r="H54" i="498"/>
  <c r="P53" i="498"/>
  <c r="K53" i="498" s="1"/>
  <c r="H53" i="498"/>
  <c r="P52" i="498"/>
  <c r="L52" i="498"/>
  <c r="K52" i="498"/>
  <c r="H52" i="498"/>
  <c r="H50" i="498"/>
  <c r="H49" i="498"/>
  <c r="H47" i="498"/>
  <c r="H46" i="498"/>
  <c r="H45" i="498"/>
  <c r="H44" i="498"/>
  <c r="H43" i="498"/>
  <c r="H42" i="498"/>
  <c r="H41" i="498"/>
  <c r="H40" i="498"/>
  <c r="H39" i="498"/>
  <c r="J38" i="498"/>
  <c r="H37" i="498"/>
  <c r="H36" i="498"/>
  <c r="H35" i="498"/>
  <c r="H34" i="498"/>
  <c r="H33" i="498"/>
  <c r="H32" i="498"/>
  <c r="H31" i="498"/>
  <c r="H30" i="498"/>
  <c r="H29" i="498"/>
  <c r="P28" i="498"/>
  <c r="K28" i="498"/>
  <c r="L28" i="498" s="1"/>
  <c r="H28" i="498"/>
  <c r="P27" i="498"/>
  <c r="K27" i="498" s="1"/>
  <c r="L27" i="498" s="1"/>
  <c r="H27" i="498"/>
  <c r="P26" i="498"/>
  <c r="K26" i="498" s="1"/>
  <c r="L26" i="498" s="1"/>
  <c r="H26" i="498"/>
  <c r="P25" i="498"/>
  <c r="K25" i="498" s="1"/>
  <c r="H25" i="498"/>
  <c r="J24" i="498"/>
  <c r="H23" i="498"/>
  <c r="H22" i="498"/>
  <c r="P21" i="498"/>
  <c r="K21" i="498"/>
  <c r="L21" i="498" s="1"/>
  <c r="H21" i="498"/>
  <c r="P20" i="498"/>
  <c r="K20" i="498"/>
  <c r="L20" i="498" s="1"/>
  <c r="H20" i="498"/>
  <c r="P19" i="498"/>
  <c r="K19" i="498"/>
  <c r="L19" i="498" s="1"/>
  <c r="H19" i="498"/>
  <c r="P18" i="498"/>
  <c r="K18" i="498"/>
  <c r="L18" i="498" s="1"/>
  <c r="H18" i="498"/>
  <c r="P17" i="498"/>
  <c r="K17" i="498" s="1"/>
  <c r="H17" i="498"/>
  <c r="J16" i="498"/>
  <c r="H15" i="498"/>
  <c r="H14" i="498"/>
  <c r="H13" i="498"/>
  <c r="H12" i="498"/>
  <c r="H11" i="498"/>
  <c r="H10" i="498"/>
  <c r="H9" i="498"/>
  <c r="P8" i="498"/>
  <c r="L8" i="498"/>
  <c r="K8" i="498"/>
  <c r="H8" i="498"/>
  <c r="P7" i="498"/>
  <c r="K7" i="498" s="1"/>
  <c r="L7" i="498" s="1"/>
  <c r="H7" i="498"/>
  <c r="P6" i="498"/>
  <c r="L6" i="498"/>
  <c r="K6" i="498"/>
  <c r="H6" i="498"/>
  <c r="P5" i="498"/>
  <c r="K5" i="498" s="1"/>
  <c r="H5" i="498"/>
  <c r="G1" i="498" s="1"/>
  <c r="G2" i="498" s="1"/>
  <c r="I2" i="498"/>
  <c r="I1" i="498"/>
  <c r="E1" i="498"/>
  <c r="L25" i="498" l="1"/>
  <c r="L38" i="498" s="1"/>
  <c r="K38" i="498"/>
  <c r="L5" i="498"/>
  <c r="L16" i="498" s="1"/>
  <c r="K16" i="498"/>
  <c r="K24" i="498"/>
  <c r="L17" i="498"/>
  <c r="L24" i="498" s="1"/>
  <c r="L92" i="498"/>
  <c r="L100" i="498" s="1"/>
  <c r="K100" i="498"/>
  <c r="L112" i="498"/>
  <c r="L124" i="498" s="1"/>
  <c r="K124" i="498"/>
  <c r="G1" i="499"/>
  <c r="G2" i="499" s="1"/>
  <c r="L25" i="499"/>
  <c r="L38" i="499" s="1"/>
  <c r="K38" i="499"/>
  <c r="L64" i="498"/>
  <c r="L5" i="499"/>
  <c r="L16" i="499" s="1"/>
  <c r="K16" i="499"/>
  <c r="L17" i="499"/>
  <c r="L24" i="499" s="1"/>
  <c r="K24" i="499"/>
  <c r="L92" i="499"/>
  <c r="L100" i="499" s="1"/>
  <c r="K100" i="499"/>
  <c r="L112" i="499"/>
  <c r="L124" i="499" s="1"/>
  <c r="K124" i="499"/>
  <c r="K64" i="498"/>
  <c r="L53" i="498"/>
  <c r="K75" i="498"/>
  <c r="L65" i="498"/>
  <c r="L75" i="498" s="1"/>
  <c r="L64" i="499"/>
  <c r="K64" i="499"/>
  <c r="L53" i="499"/>
  <c r="K111" i="499"/>
  <c r="L101" i="498"/>
  <c r="L111" i="498" s="1"/>
  <c r="L101" i="499"/>
  <c r="L111" i="499" s="1"/>
  <c r="L65" i="499"/>
  <c r="L75" i="499" s="1"/>
  <c r="AE173" i="497"/>
  <c r="AD173" i="497"/>
  <c r="AA173" i="497"/>
  <c r="Z173" i="497"/>
  <c r="M173" i="497"/>
  <c r="W172" i="497"/>
  <c r="H172" i="497"/>
  <c r="W171" i="497"/>
  <c r="H171" i="497"/>
  <c r="AG170" i="497"/>
  <c r="AF170" i="497"/>
  <c r="W170" i="497"/>
  <c r="H170" i="497"/>
  <c r="AG169" i="497"/>
  <c r="AF169" i="497"/>
  <c r="W169" i="497"/>
  <c r="H169" i="497"/>
  <c r="AG168" i="497"/>
  <c r="AF168" i="497"/>
  <c r="W168" i="497"/>
  <c r="H168" i="497"/>
  <c r="AG167" i="497"/>
  <c r="AF167" i="497"/>
  <c r="W167" i="497"/>
  <c r="H167" i="497"/>
  <c r="AG166" i="497"/>
  <c r="AF166" i="497"/>
  <c r="W166" i="497"/>
  <c r="H166" i="497"/>
  <c r="W165" i="497"/>
  <c r="N165" i="497" s="1"/>
  <c r="P165" i="497"/>
  <c r="H165" i="497"/>
  <c r="W164" i="497"/>
  <c r="N164" i="497"/>
  <c r="AG164" i="497" s="1"/>
  <c r="H164" i="497"/>
  <c r="W163" i="497"/>
  <c r="P163" i="497"/>
  <c r="N163" i="497"/>
  <c r="O163" i="497" s="1"/>
  <c r="H163" i="497"/>
  <c r="W162" i="497"/>
  <c r="N162" i="497"/>
  <c r="AG162" i="497" s="1"/>
  <c r="P162" i="497"/>
  <c r="H162" i="497"/>
  <c r="W161" i="497"/>
  <c r="N161" i="497"/>
  <c r="AF161" i="497" s="1"/>
  <c r="P161" i="497"/>
  <c r="H161" i="497"/>
  <c r="AE160" i="497"/>
  <c r="AD160" i="497"/>
  <c r="AA160" i="497"/>
  <c r="Z160" i="497"/>
  <c r="M160" i="497"/>
  <c r="P160" i="497" s="1"/>
  <c r="W159" i="497"/>
  <c r="H159" i="497"/>
  <c r="W158" i="497"/>
  <c r="H158" i="497"/>
  <c r="W157" i="497"/>
  <c r="H157" i="497"/>
  <c r="W156" i="497"/>
  <c r="H156" i="497"/>
  <c r="AG155" i="497"/>
  <c r="AF155" i="497"/>
  <c r="W155" i="497"/>
  <c r="H155" i="497"/>
  <c r="AG154" i="497"/>
  <c r="AF154" i="497"/>
  <c r="W154" i="497"/>
  <c r="H154" i="497"/>
  <c r="W153" i="497"/>
  <c r="N153" i="497"/>
  <c r="O153" i="497" s="1"/>
  <c r="P153" i="497"/>
  <c r="H153" i="497"/>
  <c r="W152" i="497"/>
  <c r="P152" i="497"/>
  <c r="N152" i="497"/>
  <c r="AG152" i="497" s="1"/>
  <c r="H152" i="497"/>
  <c r="W151" i="497"/>
  <c r="N151" i="497"/>
  <c r="O151" i="497" s="1"/>
  <c r="P151" i="497"/>
  <c r="H151" i="497"/>
  <c r="W150" i="497"/>
  <c r="P150" i="497"/>
  <c r="N150" i="497"/>
  <c r="AG150" i="497" s="1"/>
  <c r="H150" i="497"/>
  <c r="W149" i="497"/>
  <c r="N149" i="497"/>
  <c r="O149" i="497" s="1"/>
  <c r="P149" i="497"/>
  <c r="H149" i="497"/>
  <c r="W148" i="497"/>
  <c r="P148" i="497"/>
  <c r="N148" i="497"/>
  <c r="N160" i="497" s="1"/>
  <c r="H148" i="497"/>
  <c r="AE147" i="497"/>
  <c r="AD147" i="497"/>
  <c r="AA147" i="497"/>
  <c r="Z147" i="497"/>
  <c r="W147" i="497"/>
  <c r="M147" i="497"/>
  <c r="W146" i="497"/>
  <c r="H146" i="497"/>
  <c r="AG145" i="497"/>
  <c r="AF145" i="497"/>
  <c r="W145" i="497"/>
  <c r="W144" i="497"/>
  <c r="H144" i="497"/>
  <c r="W143" i="497"/>
  <c r="AG143" i="497"/>
  <c r="H143" i="497"/>
  <c r="W142" i="497"/>
  <c r="H142" i="497"/>
  <c r="W141" i="497"/>
  <c r="AG141" i="497"/>
  <c r="H141" i="497"/>
  <c r="W140" i="497"/>
  <c r="H140" i="497"/>
  <c r="W139" i="497"/>
  <c r="AG139" i="497"/>
  <c r="H139" i="497"/>
  <c r="W138" i="497"/>
  <c r="H138" i="497"/>
  <c r="W137" i="497"/>
  <c r="AG137" i="497"/>
  <c r="H137" i="497"/>
  <c r="W136" i="497"/>
  <c r="H136" i="497"/>
  <c r="W135" i="497"/>
  <c r="P147" i="497"/>
  <c r="H135" i="497"/>
  <c r="AE134" i="497"/>
  <c r="AD134" i="497"/>
  <c r="AA134" i="497"/>
  <c r="Z134" i="497"/>
  <c r="M134" i="497"/>
  <c r="W133" i="497"/>
  <c r="H133" i="497"/>
  <c r="W132" i="497"/>
  <c r="H132" i="497"/>
  <c r="W131" i="497"/>
  <c r="N131" i="497"/>
  <c r="AG131" i="497" s="1"/>
  <c r="P131" i="497"/>
  <c r="H131" i="497"/>
  <c r="W130" i="497"/>
  <c r="P130" i="497"/>
  <c r="N130" i="497"/>
  <c r="O130" i="497" s="1"/>
  <c r="H130" i="497"/>
  <c r="W129" i="497"/>
  <c r="N129" i="497"/>
  <c r="AG129" i="497" s="1"/>
  <c r="P129" i="497"/>
  <c r="H129" i="497"/>
  <c r="W128" i="497"/>
  <c r="P128" i="497"/>
  <c r="N128" i="497"/>
  <c r="O128" i="497" s="1"/>
  <c r="H128" i="497"/>
  <c r="W127" i="497"/>
  <c r="N127" i="497"/>
  <c r="AG127" i="497" s="1"/>
  <c r="P127" i="497"/>
  <c r="H127" i="497"/>
  <c r="W126" i="497"/>
  <c r="P126" i="497"/>
  <c r="N126" i="497"/>
  <c r="O126" i="497" s="1"/>
  <c r="H126" i="497"/>
  <c r="W125" i="497"/>
  <c r="N125" i="497"/>
  <c r="AG125" i="497" s="1"/>
  <c r="P125" i="497"/>
  <c r="H125" i="497"/>
  <c r="W124" i="497"/>
  <c r="P124" i="497"/>
  <c r="N124" i="497"/>
  <c r="O124" i="497" s="1"/>
  <c r="H124" i="497"/>
  <c r="W123" i="497"/>
  <c r="N123" i="497"/>
  <c r="AG123" i="497" s="1"/>
  <c r="P123" i="497"/>
  <c r="H123" i="497"/>
  <c r="W122" i="497"/>
  <c r="P122" i="497"/>
  <c r="N122" i="497"/>
  <c r="AF122" i="497" s="1"/>
  <c r="H122" i="497"/>
  <c r="AE121" i="497"/>
  <c r="AD121" i="497"/>
  <c r="AA121" i="497"/>
  <c r="Z121" i="497"/>
  <c r="W121" i="497"/>
  <c r="M121" i="497"/>
  <c r="AG120" i="497"/>
  <c r="AF120" i="497"/>
  <c r="W120" i="497"/>
  <c r="H120" i="497"/>
  <c r="W119" i="497"/>
  <c r="N119" i="497" s="1"/>
  <c r="O119" i="497"/>
  <c r="P119" i="497"/>
  <c r="H119" i="497"/>
  <c r="W118" i="497"/>
  <c r="N118" i="497"/>
  <c r="AF118" i="497" s="1"/>
  <c r="P118" i="497"/>
  <c r="H118" i="497"/>
  <c r="W117" i="497"/>
  <c r="N117" i="497" s="1"/>
  <c r="O117" i="497"/>
  <c r="AG117" i="497"/>
  <c r="P117" i="497"/>
  <c r="H117" i="497"/>
  <c r="W116" i="497"/>
  <c r="N116" i="497"/>
  <c r="AG116" i="497" s="1"/>
  <c r="P116" i="497"/>
  <c r="H116" i="497"/>
  <c r="W115" i="497"/>
  <c r="P115" i="497"/>
  <c r="N115" i="497"/>
  <c r="O115" i="497" s="1"/>
  <c r="AF115" i="497"/>
  <c r="H115" i="497"/>
  <c r="W114" i="497"/>
  <c r="P114" i="497"/>
  <c r="N114" i="497"/>
  <c r="AG114" i="497" s="1"/>
  <c r="H114" i="497"/>
  <c r="W113" i="497"/>
  <c r="P113" i="497"/>
  <c r="N113" i="497"/>
  <c r="AF113" i="497" s="1"/>
  <c r="H113" i="497"/>
  <c r="W112" i="497"/>
  <c r="P112" i="497"/>
  <c r="N112" i="497"/>
  <c r="AG112" i="497" s="1"/>
  <c r="H112" i="497"/>
  <c r="W111" i="497"/>
  <c r="P111" i="497"/>
  <c r="N111" i="497"/>
  <c r="O111" i="497" s="1"/>
  <c r="AF111" i="497"/>
  <c r="H111" i="497"/>
  <c r="W110" i="497"/>
  <c r="N110" i="497"/>
  <c r="AG110" i="497" s="1"/>
  <c r="P110" i="497"/>
  <c r="H110" i="497"/>
  <c r="W109" i="497"/>
  <c r="N109" i="497"/>
  <c r="N121" i="497" s="1"/>
  <c r="P121" i="497"/>
  <c r="H109" i="497"/>
  <c r="AE108" i="497"/>
  <c r="AD108" i="497"/>
  <c r="AA108" i="497"/>
  <c r="Z108" i="497"/>
  <c r="W108" i="497"/>
  <c r="M108" i="497"/>
  <c r="P108" i="497" s="1"/>
  <c r="W107" i="497"/>
  <c r="H107" i="497"/>
  <c r="AG106" i="497"/>
  <c r="AF106" i="497"/>
  <c r="W106" i="497"/>
  <c r="H106" i="497"/>
  <c r="AG105" i="497"/>
  <c r="AF105" i="497"/>
  <c r="W105" i="497"/>
  <c r="H105" i="497"/>
  <c r="AG104" i="497"/>
  <c r="AF104" i="497"/>
  <c r="W104" i="497"/>
  <c r="H104" i="497"/>
  <c r="AG103" i="497"/>
  <c r="AF103" i="497"/>
  <c r="W103" i="497"/>
  <c r="H103" i="497"/>
  <c r="W102" i="497"/>
  <c r="N102" i="497"/>
  <c r="AG102" i="497" s="1"/>
  <c r="H102" i="497"/>
  <c r="W101" i="497"/>
  <c r="N101" i="497" s="1"/>
  <c r="P101" i="497"/>
  <c r="H101" i="497"/>
  <c r="W100" i="497"/>
  <c r="N100" i="497" s="1"/>
  <c r="H100" i="497"/>
  <c r="W99" i="497"/>
  <c r="N99" i="497" s="1"/>
  <c r="P99" i="497"/>
  <c r="H99" i="497"/>
  <c r="W98" i="497"/>
  <c r="N98" i="497"/>
  <c r="AG98" i="497" s="1"/>
  <c r="H98" i="497"/>
  <c r="W97" i="497"/>
  <c r="N97" i="497" s="1"/>
  <c r="P97" i="497"/>
  <c r="H97" i="497"/>
  <c r="W96" i="497"/>
  <c r="N96" i="497" s="1"/>
  <c r="P96" i="497"/>
  <c r="H96" i="497"/>
  <c r="AE95" i="497"/>
  <c r="AD95" i="497"/>
  <c r="AA95" i="497"/>
  <c r="Z95" i="497"/>
  <c r="M95" i="497"/>
  <c r="AG94" i="497"/>
  <c r="AF94" i="497"/>
  <c r="W94" i="497"/>
  <c r="H94" i="497"/>
  <c r="AG93" i="497"/>
  <c r="AF93" i="497"/>
  <c r="W93" i="497"/>
  <c r="H93" i="497"/>
  <c r="AG92" i="497"/>
  <c r="AF92" i="497"/>
  <c r="W92" i="497"/>
  <c r="H92" i="497"/>
  <c r="AG91" i="497"/>
  <c r="AF91" i="497"/>
  <c r="W91" i="497"/>
  <c r="H91" i="497"/>
  <c r="AG90" i="497"/>
  <c r="AF90" i="497"/>
  <c r="W90" i="497"/>
  <c r="H90" i="497"/>
  <c r="W89" i="497"/>
  <c r="N89" i="497" s="1"/>
  <c r="P89" i="497"/>
  <c r="H89" i="497"/>
  <c r="W88" i="497"/>
  <c r="N88" i="497"/>
  <c r="AG88" i="497" s="1"/>
  <c r="H88" i="497"/>
  <c r="W87" i="497"/>
  <c r="N87" i="497" s="1"/>
  <c r="P87" i="497"/>
  <c r="H87" i="497"/>
  <c r="W86" i="497"/>
  <c r="N86" i="497"/>
  <c r="AG86" i="497" s="1"/>
  <c r="H86" i="497"/>
  <c r="W85" i="497"/>
  <c r="N85" i="497" s="1"/>
  <c r="P85" i="497"/>
  <c r="H85" i="497"/>
  <c r="W84" i="497"/>
  <c r="N84" i="497"/>
  <c r="AG84" i="497" s="1"/>
  <c r="H84" i="497"/>
  <c r="W83" i="497"/>
  <c r="N83" i="497"/>
  <c r="AF83" i="497" s="1"/>
  <c r="H83" i="497"/>
  <c r="AE82" i="497"/>
  <c r="AD82" i="497"/>
  <c r="AA82" i="497"/>
  <c r="Z82" i="497"/>
  <c r="M82" i="497"/>
  <c r="W81" i="497"/>
  <c r="AG80" i="497"/>
  <c r="AF80" i="497"/>
  <c r="W80" i="497"/>
  <c r="H80" i="497"/>
  <c r="AG79" i="497"/>
  <c r="AF79" i="497"/>
  <c r="W79" i="497"/>
  <c r="H79" i="497"/>
  <c r="AG78" i="497"/>
  <c r="AF78" i="497"/>
  <c r="W78" i="497"/>
  <c r="H78" i="497"/>
  <c r="AG77" i="497"/>
  <c r="AF77" i="497"/>
  <c r="W77" i="497"/>
  <c r="H77" i="497"/>
  <c r="AG76" i="497"/>
  <c r="AF76" i="497"/>
  <c r="W76" i="497"/>
  <c r="H76" i="497"/>
  <c r="W75" i="497"/>
  <c r="N75" i="497" s="1"/>
  <c r="P75" i="497"/>
  <c r="H75" i="497"/>
  <c r="AG74" i="497"/>
  <c r="W74" i="497"/>
  <c r="N74" i="497"/>
  <c r="AF74" i="497" s="1"/>
  <c r="P74" i="497"/>
  <c r="H74" i="497"/>
  <c r="W73" i="497"/>
  <c r="N73" i="497" s="1"/>
  <c r="O73" i="497"/>
  <c r="H73" i="497"/>
  <c r="AG72" i="497"/>
  <c r="W72" i="497"/>
  <c r="N72" i="497" s="1"/>
  <c r="P72" i="497"/>
  <c r="H72" i="497"/>
  <c r="W71" i="497"/>
  <c r="N71" i="497" s="1"/>
  <c r="O71" i="497" s="1"/>
  <c r="H71" i="497"/>
  <c r="W70" i="497"/>
  <c r="N70" i="497" s="1"/>
  <c r="O70" i="497" s="1"/>
  <c r="H70" i="497"/>
  <c r="AE69" i="497"/>
  <c r="AD69" i="497"/>
  <c r="AA69" i="497"/>
  <c r="Z69" i="497"/>
  <c r="W69" i="497"/>
  <c r="M69" i="497"/>
  <c r="W68" i="497"/>
  <c r="H68" i="497"/>
  <c r="AG67" i="497"/>
  <c r="AF67" i="497"/>
  <c r="W67" i="497"/>
  <c r="H67" i="497"/>
  <c r="AG66" i="497"/>
  <c r="AF66" i="497"/>
  <c r="W66" i="497"/>
  <c r="H66" i="497"/>
  <c r="AG65" i="497"/>
  <c r="AF65" i="497"/>
  <c r="W65" i="497"/>
  <c r="H65" i="497"/>
  <c r="AG64" i="497"/>
  <c r="AF64" i="497"/>
  <c r="W64" i="497"/>
  <c r="H64" i="497"/>
  <c r="AG63" i="497"/>
  <c r="AF63" i="497"/>
  <c r="W63" i="497"/>
  <c r="H63" i="497"/>
  <c r="AG62" i="497"/>
  <c r="AF62" i="497"/>
  <c r="W62" i="497"/>
  <c r="H62" i="497"/>
  <c r="W61" i="497"/>
  <c r="O61" i="497"/>
  <c r="N61" i="497"/>
  <c r="AF61" i="497"/>
  <c r="P61" i="497"/>
  <c r="H61" i="497"/>
  <c r="AG60" i="497"/>
  <c r="W60" i="497"/>
  <c r="P60" i="497"/>
  <c r="N60" i="497"/>
  <c r="AF60" i="497" s="1"/>
  <c r="H60" i="497"/>
  <c r="W59" i="497"/>
  <c r="N59" i="497" s="1"/>
  <c r="P59" i="497"/>
  <c r="H59" i="497"/>
  <c r="W58" i="497"/>
  <c r="P58" i="497"/>
  <c r="N58" i="497"/>
  <c r="AG58" i="497" s="1"/>
  <c r="H58" i="497"/>
  <c r="W57" i="497"/>
  <c r="N57" i="497" s="1"/>
  <c r="P57" i="497"/>
  <c r="H57" i="497"/>
  <c r="AE56" i="497"/>
  <c r="AD56" i="497"/>
  <c r="AA56" i="497"/>
  <c r="Z56" i="497"/>
  <c r="W56" i="497"/>
  <c r="M56" i="497"/>
  <c r="W55" i="497"/>
  <c r="H55" i="497"/>
  <c r="AG54" i="497"/>
  <c r="AF54" i="497"/>
  <c r="W54" i="497"/>
  <c r="H54" i="497"/>
  <c r="AG53" i="497"/>
  <c r="AF53" i="497"/>
  <c r="W53" i="497"/>
  <c r="H53" i="497"/>
  <c r="AG52" i="497"/>
  <c r="AF52" i="497"/>
  <c r="W52" i="497"/>
  <c r="H52" i="497"/>
  <c r="AG51" i="497"/>
  <c r="W51" i="497"/>
  <c r="N51" i="497"/>
  <c r="O51" i="497" s="1"/>
  <c r="P51" i="497"/>
  <c r="H51" i="497"/>
  <c r="W50" i="497"/>
  <c r="N50" i="497" s="1"/>
  <c r="P50" i="497"/>
  <c r="H50" i="497"/>
  <c r="AG49" i="497"/>
  <c r="W49" i="497"/>
  <c r="N49" i="497"/>
  <c r="O49" i="497" s="1"/>
  <c r="P49" i="497"/>
  <c r="H49" i="497"/>
  <c r="W48" i="497"/>
  <c r="N48" i="497" s="1"/>
  <c r="P48" i="497"/>
  <c r="H48" i="497"/>
  <c r="W47" i="497"/>
  <c r="N47" i="497"/>
  <c r="O47" i="497" s="1"/>
  <c r="P47" i="497"/>
  <c r="H47" i="497"/>
  <c r="W46" i="497"/>
  <c r="N46" i="497" s="1"/>
  <c r="P46" i="497"/>
  <c r="H46" i="497"/>
  <c r="AG45" i="497"/>
  <c r="W45" i="497"/>
  <c r="N45" i="497"/>
  <c r="O45" i="497" s="1"/>
  <c r="P45" i="497"/>
  <c r="H45" i="497"/>
  <c r="AF44" i="497"/>
  <c r="W44" i="497"/>
  <c r="N44" i="497"/>
  <c r="O44" i="497" s="1"/>
  <c r="P56" i="497"/>
  <c r="H44" i="497"/>
  <c r="AE43" i="497"/>
  <c r="AD43" i="497"/>
  <c r="AA43" i="497"/>
  <c r="Z43" i="497"/>
  <c r="M43" i="497"/>
  <c r="W42" i="497"/>
  <c r="H42" i="497"/>
  <c r="W41" i="497"/>
  <c r="AG40" i="497"/>
  <c r="AF40" i="497"/>
  <c r="W40" i="497"/>
  <c r="H40" i="497"/>
  <c r="AG39" i="497"/>
  <c r="AF39" i="497"/>
  <c r="H39" i="497"/>
  <c r="AG38" i="497"/>
  <c r="W38" i="497"/>
  <c r="P38" i="497"/>
  <c r="N38" i="497"/>
  <c r="O38" i="497" s="1"/>
  <c r="H38" i="497"/>
  <c r="W37" i="497"/>
  <c r="N37" i="497" s="1"/>
  <c r="P37" i="497"/>
  <c r="H37" i="497"/>
  <c r="AG36" i="497"/>
  <c r="W36" i="497"/>
  <c r="P36" i="497"/>
  <c r="N36" i="497"/>
  <c r="O36" i="497" s="1"/>
  <c r="H36" i="497"/>
  <c r="W35" i="497"/>
  <c r="N35" i="497" s="1"/>
  <c r="P35" i="497"/>
  <c r="H35" i="497"/>
  <c r="W34" i="497"/>
  <c r="P34" i="497"/>
  <c r="N34" i="497"/>
  <c r="O34" i="497" s="1"/>
  <c r="H34" i="497"/>
  <c r="W33" i="497"/>
  <c r="N33" i="497" s="1"/>
  <c r="P33" i="497"/>
  <c r="H33" i="497"/>
  <c r="AG32" i="497"/>
  <c r="W32" i="497"/>
  <c r="P32" i="497"/>
  <c r="N32" i="497"/>
  <c r="O32" i="497" s="1"/>
  <c r="H32" i="497"/>
  <c r="AF31" i="497"/>
  <c r="W31" i="497"/>
  <c r="P31" i="497"/>
  <c r="N31" i="497"/>
  <c r="O31" i="497" s="1"/>
  <c r="P43" i="497"/>
  <c r="H31" i="497"/>
  <c r="AE30" i="497"/>
  <c r="AD30" i="497"/>
  <c r="AA30" i="497"/>
  <c r="Z30" i="497"/>
  <c r="M30" i="497"/>
  <c r="AF29" i="497"/>
  <c r="W29" i="497"/>
  <c r="H29" i="497"/>
  <c r="AG28" i="497"/>
  <c r="AF28" i="497"/>
  <c r="W28" i="497"/>
  <c r="H28" i="497"/>
  <c r="AG27" i="497"/>
  <c r="AF27" i="497"/>
  <c r="W27" i="497"/>
  <c r="H27" i="497"/>
  <c r="AG26" i="497"/>
  <c r="AF26" i="497"/>
  <c r="W26" i="497"/>
  <c r="H26" i="497"/>
  <c r="AG25" i="497"/>
  <c r="AF25" i="497"/>
  <c r="W25" i="497"/>
  <c r="H25" i="497"/>
  <c r="AG24" i="497"/>
  <c r="AF24" i="497"/>
  <c r="W24" i="497"/>
  <c r="H24" i="497"/>
  <c r="AG23" i="497"/>
  <c r="W23" i="497"/>
  <c r="N23" i="497"/>
  <c r="AF23" i="497" s="1"/>
  <c r="P23" i="497"/>
  <c r="H23" i="497"/>
  <c r="W22" i="497"/>
  <c r="N22" i="497" s="1"/>
  <c r="P22" i="497"/>
  <c r="H22" i="497"/>
  <c r="AG21" i="497"/>
  <c r="W21" i="497"/>
  <c r="N21" i="497"/>
  <c r="AF21" i="497" s="1"/>
  <c r="P21" i="497"/>
  <c r="H21" i="497"/>
  <c r="W20" i="497"/>
  <c r="N20" i="497" s="1"/>
  <c r="P20" i="497"/>
  <c r="H20" i="497"/>
  <c r="AG19" i="497"/>
  <c r="W19" i="497"/>
  <c r="N19" i="497"/>
  <c r="AF19" i="497" s="1"/>
  <c r="P19" i="497"/>
  <c r="H19" i="497"/>
  <c r="AF18" i="497"/>
  <c r="W18" i="497"/>
  <c r="N18" i="497"/>
  <c r="O18" i="497" s="1"/>
  <c r="P18" i="497"/>
  <c r="H18" i="497"/>
  <c r="AE17" i="497"/>
  <c r="AE2" i="497" s="1"/>
  <c r="AD17" i="497"/>
  <c r="AA17" i="497"/>
  <c r="Z17" i="497"/>
  <c r="W17" i="497"/>
  <c r="M17" i="497"/>
  <c r="AG16" i="497"/>
  <c r="AF16" i="497"/>
  <c r="W16" i="497"/>
  <c r="H16" i="497"/>
  <c r="AG15" i="497"/>
  <c r="AF15" i="497"/>
  <c r="W15" i="497"/>
  <c r="H15" i="497"/>
  <c r="AG14" i="497"/>
  <c r="AF14" i="497"/>
  <c r="W14" i="497"/>
  <c r="H14" i="497"/>
  <c r="AG13" i="497"/>
  <c r="AF13" i="497"/>
  <c r="W13" i="497"/>
  <c r="H13" i="497"/>
  <c r="AG12" i="497"/>
  <c r="AF12" i="497"/>
  <c r="W12" i="497"/>
  <c r="H12" i="497"/>
  <c r="W11" i="497"/>
  <c r="N11" i="497"/>
  <c r="AG11" i="497" s="1"/>
  <c r="P11" i="497"/>
  <c r="H11" i="497"/>
  <c r="W10" i="497"/>
  <c r="N10" i="497" s="1"/>
  <c r="P10" i="497"/>
  <c r="H10" i="497"/>
  <c r="W9" i="497"/>
  <c r="N9" i="497"/>
  <c r="AG9" i="497" s="1"/>
  <c r="H9" i="497"/>
  <c r="W8" i="497"/>
  <c r="N8" i="497" s="1"/>
  <c r="P8" i="497"/>
  <c r="H8" i="497"/>
  <c r="W7" i="497"/>
  <c r="N7" i="497"/>
  <c r="P7" i="497"/>
  <c r="H7" i="497"/>
  <c r="AF6" i="497"/>
  <c r="W6" i="497"/>
  <c r="N6" i="497" s="1"/>
  <c r="P6" i="497"/>
  <c r="H6" i="497"/>
  <c r="W5" i="497"/>
  <c r="N5" i="497" s="1"/>
  <c r="P5" i="497"/>
  <c r="P17" i="497"/>
  <c r="H5" i="497"/>
  <c r="G1" i="497" s="1"/>
  <c r="G2" i="497" s="1"/>
  <c r="AD2" i="497"/>
  <c r="AA2" i="497"/>
  <c r="Z2" i="497"/>
  <c r="I2" i="497"/>
  <c r="E1" i="497"/>
  <c r="AE173" i="496"/>
  <c r="AD173" i="496"/>
  <c r="AA173" i="496"/>
  <c r="Z173" i="496"/>
  <c r="M173" i="496"/>
  <c r="W172" i="496"/>
  <c r="H172" i="496"/>
  <c r="W171" i="496"/>
  <c r="H171" i="496"/>
  <c r="AG170" i="496"/>
  <c r="AF170" i="496"/>
  <c r="W170" i="496"/>
  <c r="H170" i="496"/>
  <c r="AG169" i="496"/>
  <c r="AF169" i="496"/>
  <c r="W169" i="496"/>
  <c r="H169" i="496"/>
  <c r="AG168" i="496"/>
  <c r="AF168" i="496"/>
  <c r="W168" i="496"/>
  <c r="H168" i="496"/>
  <c r="AG167" i="496"/>
  <c r="AF167" i="496"/>
  <c r="W167" i="496"/>
  <c r="H167" i="496"/>
  <c r="AG166" i="496"/>
  <c r="AF166" i="496"/>
  <c r="W166" i="496"/>
  <c r="H166" i="496"/>
  <c r="AG165" i="496"/>
  <c r="AF165" i="496"/>
  <c r="W165" i="496"/>
  <c r="H165" i="496"/>
  <c r="W164" i="496"/>
  <c r="N164" i="496"/>
  <c r="AF164" i="496" s="1"/>
  <c r="P164" i="496"/>
  <c r="H164" i="496"/>
  <c r="W163" i="496"/>
  <c r="P163" i="496"/>
  <c r="N163" i="496"/>
  <c r="O163" i="496" s="1"/>
  <c r="R163" i="496"/>
  <c r="AG163" i="496"/>
  <c r="H163" i="496"/>
  <c r="W162" i="496"/>
  <c r="N162" i="496"/>
  <c r="AF162" i="496" s="1"/>
  <c r="P162" i="496"/>
  <c r="H162" i="496"/>
  <c r="W161" i="496"/>
  <c r="N161" i="496"/>
  <c r="AF161" i="496" s="1"/>
  <c r="P173" i="496"/>
  <c r="H161" i="496"/>
  <c r="AE160" i="496"/>
  <c r="AD160" i="496"/>
  <c r="AA160" i="496"/>
  <c r="Z160" i="496"/>
  <c r="M160" i="496"/>
  <c r="W159" i="496"/>
  <c r="H159" i="496"/>
  <c r="W158" i="496"/>
  <c r="H158" i="496"/>
  <c r="W157" i="496"/>
  <c r="H157" i="496"/>
  <c r="W156" i="496"/>
  <c r="H156" i="496"/>
  <c r="AG155" i="496"/>
  <c r="AF155" i="496"/>
  <c r="W155" i="496"/>
  <c r="H155" i="496"/>
  <c r="AG154" i="496"/>
  <c r="AF154" i="496"/>
  <c r="W154" i="496"/>
  <c r="H154" i="496"/>
  <c r="W153" i="496"/>
  <c r="N153" i="496" s="1"/>
  <c r="P153" i="496"/>
  <c r="H153" i="496"/>
  <c r="W152" i="496"/>
  <c r="P152" i="496"/>
  <c r="N152" i="496"/>
  <c r="O152" i="496" s="1"/>
  <c r="H152" i="496"/>
  <c r="W151" i="496"/>
  <c r="N151" i="496" s="1"/>
  <c r="P151" i="496"/>
  <c r="H151" i="496"/>
  <c r="W150" i="496"/>
  <c r="P150" i="496"/>
  <c r="N150" i="496"/>
  <c r="O150" i="496" s="1"/>
  <c r="H150" i="496"/>
  <c r="W149" i="496"/>
  <c r="N149" i="496"/>
  <c r="AG149" i="496" s="1"/>
  <c r="P149" i="496"/>
  <c r="H149" i="496"/>
  <c r="W148" i="496"/>
  <c r="N148" i="496" s="1"/>
  <c r="P148" i="496"/>
  <c r="P160" i="496"/>
  <c r="H148" i="496"/>
  <c r="AE147" i="496"/>
  <c r="AD147" i="496"/>
  <c r="AA147" i="496"/>
  <c r="Z147" i="496"/>
  <c r="W147" i="496"/>
  <c r="M147" i="496"/>
  <c r="W146" i="496"/>
  <c r="H146" i="496"/>
  <c r="AG145" i="496"/>
  <c r="AF145" i="496"/>
  <c r="W145" i="496"/>
  <c r="AG144" i="496"/>
  <c r="AF144" i="496"/>
  <c r="W144" i="496"/>
  <c r="H144" i="496"/>
  <c r="W143" i="496"/>
  <c r="N143" i="496"/>
  <c r="O143" i="496" s="1"/>
  <c r="P143" i="496"/>
  <c r="H143" i="496"/>
  <c r="W142" i="496"/>
  <c r="N142" i="496" s="1"/>
  <c r="P142" i="496"/>
  <c r="H142" i="496"/>
  <c r="W141" i="496"/>
  <c r="N141" i="496"/>
  <c r="O141" i="496" s="1"/>
  <c r="P141" i="496"/>
  <c r="H141" i="496"/>
  <c r="W140" i="496"/>
  <c r="N140" i="496" s="1"/>
  <c r="P140" i="496"/>
  <c r="H140" i="496"/>
  <c r="W139" i="496"/>
  <c r="N139" i="496"/>
  <c r="O139" i="496" s="1"/>
  <c r="P139" i="496"/>
  <c r="H139" i="496"/>
  <c r="W138" i="496"/>
  <c r="N138" i="496" s="1"/>
  <c r="P138" i="496"/>
  <c r="H138" i="496"/>
  <c r="W137" i="496"/>
  <c r="N137" i="496"/>
  <c r="O137" i="496" s="1"/>
  <c r="P137" i="496"/>
  <c r="H137" i="496"/>
  <c r="W136" i="496"/>
  <c r="N136" i="496" s="1"/>
  <c r="P136" i="496"/>
  <c r="H136" i="496"/>
  <c r="W135" i="496"/>
  <c r="N135" i="496" s="1"/>
  <c r="P135" i="496"/>
  <c r="H135" i="496"/>
  <c r="AE134" i="496"/>
  <c r="AD134" i="496"/>
  <c r="AA134" i="496"/>
  <c r="Z134" i="496"/>
  <c r="M134" i="496"/>
  <c r="W133" i="496"/>
  <c r="H133" i="496"/>
  <c r="W132" i="496"/>
  <c r="H132" i="496"/>
  <c r="AG131" i="496"/>
  <c r="AF131" i="496"/>
  <c r="W131" i="496"/>
  <c r="H131" i="496"/>
  <c r="W130" i="496"/>
  <c r="N130" i="496" s="1"/>
  <c r="P130" i="496"/>
  <c r="H130" i="496"/>
  <c r="W129" i="496"/>
  <c r="N129" i="496"/>
  <c r="P129" i="496"/>
  <c r="H129" i="496"/>
  <c r="W128" i="496"/>
  <c r="N128" i="496" s="1"/>
  <c r="P128" i="496"/>
  <c r="H128" i="496"/>
  <c r="W127" i="496"/>
  <c r="N127" i="496"/>
  <c r="P127" i="496"/>
  <c r="H127" i="496"/>
  <c r="W126" i="496"/>
  <c r="N126" i="496" s="1"/>
  <c r="P126" i="496"/>
  <c r="H126" i="496"/>
  <c r="W125" i="496"/>
  <c r="N125" i="496"/>
  <c r="P125" i="496"/>
  <c r="H125" i="496"/>
  <c r="W124" i="496"/>
  <c r="N124" i="496" s="1"/>
  <c r="P124" i="496"/>
  <c r="H124" i="496"/>
  <c r="W123" i="496"/>
  <c r="N123" i="496"/>
  <c r="P123" i="496"/>
  <c r="H123" i="496"/>
  <c r="W122" i="496"/>
  <c r="N122" i="496"/>
  <c r="H122" i="496"/>
  <c r="AE121" i="496"/>
  <c r="AD121" i="496"/>
  <c r="AA121" i="496"/>
  <c r="Z121" i="496"/>
  <c r="W121" i="496"/>
  <c r="M121" i="496"/>
  <c r="P121" i="496" s="1"/>
  <c r="AG120" i="496"/>
  <c r="AF120" i="496"/>
  <c r="W120" i="496"/>
  <c r="H120" i="496"/>
  <c r="AG119" i="496"/>
  <c r="AF119" i="496"/>
  <c r="W119" i="496"/>
  <c r="H119" i="496"/>
  <c r="W118" i="496"/>
  <c r="P118" i="496"/>
  <c r="N118" i="496"/>
  <c r="O118" i="496" s="1"/>
  <c r="H118" i="496"/>
  <c r="W117" i="496"/>
  <c r="N117" i="496" s="1"/>
  <c r="H117" i="496"/>
  <c r="W116" i="496"/>
  <c r="N116" i="496" s="1"/>
  <c r="H116" i="496"/>
  <c r="W115" i="496"/>
  <c r="N115" i="496" s="1"/>
  <c r="H115" i="496"/>
  <c r="W114" i="496"/>
  <c r="N114" i="496" s="1"/>
  <c r="H114" i="496"/>
  <c r="W113" i="496"/>
  <c r="N113" i="496" s="1"/>
  <c r="H113" i="496"/>
  <c r="W112" i="496"/>
  <c r="N112" i="496" s="1"/>
  <c r="H112" i="496"/>
  <c r="W111" i="496"/>
  <c r="N111" i="496" s="1"/>
  <c r="P111" i="496"/>
  <c r="H111" i="496"/>
  <c r="W110" i="496"/>
  <c r="N110" i="496" s="1"/>
  <c r="H110" i="496"/>
  <c r="W109" i="496"/>
  <c r="O109" i="496"/>
  <c r="N109" i="496"/>
  <c r="H109" i="496"/>
  <c r="AE108" i="496"/>
  <c r="AD108" i="496"/>
  <c r="AA108" i="496"/>
  <c r="Z108" i="496"/>
  <c r="W108" i="496"/>
  <c r="M108" i="496"/>
  <c r="P108" i="496" s="1"/>
  <c r="W107" i="496"/>
  <c r="H107" i="496"/>
  <c r="AG106" i="496"/>
  <c r="AF106" i="496"/>
  <c r="W106" i="496"/>
  <c r="H106" i="496"/>
  <c r="AG105" i="496"/>
  <c r="AF105" i="496"/>
  <c r="W105" i="496"/>
  <c r="H105" i="496"/>
  <c r="AG104" i="496"/>
  <c r="AF104" i="496"/>
  <c r="W104" i="496"/>
  <c r="H104" i="496"/>
  <c r="AG103" i="496"/>
  <c r="AF103" i="496"/>
  <c r="W103" i="496"/>
  <c r="H103" i="496"/>
  <c r="W102" i="496"/>
  <c r="N102" i="496"/>
  <c r="AG102" i="496" s="1"/>
  <c r="P102" i="496"/>
  <c r="H102" i="496"/>
  <c r="W101" i="496"/>
  <c r="P101" i="496"/>
  <c r="N101" i="496"/>
  <c r="O101" i="496" s="1"/>
  <c r="AF101" i="496"/>
  <c r="H101" i="496"/>
  <c r="W100" i="496"/>
  <c r="P100" i="496"/>
  <c r="N100" i="496"/>
  <c r="AG100" i="496" s="1"/>
  <c r="H100" i="496"/>
  <c r="W99" i="496"/>
  <c r="P99" i="496"/>
  <c r="N99" i="496"/>
  <c r="O99" i="496" s="1"/>
  <c r="AF99" i="496"/>
  <c r="H99" i="496"/>
  <c r="W98" i="496"/>
  <c r="N98" i="496"/>
  <c r="AG98" i="496" s="1"/>
  <c r="P98" i="496"/>
  <c r="H98" i="496"/>
  <c r="W97" i="496"/>
  <c r="P97" i="496"/>
  <c r="N97" i="496"/>
  <c r="O97" i="496" s="1"/>
  <c r="AF97" i="496"/>
  <c r="H97" i="496"/>
  <c r="W96" i="496"/>
  <c r="N96" i="496" s="1"/>
  <c r="P96" i="496"/>
  <c r="H96" i="496"/>
  <c r="AE95" i="496"/>
  <c r="AD95" i="496"/>
  <c r="AA95" i="496"/>
  <c r="Z95" i="496"/>
  <c r="M95" i="496"/>
  <c r="AG94" i="496"/>
  <c r="AF94" i="496"/>
  <c r="W94" i="496"/>
  <c r="H94" i="496"/>
  <c r="AG93" i="496"/>
  <c r="AF93" i="496"/>
  <c r="W93" i="496"/>
  <c r="H93" i="496"/>
  <c r="AG92" i="496"/>
  <c r="AF92" i="496"/>
  <c r="W92" i="496"/>
  <c r="H92" i="496"/>
  <c r="AG91" i="496"/>
  <c r="AF91" i="496"/>
  <c r="W91" i="496"/>
  <c r="H91" i="496"/>
  <c r="AG90" i="496"/>
  <c r="AF90" i="496"/>
  <c r="W90" i="496"/>
  <c r="H90" i="496"/>
  <c r="W89" i="496"/>
  <c r="P89" i="496"/>
  <c r="N89" i="496"/>
  <c r="O89" i="496" s="1"/>
  <c r="AF89" i="496"/>
  <c r="H89" i="496"/>
  <c r="W88" i="496"/>
  <c r="N88" i="496"/>
  <c r="AG88" i="496" s="1"/>
  <c r="P88" i="496"/>
  <c r="H88" i="496"/>
  <c r="W87" i="496"/>
  <c r="P87" i="496"/>
  <c r="N87" i="496"/>
  <c r="O87" i="496" s="1"/>
  <c r="AF87" i="496"/>
  <c r="H87" i="496"/>
  <c r="W86" i="496"/>
  <c r="N86" i="496"/>
  <c r="AG86" i="496" s="1"/>
  <c r="P86" i="496"/>
  <c r="H86" i="496"/>
  <c r="W85" i="496"/>
  <c r="P85" i="496"/>
  <c r="N85" i="496"/>
  <c r="O85" i="496" s="1"/>
  <c r="AF85" i="496"/>
  <c r="H85" i="496"/>
  <c r="W84" i="496"/>
  <c r="N84" i="496"/>
  <c r="AG84" i="496" s="1"/>
  <c r="P84" i="496"/>
  <c r="H84" i="496"/>
  <c r="W83" i="496"/>
  <c r="N83" i="496"/>
  <c r="AG83" i="496" s="1"/>
  <c r="P83" i="496"/>
  <c r="H83" i="496"/>
  <c r="AE82" i="496"/>
  <c r="AD82" i="496"/>
  <c r="AA82" i="496"/>
  <c r="Z82" i="496"/>
  <c r="M82" i="496"/>
  <c r="W81" i="496"/>
  <c r="AG80" i="496"/>
  <c r="AF80" i="496"/>
  <c r="W80" i="496"/>
  <c r="H80" i="496"/>
  <c r="AG79" i="496"/>
  <c r="AF79" i="496"/>
  <c r="W79" i="496"/>
  <c r="H79" i="496"/>
  <c r="AG78" i="496"/>
  <c r="AF78" i="496"/>
  <c r="W78" i="496"/>
  <c r="H78" i="496"/>
  <c r="AG77" i="496"/>
  <c r="AF77" i="496"/>
  <c r="W77" i="496"/>
  <c r="H77" i="496"/>
  <c r="AG76" i="496"/>
  <c r="AF76" i="496"/>
  <c r="W76" i="496"/>
  <c r="H76" i="496"/>
  <c r="AG75" i="496"/>
  <c r="AF75" i="496"/>
  <c r="W75" i="496"/>
  <c r="H75" i="496"/>
  <c r="W74" i="496"/>
  <c r="N74" i="496" s="1"/>
  <c r="P74" i="496"/>
  <c r="H74" i="496"/>
  <c r="W73" i="496"/>
  <c r="N73" i="496" s="1"/>
  <c r="H73" i="496"/>
  <c r="W72" i="496"/>
  <c r="N72" i="496" s="1"/>
  <c r="P72" i="496"/>
  <c r="H72" i="496"/>
  <c r="W71" i="496"/>
  <c r="N71" i="496" s="1"/>
  <c r="H71" i="496"/>
  <c r="W70" i="496"/>
  <c r="N70" i="496" s="1"/>
  <c r="P82" i="496"/>
  <c r="H70" i="496"/>
  <c r="AE69" i="496"/>
  <c r="AD69" i="496"/>
  <c r="AA69" i="496"/>
  <c r="Z69" i="496"/>
  <c r="W69" i="496"/>
  <c r="M69" i="496"/>
  <c r="P69" i="496" s="1"/>
  <c r="W68" i="496"/>
  <c r="H68" i="496"/>
  <c r="AG67" i="496"/>
  <c r="AF67" i="496"/>
  <c r="W67" i="496"/>
  <c r="H67" i="496"/>
  <c r="AG66" i="496"/>
  <c r="AF66" i="496"/>
  <c r="W66" i="496"/>
  <c r="H66" i="496"/>
  <c r="AG65" i="496"/>
  <c r="AF65" i="496"/>
  <c r="W65" i="496"/>
  <c r="H65" i="496"/>
  <c r="AG64" i="496"/>
  <c r="AF64" i="496"/>
  <c r="W64" i="496"/>
  <c r="H64" i="496"/>
  <c r="AG63" i="496"/>
  <c r="AF63" i="496"/>
  <c r="W63" i="496"/>
  <c r="H63" i="496"/>
  <c r="AG62" i="496"/>
  <c r="AF62" i="496"/>
  <c r="W62" i="496"/>
  <c r="H62" i="496"/>
  <c r="W61" i="496"/>
  <c r="P61" i="496"/>
  <c r="N61" i="496"/>
  <c r="AG61" i="496" s="1"/>
  <c r="H61" i="496"/>
  <c r="W60" i="496"/>
  <c r="P60" i="496"/>
  <c r="N60" i="496"/>
  <c r="O60" i="496" s="1"/>
  <c r="AF60" i="496"/>
  <c r="H60" i="496"/>
  <c r="W59" i="496"/>
  <c r="P59" i="496"/>
  <c r="N59" i="496"/>
  <c r="AG59" i="496" s="1"/>
  <c r="H59" i="496"/>
  <c r="W58" i="496"/>
  <c r="P58" i="496"/>
  <c r="N58" i="496"/>
  <c r="O58" i="496" s="1"/>
  <c r="AF58" i="496"/>
  <c r="H58" i="496"/>
  <c r="W57" i="496"/>
  <c r="N57" i="496" s="1"/>
  <c r="P57" i="496"/>
  <c r="H57" i="496"/>
  <c r="AE56" i="496"/>
  <c r="AD56" i="496"/>
  <c r="AA56" i="496"/>
  <c r="Z56" i="496"/>
  <c r="W56" i="496"/>
  <c r="M56" i="496"/>
  <c r="W55" i="496"/>
  <c r="H55" i="496"/>
  <c r="AG54" i="496"/>
  <c r="AF54" i="496"/>
  <c r="W54" i="496"/>
  <c r="H54" i="496"/>
  <c r="AG53" i="496"/>
  <c r="AF53" i="496"/>
  <c r="W53" i="496"/>
  <c r="H53" i="496"/>
  <c r="AG52" i="496"/>
  <c r="AF52" i="496"/>
  <c r="W52" i="496"/>
  <c r="H52" i="496"/>
  <c r="W51" i="496"/>
  <c r="N51" i="496" s="1"/>
  <c r="P51" i="496"/>
  <c r="H51" i="496"/>
  <c r="W50" i="496"/>
  <c r="N50" i="496" s="1"/>
  <c r="H50" i="496"/>
  <c r="W49" i="496"/>
  <c r="N49" i="496" s="1"/>
  <c r="P49" i="496"/>
  <c r="H49" i="496"/>
  <c r="W48" i="496"/>
  <c r="N48" i="496" s="1"/>
  <c r="H48" i="496"/>
  <c r="W47" i="496"/>
  <c r="N47" i="496" s="1"/>
  <c r="P47" i="496"/>
  <c r="H47" i="496"/>
  <c r="W46" i="496"/>
  <c r="N46" i="496" s="1"/>
  <c r="P46" i="496"/>
  <c r="H46" i="496"/>
  <c r="AG45" i="496"/>
  <c r="W45" i="496"/>
  <c r="N45" i="496"/>
  <c r="AF45" i="496" s="1"/>
  <c r="P45" i="496"/>
  <c r="H45" i="496"/>
  <c r="AF44" i="496"/>
  <c r="W44" i="496"/>
  <c r="N44" i="496"/>
  <c r="P56" i="496"/>
  <c r="H44" i="496"/>
  <c r="AE43" i="496"/>
  <c r="AD43" i="496"/>
  <c r="AA43" i="496"/>
  <c r="Z43" i="496"/>
  <c r="M43" i="496"/>
  <c r="P43" i="496" s="1"/>
  <c r="W42" i="496"/>
  <c r="H42" i="496"/>
  <c r="W41" i="496"/>
  <c r="AG40" i="496"/>
  <c r="AF40" i="496"/>
  <c r="W40" i="496"/>
  <c r="H40" i="496"/>
  <c r="AG39" i="496"/>
  <c r="AF39" i="496"/>
  <c r="H39" i="496"/>
  <c r="AG38" i="496"/>
  <c r="AF38" i="496"/>
  <c r="W38" i="496"/>
  <c r="H38" i="496"/>
  <c r="W37" i="496"/>
  <c r="N37" i="496" s="1"/>
  <c r="H37" i="496"/>
  <c r="W36" i="496"/>
  <c r="N36" i="496" s="1"/>
  <c r="P36" i="496"/>
  <c r="H36" i="496"/>
  <c r="W35" i="496"/>
  <c r="N35" i="496" s="1"/>
  <c r="H35" i="496"/>
  <c r="W34" i="496"/>
  <c r="N34" i="496" s="1"/>
  <c r="P34" i="496"/>
  <c r="H34" i="496"/>
  <c r="W33" i="496"/>
  <c r="N33" i="496" s="1"/>
  <c r="H33" i="496"/>
  <c r="AG32" i="496"/>
  <c r="W32" i="496"/>
  <c r="N32" i="496"/>
  <c r="AF32" i="496" s="1"/>
  <c r="P32" i="496"/>
  <c r="H32" i="496"/>
  <c r="W31" i="496"/>
  <c r="N31" i="496" s="1"/>
  <c r="P31" i="496"/>
  <c r="H31" i="496"/>
  <c r="AE30" i="496"/>
  <c r="AD30" i="496"/>
  <c r="AA30" i="496"/>
  <c r="Z30" i="496"/>
  <c r="M30" i="496"/>
  <c r="P30" i="496" s="1"/>
  <c r="AF29" i="496"/>
  <c r="W29" i="496"/>
  <c r="H29" i="496"/>
  <c r="AG28" i="496"/>
  <c r="AF28" i="496"/>
  <c r="W28" i="496"/>
  <c r="H28" i="496"/>
  <c r="AG27" i="496"/>
  <c r="AF27" i="496"/>
  <c r="W27" i="496"/>
  <c r="H27" i="496"/>
  <c r="AG26" i="496"/>
  <c r="AF26" i="496"/>
  <c r="W26" i="496"/>
  <c r="H26" i="496"/>
  <c r="AG25" i="496"/>
  <c r="AF25" i="496"/>
  <c r="W25" i="496"/>
  <c r="H25" i="496"/>
  <c r="AG24" i="496"/>
  <c r="AF24" i="496"/>
  <c r="W24" i="496"/>
  <c r="H24" i="496"/>
  <c r="AG23" i="496"/>
  <c r="AF23" i="496"/>
  <c r="W23" i="496"/>
  <c r="H23" i="496"/>
  <c r="W22" i="496"/>
  <c r="N22" i="496" s="1"/>
  <c r="P22" i="496"/>
  <c r="H22" i="496"/>
  <c r="W21" i="496"/>
  <c r="N21" i="496"/>
  <c r="P21" i="496"/>
  <c r="H21" i="496"/>
  <c r="AF20" i="496"/>
  <c r="W20" i="496"/>
  <c r="N20" i="496" s="1"/>
  <c r="P20" i="496"/>
  <c r="H20" i="496"/>
  <c r="W19" i="496"/>
  <c r="N19" i="496"/>
  <c r="P19" i="496"/>
  <c r="H19" i="496"/>
  <c r="W18" i="496"/>
  <c r="P18" i="496"/>
  <c r="N18" i="496"/>
  <c r="H18" i="496"/>
  <c r="AE17" i="496"/>
  <c r="AD17" i="496"/>
  <c r="AA17" i="496"/>
  <c r="Z17" i="496"/>
  <c r="W17" i="496"/>
  <c r="P17" i="496"/>
  <c r="M17" i="496"/>
  <c r="AG16" i="496"/>
  <c r="AF16" i="496"/>
  <c r="W16" i="496"/>
  <c r="H16" i="496"/>
  <c r="AG15" i="496"/>
  <c r="AF15" i="496"/>
  <c r="W15" i="496"/>
  <c r="H15" i="496"/>
  <c r="AG14" i="496"/>
  <c r="AF14" i="496"/>
  <c r="W14" i="496"/>
  <c r="H14" i="496"/>
  <c r="AG13" i="496"/>
  <c r="AF13" i="496"/>
  <c r="W13" i="496"/>
  <c r="H13" i="496"/>
  <c r="AG12" i="496"/>
  <c r="AF12" i="496"/>
  <c r="W12" i="496"/>
  <c r="H12" i="496"/>
  <c r="AG11" i="496"/>
  <c r="AF11" i="496"/>
  <c r="W11" i="496"/>
  <c r="H11" i="496"/>
  <c r="AG10" i="496"/>
  <c r="AF10" i="496"/>
  <c r="W10" i="496"/>
  <c r="N10" i="496" s="1"/>
  <c r="O10" i="496"/>
  <c r="Q10" i="496" s="1"/>
  <c r="P10" i="496"/>
  <c r="H10" i="496"/>
  <c r="W9" i="496"/>
  <c r="N9" i="496"/>
  <c r="AF9" i="496" s="1"/>
  <c r="P9" i="496"/>
  <c r="H9" i="496"/>
  <c r="W8" i="496"/>
  <c r="N8" i="496" s="1"/>
  <c r="AG8" i="496" s="1"/>
  <c r="P8" i="496"/>
  <c r="H8" i="496"/>
  <c r="W7" i="496"/>
  <c r="O7" i="496"/>
  <c r="N7" i="496"/>
  <c r="AG7" i="496"/>
  <c r="P7" i="496"/>
  <c r="H7" i="496"/>
  <c r="W6" i="496"/>
  <c r="N6" i="496"/>
  <c r="AG6" i="496" s="1"/>
  <c r="H6" i="496"/>
  <c r="W5" i="496"/>
  <c r="N5" i="496"/>
  <c r="N17" i="496" s="1"/>
  <c r="H5" i="496"/>
  <c r="AE2" i="496"/>
  <c r="AD2" i="496"/>
  <c r="AA2" i="496"/>
  <c r="Z2" i="496"/>
  <c r="I2" i="496"/>
  <c r="E1" i="496"/>
  <c r="I1" i="496" l="1"/>
  <c r="I1" i="497"/>
  <c r="E2" i="499"/>
  <c r="E2" i="498"/>
  <c r="G1" i="496"/>
  <c r="G2" i="496" s="1"/>
  <c r="AF22" i="496"/>
  <c r="O22" i="496"/>
  <c r="AG22" i="496"/>
  <c r="AG36" i="496"/>
  <c r="AF36" i="496"/>
  <c r="O36" i="496"/>
  <c r="AG47" i="496"/>
  <c r="AF47" i="496"/>
  <c r="O47" i="496"/>
  <c r="O50" i="496"/>
  <c r="AG50" i="496"/>
  <c r="AF50" i="496"/>
  <c r="AG74" i="496"/>
  <c r="AF74" i="496"/>
  <c r="O74" i="496"/>
  <c r="Q87" i="496"/>
  <c r="O96" i="496"/>
  <c r="AG96" i="496"/>
  <c r="N108" i="496"/>
  <c r="AF96" i="496"/>
  <c r="O112" i="496"/>
  <c r="AG112" i="496"/>
  <c r="AF112" i="496"/>
  <c r="O116" i="496"/>
  <c r="AG116" i="496"/>
  <c r="AF116" i="496"/>
  <c r="AG5" i="496"/>
  <c r="AG17" i="496"/>
  <c r="AH5" i="496" s="1"/>
  <c r="O5" i="496"/>
  <c r="O8" i="496"/>
  <c r="AF8" i="496"/>
  <c r="N30" i="496"/>
  <c r="O18" i="496"/>
  <c r="AG34" i="496"/>
  <c r="AF34" i="496"/>
  <c r="O34" i="496"/>
  <c r="O37" i="496"/>
  <c r="AG37" i="496"/>
  <c r="AF37" i="496"/>
  <c r="O48" i="496"/>
  <c r="AG48" i="496"/>
  <c r="AF48" i="496"/>
  <c r="AG72" i="496"/>
  <c r="AF72" i="496"/>
  <c r="O72" i="496"/>
  <c r="R97" i="496"/>
  <c r="Q97" i="496"/>
  <c r="O110" i="496"/>
  <c r="AG110" i="496"/>
  <c r="AF110" i="496"/>
  <c r="AG113" i="496"/>
  <c r="AF113" i="496"/>
  <c r="O113" i="496"/>
  <c r="AG117" i="496"/>
  <c r="AF117" i="496"/>
  <c r="O117" i="496"/>
  <c r="P5" i="496"/>
  <c r="P6" i="496"/>
  <c r="AF6" i="496"/>
  <c r="AF7" i="496"/>
  <c r="O9" i="496"/>
  <c r="AG9" i="496"/>
  <c r="AF18" i="496"/>
  <c r="AG19" i="496"/>
  <c r="AF19" i="496"/>
  <c r="O19" i="496"/>
  <c r="N43" i="496"/>
  <c r="AF31" i="496"/>
  <c r="O31" i="496"/>
  <c r="AG31" i="496"/>
  <c r="O35" i="496"/>
  <c r="AG35" i="496"/>
  <c r="AF35" i="496"/>
  <c r="O46" i="496"/>
  <c r="AG46" i="496"/>
  <c r="AF46" i="496"/>
  <c r="AG51" i="496"/>
  <c r="AF51" i="496"/>
  <c r="O51" i="496"/>
  <c r="O57" i="496"/>
  <c r="AG57" i="496"/>
  <c r="N69" i="496"/>
  <c r="AF57" i="496"/>
  <c r="O70" i="496"/>
  <c r="N82" i="496"/>
  <c r="AG70" i="496"/>
  <c r="AF70" i="496"/>
  <c r="O73" i="496"/>
  <c r="AG73" i="496"/>
  <c r="AF73" i="496"/>
  <c r="R85" i="496"/>
  <c r="Q85" i="496"/>
  <c r="P95" i="496"/>
  <c r="O114" i="496"/>
  <c r="AG114" i="496"/>
  <c r="AF114" i="496"/>
  <c r="R10" i="496"/>
  <c r="O6" i="496"/>
  <c r="AF5" i="496"/>
  <c r="AG18" i="496"/>
  <c r="O20" i="496"/>
  <c r="AG20" i="496"/>
  <c r="AG21" i="496"/>
  <c r="AF21" i="496"/>
  <c r="O21" i="496"/>
  <c r="O33" i="496"/>
  <c r="AG33" i="496"/>
  <c r="AF33" i="496"/>
  <c r="N56" i="496"/>
  <c r="AG49" i="496"/>
  <c r="AF49" i="496"/>
  <c r="O49" i="496"/>
  <c r="O71" i="496"/>
  <c r="AG71" i="496"/>
  <c r="AF71" i="496"/>
  <c r="R109" i="496"/>
  <c r="AG111" i="496"/>
  <c r="AF111" i="496"/>
  <c r="O111" i="496"/>
  <c r="AG115" i="496"/>
  <c r="AF115" i="496"/>
  <c r="O115" i="496"/>
  <c r="Q118" i="496"/>
  <c r="P33" i="496"/>
  <c r="P35" i="496"/>
  <c r="P37" i="496"/>
  <c r="AG44" i="496"/>
  <c r="P48" i="496"/>
  <c r="P50" i="496"/>
  <c r="R58" i="496"/>
  <c r="AG58" i="496"/>
  <c r="O59" i="496"/>
  <c r="R60" i="496"/>
  <c r="AG60" i="496"/>
  <c r="O61" i="496"/>
  <c r="P70" i="496"/>
  <c r="P71" i="496"/>
  <c r="P73" i="496"/>
  <c r="O83" i="496"/>
  <c r="O84" i="496"/>
  <c r="AG85" i="496"/>
  <c r="O86" i="496"/>
  <c r="R87" i="496"/>
  <c r="AG87" i="496"/>
  <c r="O88" i="496"/>
  <c r="Q89" i="496"/>
  <c r="AG89" i="496"/>
  <c r="N95" i="496"/>
  <c r="AG97" i="496"/>
  <c r="O98" i="496"/>
  <c r="R99" i="496"/>
  <c r="AG99" i="496"/>
  <c r="O100" i="496"/>
  <c r="R101" i="496"/>
  <c r="AG101" i="496"/>
  <c r="O102" i="496"/>
  <c r="P109" i="496"/>
  <c r="P110" i="496"/>
  <c r="P112" i="496"/>
  <c r="P114" i="496"/>
  <c r="P116" i="496"/>
  <c r="R118" i="496"/>
  <c r="O121" i="496"/>
  <c r="P134" i="496"/>
  <c r="AG138" i="496"/>
  <c r="AF138" i="496"/>
  <c r="O138" i="496"/>
  <c r="AG140" i="496"/>
  <c r="AF140" i="496"/>
  <c r="O140" i="496"/>
  <c r="AG142" i="496"/>
  <c r="AF142" i="496"/>
  <c r="O142" i="496"/>
  <c r="R152" i="496"/>
  <c r="Q152" i="496"/>
  <c r="AG153" i="496"/>
  <c r="AF153" i="496"/>
  <c r="O153" i="496"/>
  <c r="O32" i="496"/>
  <c r="O44" i="496"/>
  <c r="O45" i="496"/>
  <c r="AF59" i="496"/>
  <c r="AF61" i="496"/>
  <c r="AF84" i="496"/>
  <c r="AF86" i="496"/>
  <c r="AF88" i="496"/>
  <c r="AF98" i="496"/>
  <c r="AF100" i="496"/>
  <c r="AF102" i="496"/>
  <c r="Q109" i="496"/>
  <c r="AF109" i="496"/>
  <c r="AF148" i="496"/>
  <c r="N160" i="496"/>
  <c r="O148" i="496"/>
  <c r="AG148" i="496"/>
  <c r="R150" i="496"/>
  <c r="Q150" i="496"/>
  <c r="AG151" i="496"/>
  <c r="AF151" i="496"/>
  <c r="O151" i="496"/>
  <c r="P44" i="496"/>
  <c r="AF83" i="496"/>
  <c r="N121" i="496"/>
  <c r="AG109" i="496"/>
  <c r="P113" i="496"/>
  <c r="P115" i="496"/>
  <c r="P117" i="496"/>
  <c r="AF118" i="496"/>
  <c r="N134" i="496"/>
  <c r="O122" i="496"/>
  <c r="AF122" i="496"/>
  <c r="O123" i="496"/>
  <c r="AG123" i="496"/>
  <c r="AF123" i="496"/>
  <c r="AG124" i="496"/>
  <c r="O124" i="496"/>
  <c r="O125" i="496"/>
  <c r="AG125" i="496"/>
  <c r="AF125" i="496"/>
  <c r="AG126" i="496"/>
  <c r="O126" i="496"/>
  <c r="O127" i="496"/>
  <c r="AG127" i="496"/>
  <c r="AF127" i="496"/>
  <c r="AG128" i="496"/>
  <c r="O128" i="496"/>
  <c r="O129" i="496"/>
  <c r="AG129" i="496"/>
  <c r="AF129" i="496"/>
  <c r="AG130" i="496"/>
  <c r="AF130" i="496"/>
  <c r="O130" i="496"/>
  <c r="AF135" i="496"/>
  <c r="N147" i="496"/>
  <c r="O135" i="496"/>
  <c r="AG135" i="496"/>
  <c r="R137" i="496"/>
  <c r="Q137" i="496"/>
  <c r="R139" i="496"/>
  <c r="Q139" i="496"/>
  <c r="R141" i="496"/>
  <c r="Q141" i="496"/>
  <c r="Q143" i="496"/>
  <c r="P147" i="496"/>
  <c r="AG118" i="496"/>
  <c r="AG122" i="496"/>
  <c r="AF124" i="496"/>
  <c r="AF126" i="496"/>
  <c r="AF128" i="496"/>
  <c r="AG136" i="496"/>
  <c r="AF136" i="496"/>
  <c r="O136" i="496"/>
  <c r="P122" i="496"/>
  <c r="AF137" i="496"/>
  <c r="AF139" i="496"/>
  <c r="AF141" i="496"/>
  <c r="AF143" i="496"/>
  <c r="AF150" i="496"/>
  <c r="AF152" i="496"/>
  <c r="P161" i="496"/>
  <c r="AG161" i="496"/>
  <c r="O162" i="496"/>
  <c r="AF163" i="496"/>
  <c r="O164" i="496"/>
  <c r="O6" i="497"/>
  <c r="AG6" i="497"/>
  <c r="AG7" i="497"/>
  <c r="AF7" i="497"/>
  <c r="O7" i="497"/>
  <c r="O8" i="497"/>
  <c r="AG8" i="497"/>
  <c r="AF8" i="497"/>
  <c r="AG20" i="497"/>
  <c r="AF20" i="497"/>
  <c r="O20" i="497"/>
  <c r="AG33" i="497"/>
  <c r="AF33" i="497"/>
  <c r="O33" i="497"/>
  <c r="R36" i="497"/>
  <c r="Q36" i="497"/>
  <c r="R47" i="497"/>
  <c r="Q47" i="497"/>
  <c r="R49" i="497"/>
  <c r="Q49" i="497"/>
  <c r="AF59" i="497"/>
  <c r="O59" i="497"/>
  <c r="AG59" i="497"/>
  <c r="AG137" i="496"/>
  <c r="AG139" i="496"/>
  <c r="AG141" i="496"/>
  <c r="AG143" i="496"/>
  <c r="O149" i="496"/>
  <c r="AG150" i="496"/>
  <c r="AG152" i="496"/>
  <c r="Q163" i="496"/>
  <c r="N173" i="496"/>
  <c r="N17" i="497"/>
  <c r="O5" i="497"/>
  <c r="AG5" i="497"/>
  <c r="AF5" i="497"/>
  <c r="O10" i="497"/>
  <c r="AG10" i="497"/>
  <c r="AF10" i="497"/>
  <c r="R18" i="497"/>
  <c r="Q18" i="497"/>
  <c r="AG22" i="497"/>
  <c r="AF22" i="497"/>
  <c r="O22" i="497"/>
  <c r="AG37" i="497"/>
  <c r="AF37" i="497"/>
  <c r="O37" i="497"/>
  <c r="R51" i="497"/>
  <c r="Q51" i="497"/>
  <c r="AF149" i="496"/>
  <c r="O43" i="497"/>
  <c r="R43" i="497" s="1"/>
  <c r="S31" i="497" s="1"/>
  <c r="R31" i="497"/>
  <c r="Q31" i="497"/>
  <c r="R34" i="497"/>
  <c r="Q34" i="497"/>
  <c r="AG35" i="497"/>
  <c r="AF35" i="497"/>
  <c r="O35" i="497"/>
  <c r="AG46" i="497"/>
  <c r="AF46" i="497"/>
  <c r="O46" i="497"/>
  <c r="AG48" i="497"/>
  <c r="AF48" i="497"/>
  <c r="O48" i="497"/>
  <c r="AG57" i="497"/>
  <c r="N69" i="497"/>
  <c r="AF57" i="497"/>
  <c r="O57" i="497"/>
  <c r="O161" i="496"/>
  <c r="AG162" i="496"/>
  <c r="AG164" i="496"/>
  <c r="R32" i="497"/>
  <c r="Q32" i="497"/>
  <c r="R38" i="497"/>
  <c r="Q38" i="497"/>
  <c r="O56" i="497"/>
  <c r="R44" i="497"/>
  <c r="Q44" i="497"/>
  <c r="R45" i="497"/>
  <c r="Q45" i="497"/>
  <c r="AG50" i="497"/>
  <c r="AF50" i="497"/>
  <c r="O50" i="497"/>
  <c r="AF32" i="497"/>
  <c r="AF34" i="497"/>
  <c r="AF36" i="497"/>
  <c r="AF38" i="497"/>
  <c r="P44" i="497"/>
  <c r="AF45" i="497"/>
  <c r="AF47" i="497"/>
  <c r="AF49" i="497"/>
  <c r="AF51" i="497"/>
  <c r="O58" i="497"/>
  <c r="O60" i="497"/>
  <c r="AG61" i="497"/>
  <c r="AF72" i="497"/>
  <c r="O72" i="497"/>
  <c r="P73" i="497"/>
  <c r="AG75" i="497"/>
  <c r="AF75" i="497"/>
  <c r="O75" i="497"/>
  <c r="O101" i="497"/>
  <c r="AG101" i="497"/>
  <c r="AF101" i="497"/>
  <c r="O9" i="497"/>
  <c r="O11" i="497"/>
  <c r="AG18" i="497"/>
  <c r="P30" i="497"/>
  <c r="N30" i="497"/>
  <c r="AG34" i="497"/>
  <c r="N43" i="497"/>
  <c r="AG47" i="497"/>
  <c r="N56" i="497"/>
  <c r="AF58" i="497"/>
  <c r="Q61" i="497"/>
  <c r="P69" i="497"/>
  <c r="AG71" i="497"/>
  <c r="AF71" i="497"/>
  <c r="O85" i="497"/>
  <c r="AG85" i="497"/>
  <c r="AF85" i="497"/>
  <c r="AG100" i="497"/>
  <c r="AF100" i="497"/>
  <c r="O100" i="497"/>
  <c r="P9" i="497"/>
  <c r="AF9" i="497"/>
  <c r="AF11" i="497"/>
  <c r="O19" i="497"/>
  <c r="O21" i="497"/>
  <c r="O30" i="497" s="1"/>
  <c r="O23" i="497"/>
  <c r="AG31" i="497"/>
  <c r="AG44" i="497"/>
  <c r="P82" i="497"/>
  <c r="P70" i="497"/>
  <c r="N82" i="497"/>
  <c r="AG70" i="497"/>
  <c r="AF70" i="497"/>
  <c r="R71" i="497"/>
  <c r="P71" i="497"/>
  <c r="R73" i="497"/>
  <c r="Q73" i="497"/>
  <c r="O87" i="497"/>
  <c r="AG87" i="497"/>
  <c r="AF87" i="497"/>
  <c r="O97" i="497"/>
  <c r="AG97" i="497"/>
  <c r="AF97" i="497"/>
  <c r="R61" i="497"/>
  <c r="AG73" i="497"/>
  <c r="AF73" i="497"/>
  <c r="O89" i="497"/>
  <c r="AG89" i="497"/>
  <c r="AF89" i="497"/>
  <c r="O96" i="497"/>
  <c r="AG96" i="497"/>
  <c r="N108" i="497"/>
  <c r="AF96" i="497"/>
  <c r="O99" i="497"/>
  <c r="AG99" i="497"/>
  <c r="AF99" i="497"/>
  <c r="Q115" i="497"/>
  <c r="AG83" i="497"/>
  <c r="O109" i="497"/>
  <c r="O110" i="497"/>
  <c r="R111" i="497"/>
  <c r="AG111" i="497"/>
  <c r="O112" i="497"/>
  <c r="AG113" i="497"/>
  <c r="O114" i="497"/>
  <c r="R115" i="497"/>
  <c r="AG115" i="497"/>
  <c r="O116" i="497"/>
  <c r="R117" i="497"/>
  <c r="AG119" i="497"/>
  <c r="AF119" i="497"/>
  <c r="R126" i="497"/>
  <c r="Q126" i="497"/>
  <c r="P134" i="497"/>
  <c r="R163" i="497"/>
  <c r="Q163" i="497"/>
  <c r="O83" i="497"/>
  <c r="O84" i="497"/>
  <c r="O86" i="497"/>
  <c r="O88" i="497"/>
  <c r="P95" i="497"/>
  <c r="N95" i="497"/>
  <c r="O98" i="497"/>
  <c r="O102" i="497"/>
  <c r="P109" i="497"/>
  <c r="AF110" i="497"/>
  <c r="AF112" i="497"/>
  <c r="AF114" i="497"/>
  <c r="AF116" i="497"/>
  <c r="AF117" i="497"/>
  <c r="R124" i="497"/>
  <c r="Q124" i="497"/>
  <c r="R130" i="497"/>
  <c r="Q130" i="497"/>
  <c r="R149" i="497"/>
  <c r="Q149" i="497"/>
  <c r="O74" i="497"/>
  <c r="P83" i="497"/>
  <c r="P84" i="497"/>
  <c r="AF84" i="497"/>
  <c r="P86" i="497"/>
  <c r="AF86" i="497"/>
  <c r="P88" i="497"/>
  <c r="AF88" i="497"/>
  <c r="P98" i="497"/>
  <c r="AF98" i="497"/>
  <c r="P100" i="497"/>
  <c r="P102" i="497"/>
  <c r="AF102" i="497"/>
  <c r="AF109" i="497"/>
  <c r="O113" i="497"/>
  <c r="O118" i="497"/>
  <c r="AG118" i="497"/>
  <c r="R119" i="497"/>
  <c r="R153" i="497"/>
  <c r="Q153" i="497"/>
  <c r="AG121" i="497"/>
  <c r="AH109" i="497" s="1"/>
  <c r="AF121" i="497"/>
  <c r="AG109" i="497"/>
  <c r="Q119" i="497"/>
  <c r="R128" i="497"/>
  <c r="Q128" i="497"/>
  <c r="R151" i="497"/>
  <c r="Q151" i="497"/>
  <c r="O165" i="497"/>
  <c r="AG165" i="497"/>
  <c r="AF165" i="497"/>
  <c r="AG122" i="497"/>
  <c r="AF124" i="497"/>
  <c r="AF126" i="497"/>
  <c r="AF128" i="497"/>
  <c r="AF130" i="497"/>
  <c r="AF136" i="497"/>
  <c r="AF138" i="497"/>
  <c r="AF140" i="497"/>
  <c r="AF142" i="497"/>
  <c r="AF144" i="497"/>
  <c r="N147" i="497"/>
  <c r="AF149" i="497"/>
  <c r="AF151" i="497"/>
  <c r="AF153" i="497"/>
  <c r="AF160" i="497"/>
  <c r="AG161" i="497"/>
  <c r="AF163" i="497"/>
  <c r="O122" i="497"/>
  <c r="O123" i="497"/>
  <c r="AG124" i="497"/>
  <c r="O125" i="497"/>
  <c r="AG126" i="497"/>
  <c r="O127" i="497"/>
  <c r="AG128" i="497"/>
  <c r="O129" i="497"/>
  <c r="AG130" i="497"/>
  <c r="O131" i="497"/>
  <c r="N134" i="497"/>
  <c r="AF135" i="497"/>
  <c r="AG136" i="497"/>
  <c r="O147" i="497"/>
  <c r="AG138" i="497"/>
  <c r="AG140" i="497"/>
  <c r="AG142" i="497"/>
  <c r="AG144" i="497"/>
  <c r="AF148" i="497"/>
  <c r="AG149" i="497"/>
  <c r="O150" i="497"/>
  <c r="AG151" i="497"/>
  <c r="O152" i="497"/>
  <c r="AG153" i="497"/>
  <c r="O161" i="497"/>
  <c r="O162" i="497"/>
  <c r="AG163" i="497"/>
  <c r="O164" i="497"/>
  <c r="P173" i="497"/>
  <c r="N173" i="497"/>
  <c r="AF123" i="497"/>
  <c r="AF125" i="497"/>
  <c r="AF127" i="497"/>
  <c r="AF129" i="497"/>
  <c r="AF131" i="497"/>
  <c r="AG135" i="497"/>
  <c r="AF137" i="497"/>
  <c r="AF139" i="497"/>
  <c r="AF141" i="497"/>
  <c r="AF143" i="497"/>
  <c r="AG148" i="497"/>
  <c r="AF150" i="497"/>
  <c r="AF152" i="497"/>
  <c r="AF162" i="497"/>
  <c r="P164" i="497"/>
  <c r="AF164" i="497"/>
  <c r="O148" i="497"/>
  <c r="Q147" i="497" l="1"/>
  <c r="R147" i="497"/>
  <c r="S135" i="497" s="1"/>
  <c r="R30" i="497"/>
  <c r="S18" i="497" s="1"/>
  <c r="Q30" i="497"/>
  <c r="Q162" i="497"/>
  <c r="R162" i="497"/>
  <c r="R148" i="497"/>
  <c r="Q148" i="497"/>
  <c r="O160" i="497"/>
  <c r="Q150" i="497"/>
  <c r="R150" i="497"/>
  <c r="Q164" i="497"/>
  <c r="R164" i="497"/>
  <c r="Q129" i="497"/>
  <c r="R129" i="497"/>
  <c r="Q125" i="497"/>
  <c r="R125" i="497"/>
  <c r="Q117" i="497"/>
  <c r="Q118" i="497"/>
  <c r="R118" i="497"/>
  <c r="R74" i="497"/>
  <c r="Q74" i="497"/>
  <c r="AG160" i="497"/>
  <c r="AH148" i="497" s="1"/>
  <c r="Q86" i="497"/>
  <c r="R86" i="497"/>
  <c r="R112" i="497"/>
  <c r="Q112" i="497"/>
  <c r="O121" i="497"/>
  <c r="R109" i="497"/>
  <c r="Q109" i="497"/>
  <c r="Q111" i="497"/>
  <c r="R99" i="497"/>
  <c r="Q99" i="497"/>
  <c r="O108" i="497"/>
  <c r="R96" i="497"/>
  <c r="Q96" i="497"/>
  <c r="Q82" i="497"/>
  <c r="AG82" i="497"/>
  <c r="AH70" i="497" s="1"/>
  <c r="AF82" i="497"/>
  <c r="R19" i="497"/>
  <c r="Q19" i="497"/>
  <c r="Q100" i="497"/>
  <c r="R100" i="497"/>
  <c r="AF56" i="497"/>
  <c r="AG56" i="497"/>
  <c r="AH44" i="497" s="1"/>
  <c r="Q56" i="497"/>
  <c r="AG30" i="497"/>
  <c r="AH18" i="497" s="1"/>
  <c r="AF30" i="497"/>
  <c r="Q9" i="497"/>
  <c r="R9" i="497"/>
  <c r="R75" i="497"/>
  <c r="Q75" i="497"/>
  <c r="Q50" i="497"/>
  <c r="R50" i="497"/>
  <c r="Q161" i="496"/>
  <c r="O173" i="496"/>
  <c r="R161" i="496"/>
  <c r="O69" i="497"/>
  <c r="R69" i="497" s="1"/>
  <c r="S57" i="497" s="1"/>
  <c r="R57" i="497"/>
  <c r="Q57" i="497"/>
  <c r="Q48" i="497"/>
  <c r="R48" i="497"/>
  <c r="R5" i="497"/>
  <c r="Q5" i="497"/>
  <c r="O17" i="497"/>
  <c r="R8" i="497"/>
  <c r="Q8" i="497"/>
  <c r="Q162" i="496"/>
  <c r="R162" i="496"/>
  <c r="Q130" i="496"/>
  <c r="R130" i="496"/>
  <c r="Q124" i="496"/>
  <c r="R124" i="496"/>
  <c r="Q123" i="496"/>
  <c r="R123" i="496"/>
  <c r="Q151" i="496"/>
  <c r="R151" i="496"/>
  <c r="R102" i="496"/>
  <c r="Q102" i="496"/>
  <c r="R84" i="496"/>
  <c r="Q84" i="496"/>
  <c r="R59" i="496"/>
  <c r="Q59" i="496"/>
  <c r="R71" i="496"/>
  <c r="Q71" i="496"/>
  <c r="AG56" i="496"/>
  <c r="AH44" i="496" s="1"/>
  <c r="Q56" i="496"/>
  <c r="AF56" i="496"/>
  <c r="Q21" i="496"/>
  <c r="R21" i="496"/>
  <c r="R20" i="496"/>
  <c r="Q20" i="496"/>
  <c r="R89" i="496"/>
  <c r="AF82" i="496"/>
  <c r="Q82" i="496"/>
  <c r="AG82" i="496"/>
  <c r="AH70" i="496" s="1"/>
  <c r="Q19" i="496"/>
  <c r="R19" i="496"/>
  <c r="AF17" i="496"/>
  <c r="Q117" i="496"/>
  <c r="R117" i="496"/>
  <c r="R110" i="496"/>
  <c r="Q110" i="496"/>
  <c r="R48" i="496"/>
  <c r="Q48" i="496"/>
  <c r="Q34" i="496"/>
  <c r="R34" i="496"/>
  <c r="O30" i="496"/>
  <c r="Q18" i="496"/>
  <c r="R18" i="496"/>
  <c r="O17" i="496"/>
  <c r="Q5" i="496"/>
  <c r="R5" i="496"/>
  <c r="Q99" i="496"/>
  <c r="Q60" i="496"/>
  <c r="Q152" i="497"/>
  <c r="R152" i="497"/>
  <c r="AG134" i="497"/>
  <c r="AH122" i="497" s="1"/>
  <c r="AF134" i="497"/>
  <c r="R113" i="497"/>
  <c r="Q113" i="497"/>
  <c r="AG95" i="497"/>
  <c r="AH83" i="497" s="1"/>
  <c r="AF95" i="497"/>
  <c r="Q84" i="497"/>
  <c r="R84" i="497"/>
  <c r="R87" i="497"/>
  <c r="Q87" i="497"/>
  <c r="R72" i="497"/>
  <c r="Q72" i="497"/>
  <c r="R60" i="497"/>
  <c r="Q60" i="497"/>
  <c r="O82" i="497"/>
  <c r="R82" i="497" s="1"/>
  <c r="S70" i="497" s="1"/>
  <c r="R22" i="497"/>
  <c r="Q22" i="497"/>
  <c r="R10" i="497"/>
  <c r="Q10" i="497"/>
  <c r="AG17" i="497"/>
  <c r="AH5" i="497" s="1"/>
  <c r="AF17" i="497"/>
  <c r="R59" i="497"/>
  <c r="Q59" i="497"/>
  <c r="Q7" i="497"/>
  <c r="R7" i="497"/>
  <c r="R6" i="497"/>
  <c r="Q6" i="497"/>
  <c r="O147" i="496"/>
  <c r="Q135" i="496"/>
  <c r="R135" i="496"/>
  <c r="Q129" i="496"/>
  <c r="R129" i="496"/>
  <c r="AG121" i="496"/>
  <c r="AH109" i="496" s="1"/>
  <c r="AF121" i="496"/>
  <c r="Q32" i="496"/>
  <c r="R32" i="496"/>
  <c r="Q138" i="496"/>
  <c r="R138" i="496"/>
  <c r="Q121" i="496"/>
  <c r="R121" i="496"/>
  <c r="S109" i="496" s="1"/>
  <c r="R86" i="496"/>
  <c r="Q86" i="496"/>
  <c r="R83" i="496"/>
  <c r="Q83" i="496"/>
  <c r="O95" i="496"/>
  <c r="R61" i="496"/>
  <c r="Q61" i="496"/>
  <c r="Q49" i="496"/>
  <c r="R49" i="496"/>
  <c r="Q6" i="496"/>
  <c r="R6" i="496"/>
  <c r="R114" i="496"/>
  <c r="Q114" i="496"/>
  <c r="R73" i="496"/>
  <c r="Q73" i="496"/>
  <c r="O82" i="496"/>
  <c r="R82" i="496" s="1"/>
  <c r="S70" i="496" s="1"/>
  <c r="R70" i="496"/>
  <c r="Q70" i="496"/>
  <c r="O69" i="496"/>
  <c r="R69" i="496" s="1"/>
  <c r="S57" i="496" s="1"/>
  <c r="R57" i="496"/>
  <c r="Q57" i="496"/>
  <c r="Q31" i="496"/>
  <c r="O43" i="496"/>
  <c r="R43" i="496" s="1"/>
  <c r="S31" i="496" s="1"/>
  <c r="R31" i="496"/>
  <c r="AG30" i="496"/>
  <c r="AH18" i="496" s="1"/>
  <c r="AF30" i="496"/>
  <c r="R112" i="496"/>
  <c r="Q112" i="496"/>
  <c r="O108" i="496"/>
  <c r="R96" i="496"/>
  <c r="Q96" i="496"/>
  <c r="Q74" i="496"/>
  <c r="R74" i="496"/>
  <c r="Q131" i="497"/>
  <c r="R131" i="497"/>
  <c r="Q123" i="497"/>
  <c r="R123" i="497"/>
  <c r="AG147" i="497"/>
  <c r="AH135" i="497" s="1"/>
  <c r="AF147" i="497"/>
  <c r="Q102" i="497"/>
  <c r="R102" i="497"/>
  <c r="Q83" i="497"/>
  <c r="O95" i="497"/>
  <c r="R83" i="497"/>
  <c r="R114" i="497"/>
  <c r="Q114" i="497"/>
  <c r="AF108" i="497"/>
  <c r="AG108" i="497"/>
  <c r="AH96" i="497" s="1"/>
  <c r="R97" i="497"/>
  <c r="Q97" i="497"/>
  <c r="R23" i="497"/>
  <c r="Q23" i="497"/>
  <c r="R85" i="497"/>
  <c r="Q85" i="497"/>
  <c r="AG43" i="497"/>
  <c r="AH31" i="497" s="1"/>
  <c r="AF43" i="497"/>
  <c r="Q43" i="497"/>
  <c r="R58" i="497"/>
  <c r="Q58" i="497"/>
  <c r="Q71" i="497"/>
  <c r="AF69" i="497"/>
  <c r="AG69" i="497"/>
  <c r="AH57" i="497" s="1"/>
  <c r="Q69" i="497"/>
  <c r="Q70" i="497"/>
  <c r="Q37" i="497"/>
  <c r="R37" i="497"/>
  <c r="AG173" i="496"/>
  <c r="AH161" i="496" s="1"/>
  <c r="AF173" i="496"/>
  <c r="Q33" i="497"/>
  <c r="R33" i="497"/>
  <c r="R20" i="497"/>
  <c r="Q20" i="497"/>
  <c r="Q164" i="496"/>
  <c r="R164" i="496"/>
  <c r="AG147" i="496"/>
  <c r="AH135" i="496" s="1"/>
  <c r="AF147" i="496"/>
  <c r="Q128" i="496"/>
  <c r="R128" i="496"/>
  <c r="Q127" i="496"/>
  <c r="R127" i="496"/>
  <c r="O134" i="496"/>
  <c r="Q122" i="496"/>
  <c r="R122" i="496"/>
  <c r="Q148" i="496"/>
  <c r="O160" i="496"/>
  <c r="R148" i="496"/>
  <c r="Q45" i="496"/>
  <c r="R45" i="496"/>
  <c r="Q153" i="496"/>
  <c r="R153" i="496"/>
  <c r="Q140" i="496"/>
  <c r="R140" i="496"/>
  <c r="R98" i="496"/>
  <c r="Q98" i="496"/>
  <c r="AG95" i="496"/>
  <c r="AH83" i="496" s="1"/>
  <c r="AF95" i="496"/>
  <c r="R88" i="496"/>
  <c r="Q88" i="496"/>
  <c r="Q111" i="496"/>
  <c r="R111" i="496"/>
  <c r="Q51" i="496"/>
  <c r="R51" i="496"/>
  <c r="Q9" i="496"/>
  <c r="R9" i="496"/>
  <c r="R116" i="496"/>
  <c r="Q116" i="496"/>
  <c r="Q101" i="496"/>
  <c r="Q58" i="496"/>
  <c r="R50" i="496"/>
  <c r="Q50" i="496"/>
  <c r="Q36" i="496"/>
  <c r="R36" i="496"/>
  <c r="R22" i="496"/>
  <c r="Q22" i="496"/>
  <c r="AG173" i="497"/>
  <c r="AH161" i="497" s="1"/>
  <c r="AF173" i="497"/>
  <c r="Q127" i="497"/>
  <c r="R127" i="497"/>
  <c r="Q161" i="497"/>
  <c r="O173" i="497"/>
  <c r="R161" i="497"/>
  <c r="Q122" i="497"/>
  <c r="O134" i="497"/>
  <c r="R122" i="497"/>
  <c r="R165" i="497"/>
  <c r="Q165" i="497"/>
  <c r="Q98" i="497"/>
  <c r="R98" i="497"/>
  <c r="Q88" i="497"/>
  <c r="R88" i="497"/>
  <c r="R116" i="497"/>
  <c r="Q116" i="497"/>
  <c r="R110" i="497"/>
  <c r="Q110" i="497"/>
  <c r="R89" i="497"/>
  <c r="Q89" i="497"/>
  <c r="R21" i="497"/>
  <c r="Q21" i="497"/>
  <c r="Q11" i="497"/>
  <c r="R11" i="497"/>
  <c r="R101" i="497"/>
  <c r="Q101" i="497"/>
  <c r="R56" i="497"/>
  <c r="S44" i="497" s="1"/>
  <c r="Q46" i="497"/>
  <c r="R46" i="497"/>
  <c r="Q35" i="497"/>
  <c r="R35" i="497"/>
  <c r="R70" i="497"/>
  <c r="Q149" i="496"/>
  <c r="R149" i="496"/>
  <c r="Q136" i="496"/>
  <c r="R136" i="496"/>
  <c r="Q126" i="496"/>
  <c r="R126" i="496"/>
  <c r="Q125" i="496"/>
  <c r="R125" i="496"/>
  <c r="AG134" i="496"/>
  <c r="AH122" i="496" s="1"/>
  <c r="AF134" i="496"/>
  <c r="AG160" i="496"/>
  <c r="AH148" i="496" s="1"/>
  <c r="AF160" i="496"/>
  <c r="Q44" i="496"/>
  <c r="O56" i="496"/>
  <c r="R56" i="496" s="1"/>
  <c r="S44" i="496" s="1"/>
  <c r="R44" i="496"/>
  <c r="Q142" i="496"/>
  <c r="R100" i="496"/>
  <c r="Q100" i="496"/>
  <c r="Q115" i="496"/>
  <c r="R115" i="496"/>
  <c r="R33" i="496"/>
  <c r="Q33" i="496"/>
  <c r="AG69" i="496"/>
  <c r="AH57" i="496" s="1"/>
  <c r="Q69" i="496"/>
  <c r="AF69" i="496"/>
  <c r="R46" i="496"/>
  <c r="Q46" i="496"/>
  <c r="R35" i="496"/>
  <c r="Q35" i="496"/>
  <c r="Q43" i="496"/>
  <c r="AG43" i="496"/>
  <c r="AH31" i="496" s="1"/>
  <c r="AF43" i="496"/>
  <c r="R7" i="496"/>
  <c r="Q7" i="496"/>
  <c r="Q113" i="496"/>
  <c r="R113" i="496"/>
  <c r="Q72" i="496"/>
  <c r="R72" i="496"/>
  <c r="R37" i="496"/>
  <c r="Q37" i="496"/>
  <c r="R8" i="496"/>
  <c r="Q8" i="496"/>
  <c r="AG108" i="496"/>
  <c r="AH96" i="496" s="1"/>
  <c r="AF108" i="496"/>
  <c r="Q47" i="496"/>
  <c r="R47" i="496"/>
  <c r="R134" i="497" l="1"/>
  <c r="S122" i="497" s="1"/>
  <c r="Q134" i="497"/>
  <c r="R160" i="496"/>
  <c r="S148" i="496" s="1"/>
  <c r="Q160" i="496"/>
  <c r="R134" i="496"/>
  <c r="S122" i="496" s="1"/>
  <c r="Q134" i="496"/>
  <c r="Q108" i="496"/>
  <c r="R108" i="496"/>
  <c r="S96" i="496" s="1"/>
  <c r="Q95" i="496"/>
  <c r="R95" i="496"/>
  <c r="S83" i="496" s="1"/>
  <c r="R17" i="496"/>
  <c r="S5" i="496" s="1"/>
  <c r="Q17" i="496"/>
  <c r="E2" i="496"/>
  <c r="Q173" i="496"/>
  <c r="R173" i="496"/>
  <c r="S161" i="496" s="1"/>
  <c r="R121" i="497"/>
  <c r="S109" i="497" s="1"/>
  <c r="Q121" i="497"/>
  <c r="R30" i="496"/>
  <c r="S18" i="496" s="1"/>
  <c r="Q30" i="496"/>
  <c r="R173" i="497"/>
  <c r="S161" i="497" s="1"/>
  <c r="Q173" i="497"/>
  <c r="R147" i="496"/>
  <c r="S135" i="496" s="1"/>
  <c r="Q147" i="496"/>
  <c r="R108" i="497"/>
  <c r="S96" i="497" s="1"/>
  <c r="Q108" i="497"/>
  <c r="R95" i="497"/>
  <c r="S83" i="497" s="1"/>
  <c r="Q95" i="497"/>
  <c r="R17" i="497"/>
  <c r="S5" i="497" s="1"/>
  <c r="Q17" i="497"/>
  <c r="E2" i="497"/>
  <c r="R160" i="497"/>
  <c r="S148" i="497" s="1"/>
  <c r="Q160" i="497"/>
  <c r="M32" i="495" l="1"/>
  <c r="L32" i="495"/>
  <c r="K32" i="495"/>
  <c r="J32" i="495"/>
  <c r="I32" i="495"/>
  <c r="H32" i="495"/>
  <c r="G32" i="495"/>
  <c r="F32" i="495"/>
  <c r="E32" i="495"/>
  <c r="D32" i="495"/>
  <c r="Q15" i="495"/>
  <c r="P15" i="495"/>
  <c r="O15" i="495"/>
  <c r="N15" i="495"/>
  <c r="M15" i="495"/>
  <c r="L15" i="495"/>
  <c r="K15" i="495"/>
  <c r="J15" i="495"/>
  <c r="I15" i="495"/>
  <c r="H15" i="495"/>
  <c r="G15" i="495"/>
  <c r="F15" i="495"/>
  <c r="E15" i="495"/>
  <c r="D15" i="495"/>
  <c r="L7" i="495"/>
  <c r="J7" i="495"/>
  <c r="H7" i="495"/>
  <c r="F7" i="495"/>
  <c r="L6" i="495"/>
  <c r="J6" i="495"/>
  <c r="H6" i="495"/>
  <c r="F6" i="495"/>
  <c r="L8" i="494"/>
  <c r="L7" i="494"/>
  <c r="L6" i="494"/>
  <c r="J6" i="494"/>
  <c r="H8" i="494"/>
  <c r="H7" i="494"/>
  <c r="H6" i="494"/>
  <c r="F8" i="494"/>
  <c r="F7" i="494"/>
  <c r="M32" i="494"/>
  <c r="L32" i="494"/>
  <c r="K32" i="494"/>
  <c r="J32" i="494"/>
  <c r="I32" i="494"/>
  <c r="H32" i="494"/>
  <c r="G32" i="494"/>
  <c r="J8" i="494" s="1"/>
  <c r="F32" i="494"/>
  <c r="E32" i="494"/>
  <c r="D32" i="494"/>
  <c r="Q15" i="494"/>
  <c r="P15" i="494"/>
  <c r="O15" i="494"/>
  <c r="N15" i="494"/>
  <c r="M15" i="494"/>
  <c r="L15" i="494"/>
  <c r="K15" i="494"/>
  <c r="J15" i="494"/>
  <c r="I15" i="494"/>
  <c r="H15" i="494"/>
  <c r="G15" i="494"/>
  <c r="F15" i="494"/>
  <c r="E15" i="494"/>
  <c r="D15" i="494"/>
  <c r="J7" i="494"/>
  <c r="F6" i="494"/>
  <c r="F8" i="495" l="1"/>
  <c r="J8" i="495"/>
  <c r="L8" i="495"/>
  <c r="H8" i="495"/>
</calcChain>
</file>

<file path=xl/sharedStrings.xml><?xml version="1.0" encoding="utf-8"?>
<sst xmlns="http://schemas.openxmlformats.org/spreadsheetml/2006/main" count="2919" uniqueCount="605">
  <si>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</si>
  <si>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</si>
  <si>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</si>
  <si>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</si>
  <si>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</si>
  <si>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</si>
  <si>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</si>
  <si>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</si>
  <si>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</si>
  <si>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</si>
  <si>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</si>
  <si>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</si>
  <si>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</si>
  <si>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</si>
  <si>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</si>
  <si>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</si>
  <si>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</si>
  <si>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</si>
  <si>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</si>
  <si>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</si>
  <si>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</si>
  <si>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</si>
  <si>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</si>
  <si>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</si>
  <si>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</si>
  <si>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</si>
  <si>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</si>
  <si>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</si>
  <si>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</si>
  <si>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</si>
  <si>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</si>
  <si>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</si>
  <si>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</si>
  <si>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</si>
  <si>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</si>
  <si>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</si>
  <si>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</si>
  <si>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</si>
  <si>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</si>
  <si>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</si>
  <si>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</si>
  <si>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</si>
  <si>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</si>
  <si>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</si>
  <si>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</si>
  <si>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</si>
  <si>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</si>
  <si>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</si>
  <si>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</si>
  <si>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</si>
  <si>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</si>
  <si>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</si>
  <si>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</si>
  <si>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</si>
  <si>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</si>
  <si>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</si>
  <si>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</si>
  <si>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</si>
  <si>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</si>
  <si>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</si>
  <si>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</si>
  <si>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</si>
  <si>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</si>
  <si>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</si>
  <si>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</si>
  <si>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</si>
  <si>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</si>
  <si>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</si>
  <si>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</si>
  <si>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</si>
  <si>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</si>
  <si>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</si>
  <si>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</si>
  <si>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</si>
  <si>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</si>
  <si>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</si>
  <si>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</si>
  <si>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</si>
  <si>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</si>
  <si>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</si>
  <si>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</si>
  <si>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</si>
  <si>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</si>
  <si>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</si>
  <si>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</si>
  <si>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</si>
  <si>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</si>
  <si>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</si>
  <si>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</si>
  <si>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</si>
  <si>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</si>
  <si>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</si>
  <si>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</si>
  <si>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</si>
  <si>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</si>
  <si>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</si>
  <si>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</si>
  <si>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</si>
  <si>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</si>
  <si>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</si>
  <si>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</si>
  <si>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</si>
  <si>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</si>
  <si>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</si>
  <si>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</si>
  <si>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</si>
  <si>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</si>
  <si>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</si>
  <si>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</si>
  <si>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</si>
  <si>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</si>
  <si>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</si>
  <si>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</si>
  <si>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</si>
  <si>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</si>
  <si>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</si>
  <si>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</si>
  <si>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</si>
  <si>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</si>
  <si>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</si>
  <si>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</si>
  <si>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</si>
  <si>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</si>
  <si>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</si>
  <si>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</si>
  <si>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</si>
  <si>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</si>
  <si>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</si>
  <si>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</si>
  <si>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</si>
  <si>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</si>
  <si>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</si>
  <si>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</si>
  <si>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</si>
  <si>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</si>
  <si>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</si>
  <si>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</si>
  <si>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</si>
  <si>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</si>
  <si>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</si>
  <si>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</si>
  <si>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</si>
  <si>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</si>
  <si>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</si>
  <si>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</si>
  <si>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</si>
  <si>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</si>
  <si>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香檸奶油魚排蔬滿盒</t>
  </si>
  <si>
    <t>Q彈燕麥飯</t>
  </si>
  <si>
    <t>炸醬炒泡麵</t>
  </si>
  <si>
    <t>合計次數</t>
  </si>
  <si>
    <t>時間</t>
  </si>
  <si>
    <t>設備次數</t>
  </si>
  <si>
    <t>和風涓絲冷麵</t>
  </si>
  <si>
    <t>鐵道滷排便當</t>
  </si>
  <si>
    <t>二配兩粒飯糰(鮪魚.焦糖鮭魚)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</si>
  <si>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</si>
  <si>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</si>
  <si>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</si>
  <si>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</si>
  <si>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</si>
  <si>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</si>
  <si>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</si>
  <si>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</si>
  <si>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</si>
  <si>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</si>
  <si>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</si>
  <si>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</si>
  <si>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</si>
  <si>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</si>
  <si>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</si>
  <si>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</si>
  <si>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</si>
  <si>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</si>
  <si>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</si>
  <si>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</si>
  <si>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</si>
  <si>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</si>
  <si>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</si>
  <si>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</si>
  <si>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</si>
  <si>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</si>
  <si>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>二配玉米濃湯焗烤飯</t>
  </si>
  <si>
    <t>金門高粱腿排蒜香白肉便當</t>
  </si>
  <si>
    <t>二配美味蟹煲</t>
  </si>
  <si>
    <t>西西里風烤飯糰</t>
  </si>
  <si>
    <t>二配泰式檸檬魚飯</t>
  </si>
  <si>
    <t>打拋風味豬肉拌麵</t>
  </si>
  <si>
    <t>月見烏龍冷麵</t>
  </si>
  <si>
    <t>08月01日  星期 六</t>
  </si>
  <si>
    <t>08月02日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</si>
  <si>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</si>
  <si>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</si>
  <si>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</si>
  <si>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</si>
  <si>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</si>
  <si>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</si>
  <si>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</si>
  <si>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</si>
  <si>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</si>
  <si>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</si>
  <si>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</si>
  <si>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</si>
  <si>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</si>
  <si>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</si>
  <si>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</si>
  <si>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</si>
  <si>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</si>
  <si>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</si>
  <si>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</si>
  <si>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</si>
  <si>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</si>
  <si>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</si>
  <si>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</si>
  <si>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</si>
  <si>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</si>
  <si>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</si>
  <si>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</si>
  <si>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</si>
  <si>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</si>
  <si>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</si>
  <si>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</si>
  <si>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</si>
  <si>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</si>
  <si>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</si>
  <si>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</si>
  <si>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</si>
  <si>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</si>
  <si>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</si>
  <si>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</si>
  <si>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</si>
  <si>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</si>
  <si>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</si>
  <si>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</si>
  <si>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</si>
  <si>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</si>
  <si>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</si>
  <si>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</si>
  <si>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</si>
  <si>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</si>
  <si>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</si>
  <si>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</si>
  <si>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</si>
  <si>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</si>
  <si>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</si>
  <si>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</si>
  <si>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</si>
  <si>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</si>
  <si>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</si>
  <si>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</si>
  <si>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</si>
  <si>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08月02日  星期 日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</si>
  <si>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</si>
  <si>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</si>
  <si>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</si>
  <si>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</si>
  <si>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</si>
  <si>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</si>
  <si>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</si>
  <si>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</si>
  <si>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</si>
  <si>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08月01日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</si>
  <si>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</si>
  <si>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</si>
  <si>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</si>
  <si>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</si>
  <si>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</si>
  <si>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</si>
  <si>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</si>
  <si>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</si>
  <si>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</si>
  <si>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</si>
  <si>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人時性</t>
    <phoneticPr fontId="7" type="noConversion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</si>
  <si>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</si>
  <si>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</si>
  <si>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</si>
  <si>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</si>
  <si>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</si>
  <si>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</si>
  <si>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</si>
  <si>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</si>
  <si>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</si>
  <si>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</si>
  <si>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</si>
  <si>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</si>
  <si>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</si>
  <si>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</si>
  <si>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</si>
  <si>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</si>
  <si>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</si>
  <si>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</si>
  <si>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</si>
  <si>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</si>
  <si>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</si>
  <si>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</si>
  <si>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</si>
  <si>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</si>
  <si>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</si>
  <si>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</si>
  <si>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</si>
  <si>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</si>
  <si>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</si>
  <si>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</si>
  <si>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</si>
  <si>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</si>
  <si>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</si>
  <si>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</si>
  <si>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</si>
  <si>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</si>
  <si>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</si>
  <si>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</si>
  <si>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</si>
  <si>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</si>
  <si>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</si>
  <si>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</si>
  <si>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</si>
  <si>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鮪魚飯糰</t>
  </si>
  <si>
    <t>3600型
飯糰機B</t>
    <phoneticPr fontId="7" type="noConversion"/>
  </si>
  <si>
    <t>平均</t>
    <phoneticPr fontId="7" type="noConversion"/>
  </si>
  <si>
    <t>二配 夾心型
飯糰機</t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</si>
  <si>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</si>
  <si>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</si>
  <si>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</si>
  <si>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</si>
  <si>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</si>
  <si>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</si>
  <si>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</si>
  <si>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平均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</si>
  <si>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</si>
  <si>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</si>
  <si>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</si>
  <si>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二配柚香雞胸五穀飯糰(成型)</t>
    <phoneticPr fontId="3" type="noConversion"/>
  </si>
  <si>
    <t>二配鮭魚毛豆炊飯飯糰(成型)</t>
    <phoneticPr fontId="3" type="noConversion"/>
  </si>
  <si>
    <t>二配北海道秋鮭親子飯糰</t>
  </si>
  <si>
    <t>二配贅沢鮭魚肚飯糰</t>
    <phoneticPr fontId="3" type="noConversion"/>
  </si>
  <si>
    <t>二配鮪魚飯糰</t>
  </si>
  <si>
    <t>3600型
飯糰機A</t>
    <phoneticPr fontId="7" type="noConversion"/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</si>
  <si>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</si>
  <si>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</si>
  <si>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</si>
  <si>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</si>
  <si>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</si>
  <si>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</si>
  <si>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</si>
  <si>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</si>
  <si>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>3600型
飯糰機B</t>
    <phoneticPr fontId="7" type="noConversion"/>
  </si>
  <si>
    <t>08月02日  星期日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</si>
  <si>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</si>
  <si>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</si>
  <si>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</si>
  <si>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</si>
  <si>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</si>
  <si>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</si>
  <si>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</si>
  <si>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</si>
  <si>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</si>
  <si>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</si>
  <si>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</si>
  <si>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</si>
  <si>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</si>
  <si>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</si>
  <si>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</si>
  <si>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</si>
  <si>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</si>
  <si>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</si>
  <si>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</si>
  <si>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</si>
  <si>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</si>
  <si>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壽司手卷</t>
  </si>
  <si>
    <t>08月03日  星期 一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</si>
  <si>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</si>
  <si>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</si>
  <si>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</si>
  <si>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</si>
  <si>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</si>
  <si>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08月03日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</si>
  <si>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</si>
  <si>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</si>
  <si>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</si>
  <si>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</si>
  <si>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</si>
  <si>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</si>
  <si>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</si>
  <si>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</si>
  <si>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</si>
  <si>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</si>
  <si>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</si>
  <si>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</si>
  <si>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</si>
  <si>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</si>
  <si>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</si>
  <si>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</si>
  <si>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</si>
  <si>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</si>
  <si>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</si>
  <si>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</si>
  <si>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</si>
  <si>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</si>
  <si>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</si>
  <si>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</si>
  <si>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</si>
  <si>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</si>
  <si>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</si>
  <si>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</si>
  <si>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</si>
  <si>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</si>
  <si>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</si>
  <si>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</si>
  <si>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</si>
  <si>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</si>
  <si>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</si>
  <si>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</si>
  <si>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</si>
  <si>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</si>
  <si>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</si>
  <si>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</si>
  <si>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</si>
  <si>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</si>
  <si>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</si>
  <si>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</si>
  <si>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</si>
  <si>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</si>
  <si>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</si>
  <si>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</si>
  <si>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</si>
  <si>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</si>
  <si>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</si>
  <si>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</si>
  <si>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</si>
  <si>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</si>
  <si>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</si>
  <si>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</si>
  <si>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</si>
  <si>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</si>
  <si>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</si>
  <si>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</si>
  <si>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</si>
  <si>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</si>
  <si>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</si>
  <si>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</si>
  <si>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</si>
  <si>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</si>
  <si>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</si>
  <si>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</si>
  <si>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</si>
  <si>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</si>
  <si>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</si>
  <si>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</si>
  <si>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</si>
  <si>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達成率</t>
    <phoneticPr fontId="7" type="noConversion"/>
  </si>
  <si>
    <t>達成率平均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</si>
  <si>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</si>
  <si>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</si>
  <si>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</si>
  <si>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</si>
  <si>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</si>
  <si>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</si>
  <si>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</si>
  <si>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</si>
  <si>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</si>
  <si>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</si>
  <si>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</si>
  <si>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</si>
  <si>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</si>
  <si>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</si>
  <si>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</si>
  <si>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</si>
  <si>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</si>
  <si>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</si>
  <si>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</si>
  <si>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</si>
  <si>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</si>
  <si>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</si>
  <si>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</si>
  <si>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二配排骨蛋炒飯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</si>
  <si>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</si>
  <si>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</si>
  <si>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</si>
  <si>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</si>
  <si>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</si>
  <si>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</si>
  <si>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</si>
  <si>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</si>
  <si>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</si>
  <si>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</si>
  <si>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</si>
  <si>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</si>
  <si>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</si>
  <si>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</si>
  <si>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</si>
  <si>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</si>
  <si>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</si>
  <si>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</si>
  <si>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</si>
  <si>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</si>
  <si>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</si>
  <si>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08月04日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</si>
  <si>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</si>
  <si>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</si>
  <si>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</si>
  <si>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</si>
  <si>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</si>
  <si>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</si>
  <si>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</si>
  <si>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</si>
  <si>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</si>
  <si>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</si>
  <si>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</si>
  <si>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</si>
  <si>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</si>
  <si>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</si>
  <si>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</si>
  <si>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</si>
  <si>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</si>
  <si>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</si>
  <si>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</si>
  <si>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韓式泡菜冷麵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</si>
  <si>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</si>
  <si>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</si>
  <si>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</si>
  <si>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</si>
  <si>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</si>
  <si>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</si>
  <si>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</si>
  <si>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</si>
  <si>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</si>
  <si>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</si>
  <si>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</si>
  <si>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</si>
  <si>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</si>
  <si>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</si>
  <si>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</si>
  <si>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</si>
  <si>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</si>
  <si>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</si>
  <si>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</si>
  <si>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</si>
  <si>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</si>
  <si>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</si>
  <si>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</si>
  <si>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</si>
  <si>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</si>
  <si>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</si>
  <si>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</si>
  <si>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</si>
  <si>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</si>
  <si>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</si>
  <si>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</si>
  <si>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</si>
  <si>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</si>
  <si>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</si>
  <si>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08月04日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</si>
  <si>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</si>
  <si>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</si>
  <si>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</si>
  <si>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</si>
  <si>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</si>
  <si>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</si>
  <si>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</si>
  <si>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</si>
  <si>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</si>
  <si>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</si>
  <si>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</si>
  <si>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</si>
  <si>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</si>
  <si>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</si>
  <si>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</si>
  <si>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</si>
  <si>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</si>
  <si>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</si>
  <si>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</si>
  <si>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</si>
  <si>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</si>
  <si>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</si>
  <si>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</si>
  <si>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</si>
  <si>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</si>
  <si>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</si>
  <si>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</si>
  <si>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</si>
  <si>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</si>
  <si>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</si>
  <si>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</si>
  <si>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</si>
  <si>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</si>
  <si>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</si>
  <si>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</si>
  <si>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</si>
  <si>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</si>
  <si>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</si>
  <si>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</si>
  <si>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</si>
  <si>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</si>
  <si>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</si>
  <si>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</si>
  <si>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</si>
  <si>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</si>
  <si>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</si>
  <si>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</si>
  <si>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</si>
  <si>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</si>
  <si>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</si>
  <si>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</si>
  <si>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</si>
  <si>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08月04日  星期 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</si>
</sst>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709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65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65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71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73" xfId="97" applyFont="1" applyBorder="1" applyAlignment="1">
      <alignment vertical="center"/>
    </xf>
    <xf numFmtId="0" fontId="11" fillId="0" borderId="74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75" xfId="97" applyFont="1" applyBorder="1" applyAlignment="1">
      <alignment horizontal="left" vertical="center"/>
    </xf>
    <xf numFmtId="176" fontId="11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1" fillId="0" borderId="77" xfId="237" applyFont="1" applyBorder="1" applyAlignment="1">
      <alignment horizontal="center" vertical="center"/>
    </xf>
    <xf numFmtId="0" fontId="11" fillId="0" borderId="77" xfId="97" applyFont="1" applyBorder="1" applyAlignment="1">
      <alignment horizontal="center" vertical="center"/>
    </xf>
    <xf numFmtId="1" fontId="11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59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center"/>
    </xf>
    <xf numFmtId="0" fontId="4" fillId="0" borderId="32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32" xfId="97" applyFont="1" applyBorder="1" applyAlignment="1">
      <alignment vertical="top"/>
    </xf>
    <xf numFmtId="0" fontId="4" fillId="0" borderId="91" xfId="97" applyFont="1" applyFill="1" applyBorder="1" applyAlignment="1">
      <alignment vertical="center"/>
    </xf>
    <xf numFmtId="0" fontId="4" fillId="0" borderId="92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3" xfId="97" applyFont="1" applyBorder="1" applyAlignment="1">
      <alignment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95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0" borderId="32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96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160" applyNumberFormat="1" applyFont="1" applyFill="1" applyBorder="1" applyAlignment="1">
      <alignment horizontal="center" vertical="top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40" fillId="0" borderId="3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39" fillId="2" borderId="3" xfId="2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66" xfId="1" applyFont="1" applyFill="1" applyBorder="1" applyAlignment="1">
      <alignment horizontal="center" vertical="center"/>
    </xf>
    <xf numFmtId="0" fontId="11" fillId="9" borderId="67" xfId="1" applyFont="1" applyFill="1" applyBorder="1" applyAlignment="1">
      <alignment horizontal="center" vertical="center"/>
    </xf>
    <xf numFmtId="0" fontId="11" fillId="9" borderId="68" xfId="1" applyFont="1" applyFill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90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96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94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4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1" fillId="0" borderId="81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1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9" sqref="L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2" t="s">
        <v>0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1"/>
      <c r="O1" s="1"/>
    </row>
    <row r="2" spans="2:17" ht="27.75" customHeight="1">
      <c r="B2" s="502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4"/>
      <c r="N2" s="1"/>
      <c r="O2" s="1"/>
    </row>
    <row r="3" spans="2:17" ht="46.5" customHeight="1">
      <c r="B3" s="505" t="s">
        <v>1</v>
      </c>
      <c r="C3" s="506"/>
      <c r="D3" s="507" t="s">
        <v>189</v>
      </c>
      <c r="E3" s="508"/>
      <c r="F3" s="505" t="s">
        <v>2</v>
      </c>
      <c r="G3" s="506"/>
      <c r="H3" s="509">
        <v>223357.85</v>
      </c>
      <c r="I3" s="510"/>
      <c r="J3" s="505" t="s">
        <v>3</v>
      </c>
      <c r="K3" s="506"/>
      <c r="L3" s="500">
        <v>7358542.5946254507</v>
      </c>
      <c r="M3" s="501"/>
      <c r="N3" s="289"/>
      <c r="O3" s="289"/>
      <c r="P3" s="289"/>
      <c r="Q3" s="289"/>
    </row>
    <row r="4" spans="2:17" ht="24" customHeight="1">
      <c r="B4" s="505" t="s">
        <v>107</v>
      </c>
      <c r="C4" s="506"/>
      <c r="D4" s="522" t="s">
        <v>107</v>
      </c>
      <c r="E4" s="523"/>
      <c r="F4" s="498" t="s">
        <v>108</v>
      </c>
      <c r="G4" s="499"/>
      <c r="H4" s="498" t="s">
        <v>109</v>
      </c>
      <c r="I4" s="499"/>
      <c r="J4" s="498" t="s">
        <v>110</v>
      </c>
      <c r="K4" s="499"/>
      <c r="L4" s="500" t="s">
        <v>111</v>
      </c>
      <c r="M4" s="501"/>
      <c r="N4" s="514" t="s">
        <v>4</v>
      </c>
      <c r="O4" s="515"/>
      <c r="P4" s="515" t="s">
        <v>5</v>
      </c>
      <c r="Q4" s="515"/>
    </row>
    <row r="5" spans="2:17" ht="24" customHeight="1">
      <c r="B5" s="516" t="s">
        <v>35</v>
      </c>
      <c r="C5" s="517"/>
      <c r="D5" s="522" t="s">
        <v>112</v>
      </c>
      <c r="E5" s="523"/>
      <c r="F5" s="522" t="s">
        <v>6</v>
      </c>
      <c r="G5" s="523"/>
      <c r="H5" s="524" t="s">
        <v>7</v>
      </c>
      <c r="I5" s="525"/>
      <c r="J5" s="526" t="s">
        <v>8</v>
      </c>
      <c r="K5" s="527"/>
      <c r="L5" s="528" t="s">
        <v>9</v>
      </c>
      <c r="M5" s="52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518"/>
      <c r="C6" s="519"/>
      <c r="D6" s="505" t="s">
        <v>10</v>
      </c>
      <c r="E6" s="506"/>
      <c r="F6" s="530">
        <f>AVERAGE(D13:O13,P13:Q13,D30:E30,G30:H30,K30:M30)</f>
        <v>360.92612225494258</v>
      </c>
      <c r="G6" s="531"/>
      <c r="H6" s="543">
        <f>AVERAGE(D13:P13,Q13)</f>
        <v>145.31775481098532</v>
      </c>
      <c r="I6" s="544"/>
      <c r="J6" s="543">
        <f>AVERAGE(D30:E30,G30:H30)</f>
        <v>711.25</v>
      </c>
      <c r="K6" s="544"/>
      <c r="L6" s="545">
        <f>AVERAGE(K30:M30)</f>
        <v>900</v>
      </c>
      <c r="M6" s="546"/>
      <c r="N6" s="547">
        <v>0</v>
      </c>
      <c r="O6" s="534">
        <v>0</v>
      </c>
      <c r="P6" s="511">
        <v>5</v>
      </c>
      <c r="Q6" s="534">
        <v>3</v>
      </c>
    </row>
    <row r="7" spans="2:17" s="5" customFormat="1" ht="39.6" customHeight="1">
      <c r="B7" s="518"/>
      <c r="C7" s="519"/>
      <c r="D7" s="535" t="s">
        <v>11</v>
      </c>
      <c r="E7" s="536"/>
      <c r="F7" s="537">
        <f>AVERAGE(D14:O14,P14:Q14,D31:E31,K31:M31,G31:H31)</f>
        <v>343.88787883985617</v>
      </c>
      <c r="G7" s="538"/>
      <c r="H7" s="539">
        <f>AVERAGE(D14:P14,Q14)</f>
        <v>129.51138531519209</v>
      </c>
      <c r="I7" s="540"/>
      <c r="J7" s="539">
        <f>AVERAGE(D31:E31,G31:H31)</f>
        <v>755.36654467974267</v>
      </c>
      <c r="K7" s="540"/>
      <c r="L7" s="541">
        <f>AVERAGE(K31:M31)</f>
        <v>795.67329416844007</v>
      </c>
      <c r="M7" s="542"/>
      <c r="N7" s="547"/>
      <c r="O7" s="534"/>
      <c r="P7" s="511"/>
      <c r="Q7" s="534"/>
    </row>
    <row r="8" spans="2:17" s="5" customFormat="1" ht="39.6" customHeight="1">
      <c r="B8" s="520"/>
      <c r="C8" s="521"/>
      <c r="D8" s="535" t="s">
        <v>12</v>
      </c>
      <c r="E8" s="536"/>
      <c r="F8" s="512">
        <f>AVERAGE(D15:O15,P15:Q15,D32:E32,G32:H32,K32:M32)</f>
        <v>0.90875770583460502</v>
      </c>
      <c r="G8" s="513"/>
      <c r="H8" s="512">
        <f>AVERAGE(D15:O15,P15:Q15)</f>
        <v>0.88522390134656959</v>
      </c>
      <c r="I8" s="513"/>
      <c r="J8" s="512">
        <f>AVERAGE(D32:E32,G32:H32)</f>
        <v>1.0096332224449829</v>
      </c>
      <c r="K8" s="513"/>
      <c r="L8" s="512">
        <f>AVERAGE(K32:M32)</f>
        <v>0.88408143796493344</v>
      </c>
      <c r="M8" s="513"/>
      <c r="N8" s="547"/>
      <c r="O8" s="534"/>
      <c r="P8" s="511"/>
      <c r="Q8" s="53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548" t="s">
        <v>116</v>
      </c>
      <c r="C10" s="549"/>
      <c r="D10" s="550" t="s">
        <v>117</v>
      </c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2"/>
    </row>
    <row r="11" spans="2:17" ht="17.25" customHeight="1">
      <c r="B11" s="553" t="s">
        <v>118</v>
      </c>
      <c r="C11" s="51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554"/>
      <c r="C12" s="52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555" t="s">
        <v>35</v>
      </c>
      <c r="C13" s="14" t="s">
        <v>132</v>
      </c>
      <c r="D13" s="19">
        <v>137.9874195292152</v>
      </c>
      <c r="E13" s="19">
        <v>112.87163054695561</v>
      </c>
      <c r="F13" s="19">
        <v>134.92219424881964</v>
      </c>
      <c r="G13" s="19">
        <v>314.44047619047615</v>
      </c>
      <c r="H13" s="19">
        <v>228.57142857142858</v>
      </c>
      <c r="I13" s="19">
        <v>86.912229102167174</v>
      </c>
      <c r="J13" s="19">
        <v>84.79551820728291</v>
      </c>
      <c r="K13" s="19">
        <v>97.500758636788063</v>
      </c>
      <c r="L13" s="19">
        <v>92.981837950491212</v>
      </c>
      <c r="M13" s="19">
        <v>81.409101457347077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556"/>
      <c r="C14" s="14" t="s">
        <v>133</v>
      </c>
      <c r="D14" s="19">
        <v>128.08191140227368</v>
      </c>
      <c r="E14" s="19">
        <v>94.584695502263102</v>
      </c>
      <c r="F14" s="19">
        <v>117.59814265033228</v>
      </c>
      <c r="G14" s="19">
        <v>281.23569718171859</v>
      </c>
      <c r="H14" s="19">
        <v>221.14789753549354</v>
      </c>
      <c r="I14" s="19">
        <v>78.283025705935898</v>
      </c>
      <c r="J14" s="19">
        <v>72.444808403416218</v>
      </c>
      <c r="K14" s="19">
        <v>82.807957898688187</v>
      </c>
      <c r="L14" s="19">
        <v>82.380989042545792</v>
      </c>
      <c r="M14" s="19">
        <v>70.092048303361935</v>
      </c>
      <c r="N14" s="19">
        <v>77.419887456554591</v>
      </c>
      <c r="O14" s="19">
        <v>208.70897932816584</v>
      </c>
      <c r="P14" s="19">
        <v>167.97510225368785</v>
      </c>
      <c r="Q14" s="9">
        <v>130.39825174825185</v>
      </c>
    </row>
    <row r="15" spans="2:17" ht="39.9" customHeight="1">
      <c r="B15" s="557"/>
      <c r="C15" s="290" t="s">
        <v>134</v>
      </c>
      <c r="D15" s="10">
        <f t="shared" ref="D15:Q15" si="0">D14/D13</f>
        <v>0.92821441142433792</v>
      </c>
      <c r="E15" s="10">
        <f t="shared" si="0"/>
        <v>0.83798466491467061</v>
      </c>
      <c r="F15" s="10">
        <f t="shared" si="0"/>
        <v>0.87159968976980284</v>
      </c>
      <c r="G15" s="10">
        <f t="shared" si="0"/>
        <v>0.89440043021483229</v>
      </c>
      <c r="H15" s="10">
        <f t="shared" si="0"/>
        <v>0.96752205171778416</v>
      </c>
      <c r="I15" s="10">
        <f t="shared" si="0"/>
        <v>0.90071358788775902</v>
      </c>
      <c r="J15" s="10">
        <f t="shared" si="0"/>
        <v>0.85434713927126027</v>
      </c>
      <c r="K15" s="10">
        <f t="shared" si="0"/>
        <v>0.8493057803495272</v>
      </c>
      <c r="L15" s="10">
        <f t="shared" si="0"/>
        <v>0.88599011224546975</v>
      </c>
      <c r="M15" s="10">
        <f t="shared" si="0"/>
        <v>0.86098540640551691</v>
      </c>
      <c r="N15" s="10">
        <f t="shared" si="0"/>
        <v>0.8897400379124718</v>
      </c>
      <c r="O15" s="10">
        <f t="shared" si="0"/>
        <v>0.85575435715421078</v>
      </c>
      <c r="P15" s="292">
        <f t="shared" si="0"/>
        <v>0.92725527126265239</v>
      </c>
      <c r="Q15" s="11">
        <f t="shared" si="0"/>
        <v>0.86932167832167906</v>
      </c>
    </row>
    <row r="16" spans="2:17" ht="22.8" customHeight="1">
      <c r="B16" s="558" t="s">
        <v>135</v>
      </c>
      <c r="C16" s="290" t="s">
        <v>136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0.40625</v>
      </c>
    </row>
    <row r="17" spans="2:23" ht="22.8" customHeight="1">
      <c r="B17" s="559"/>
      <c r="C17" s="290" t="s">
        <v>36</v>
      </c>
      <c r="D17" s="12">
        <v>0.6333333333333333</v>
      </c>
      <c r="E17" s="12">
        <v>0.54791666666666661</v>
      </c>
      <c r="F17" s="12">
        <v>0.54861111111111105</v>
      </c>
      <c r="G17" s="12">
        <v>0.57222222222222219</v>
      </c>
      <c r="H17" s="12">
        <v>0.58958333333333335</v>
      </c>
      <c r="I17" s="12">
        <v>0.63194444444444442</v>
      </c>
      <c r="J17" s="12">
        <v>0.71388888888888868</v>
      </c>
      <c r="K17" s="12">
        <v>0.69652777777777752</v>
      </c>
      <c r="L17" s="12">
        <v>0.97291666666666665</v>
      </c>
      <c r="M17" s="12">
        <v>0.9708333333333331</v>
      </c>
      <c r="N17" s="12">
        <v>0.96875</v>
      </c>
      <c r="O17" s="22">
        <v>0.77222222222222214</v>
      </c>
      <c r="P17" s="12">
        <v>0.53680555555555554</v>
      </c>
      <c r="Q17" s="293">
        <v>0.56597222222222221</v>
      </c>
    </row>
    <row r="18" spans="2:23" ht="22.8" customHeight="1">
      <c r="B18" s="53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53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532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533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560" t="s">
        <v>140</v>
      </c>
      <c r="C22" s="506"/>
      <c r="D22" s="297">
        <v>18.833333333333332</v>
      </c>
      <c r="E22" s="297">
        <v>17</v>
      </c>
      <c r="F22" s="297">
        <v>15.714285714285714</v>
      </c>
      <c r="G22" s="297">
        <v>6.125</v>
      </c>
      <c r="H22" s="297">
        <v>6.6</v>
      </c>
      <c r="I22" s="297">
        <v>17.399999999999999</v>
      </c>
      <c r="J22" s="297">
        <v>17.571428571428573</v>
      </c>
      <c r="K22" s="297">
        <v>17.714285714285715</v>
      </c>
      <c r="L22" s="297">
        <v>17.100000000000001</v>
      </c>
      <c r="M22" s="297">
        <v>18.8</v>
      </c>
      <c r="N22" s="297">
        <v>17.2</v>
      </c>
      <c r="O22" s="297">
        <v>9.6666666666666661</v>
      </c>
      <c r="P22" s="297">
        <v>12.75</v>
      </c>
      <c r="Q22" s="298">
        <v>12.25</v>
      </c>
    </row>
    <row r="23" spans="2:23" ht="22.8" customHeight="1">
      <c r="B23" s="560" t="s">
        <v>141</v>
      </c>
      <c r="C23" s="50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0" t="s">
        <v>142</v>
      </c>
      <c r="C24" s="50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1" t="s">
        <v>143</v>
      </c>
      <c r="C25" s="56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548"/>
      <c r="C27" s="573"/>
      <c r="D27" s="565" t="s">
        <v>144</v>
      </c>
      <c r="E27" s="566"/>
      <c r="F27" s="566"/>
      <c r="G27" s="566"/>
      <c r="H27" s="567"/>
      <c r="I27" s="568" t="s">
        <v>145</v>
      </c>
      <c r="J27" s="569"/>
      <c r="K27" s="569"/>
      <c r="L27" s="569"/>
      <c r="M27" s="570"/>
      <c r="N27" s="289"/>
      <c r="O27" s="289"/>
      <c r="P27" s="289"/>
      <c r="Q27" s="289"/>
    </row>
    <row r="28" spans="2:23" ht="17.25" customHeight="1">
      <c r="B28" s="553" t="s">
        <v>118</v>
      </c>
      <c r="C28" s="571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554"/>
      <c r="C29" s="57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555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556"/>
      <c r="C31" s="303" t="s">
        <v>133</v>
      </c>
      <c r="D31" s="305">
        <v>167.59946275946274</v>
      </c>
      <c r="E31" s="8">
        <v>1046.9659090909097</v>
      </c>
      <c r="F31" s="8">
        <v>0</v>
      </c>
      <c r="G31" s="8">
        <v>877.50424993715785</v>
      </c>
      <c r="H31" s="306">
        <v>929.39655693144039</v>
      </c>
      <c r="I31" s="305">
        <v>0</v>
      </c>
      <c r="J31" s="8">
        <v>0</v>
      </c>
      <c r="K31" s="8">
        <v>771.03333333333251</v>
      </c>
      <c r="L31" s="8">
        <v>729.13961039169556</v>
      </c>
      <c r="M31" s="306">
        <v>886.84693878029225</v>
      </c>
      <c r="N31" s="289"/>
      <c r="O31" s="289"/>
      <c r="P31" s="289"/>
      <c r="Q31" s="289"/>
    </row>
    <row r="32" spans="2:23" ht="39.9" customHeight="1">
      <c r="B32" s="557"/>
      <c r="C32" s="324" t="s">
        <v>134</v>
      </c>
      <c r="D32" s="307">
        <f t="shared" ref="D32:M32" si="1">D31/D30</f>
        <v>0.76181573981573969</v>
      </c>
      <c r="E32" s="10">
        <f t="shared" si="1"/>
        <v>1.2690495867768603</v>
      </c>
      <c r="F32" s="10">
        <f t="shared" si="1"/>
        <v>0</v>
      </c>
      <c r="G32" s="10">
        <f t="shared" si="1"/>
        <v>0.97500472215239764</v>
      </c>
      <c r="H32" s="10">
        <f t="shared" si="1"/>
        <v>1.0326628410349337</v>
      </c>
      <c r="I32" s="305">
        <f t="shared" si="1"/>
        <v>0</v>
      </c>
      <c r="J32" s="10">
        <f t="shared" si="1"/>
        <v>0</v>
      </c>
      <c r="K32" s="10">
        <f t="shared" si="1"/>
        <v>0.85670370370370275</v>
      </c>
      <c r="L32" s="10">
        <f t="shared" si="1"/>
        <v>0.8101551226574395</v>
      </c>
      <c r="M32" s="11">
        <f t="shared" si="1"/>
        <v>0.98538548753365807</v>
      </c>
      <c r="N32" s="289"/>
      <c r="O32" s="289"/>
      <c r="P32" s="289"/>
      <c r="Q32" s="289"/>
    </row>
    <row r="33" spans="2:17" ht="25.8" customHeight="1">
      <c r="B33" s="558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2760.00000000001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289"/>
      <c r="O33" s="289"/>
      <c r="P33" s="289"/>
      <c r="Q33" s="289"/>
    </row>
    <row r="34" spans="2:17" ht="25.8" customHeight="1">
      <c r="B34" s="559"/>
      <c r="C34" s="324" t="s">
        <v>36</v>
      </c>
      <c r="D34" s="308">
        <v>0.36458333333333331</v>
      </c>
      <c r="E34" s="12">
        <v>0.34097222222222223</v>
      </c>
      <c r="F34" s="12">
        <v>0</v>
      </c>
      <c r="G34" s="12">
        <v>1047.7777777777771</v>
      </c>
      <c r="H34" s="293">
        <v>0.46319444444444446</v>
      </c>
      <c r="I34" s="23">
        <v>0</v>
      </c>
      <c r="J34" s="12">
        <v>0</v>
      </c>
      <c r="K34" s="12">
        <v>0.79166666666666663</v>
      </c>
      <c r="L34" s="12">
        <v>46236.065972222219</v>
      </c>
      <c r="M34" s="13">
        <v>46236.010416666664</v>
      </c>
      <c r="N34" s="289"/>
      <c r="O34" s="289"/>
      <c r="P34" s="289"/>
      <c r="Q34" s="289"/>
    </row>
    <row r="35" spans="2:17" ht="25.8" customHeight="1">
      <c r="B35" s="560" t="s">
        <v>140</v>
      </c>
      <c r="C35" s="56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560" t="s">
        <v>141</v>
      </c>
      <c r="C36" s="56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560" t="s">
        <v>142</v>
      </c>
      <c r="C37" s="56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561" t="s">
        <v>143</v>
      </c>
      <c r="C38" s="56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71120</v>
      </c>
      <c r="F1" s="351" t="s">
        <v>3</v>
      </c>
      <c r="G1" s="352">
        <f>SUM(H5:H124)</f>
        <v>1311507.2141558439</v>
      </c>
      <c r="H1" s="353" t="s">
        <v>258</v>
      </c>
      <c r="I1" s="354">
        <f>+J16+J64+J24+J38+J51+J81+J100+J91+J57+J124+J111</f>
        <v>44.002380952380953</v>
      </c>
      <c r="J1" s="615" t="s">
        <v>259</v>
      </c>
      <c r="K1" s="616"/>
      <c r="L1" s="617"/>
      <c r="M1" s="615" t="s">
        <v>260</v>
      </c>
      <c r="N1" s="616"/>
      <c r="O1" s="616"/>
      <c r="P1" s="616"/>
      <c r="Q1" s="616"/>
      <c r="R1" s="617"/>
    </row>
    <row r="2" spans="1:18" ht="26.25" customHeight="1" thickBot="1">
      <c r="A2" s="621" t="s">
        <v>261</v>
      </c>
      <c r="B2" s="622"/>
      <c r="C2" s="356"/>
      <c r="D2" s="357" t="s">
        <v>262</v>
      </c>
      <c r="E2" s="358">
        <f>AVERAGE(L16,L24,L38,L51,L100,L111,L91)</f>
        <v>569.02731346473047</v>
      </c>
      <c r="F2" s="359" t="s">
        <v>40</v>
      </c>
      <c r="G2" s="360">
        <f>G1/E1</f>
        <v>18.440765103428628</v>
      </c>
      <c r="H2" s="361" t="s">
        <v>263</v>
      </c>
      <c r="I2" s="362">
        <f>COUNT(I5:I124)</f>
        <v>0</v>
      </c>
      <c r="J2" s="618"/>
      <c r="K2" s="619"/>
      <c r="L2" s="620"/>
      <c r="M2" s="618"/>
      <c r="N2" s="619"/>
      <c r="O2" s="619"/>
      <c r="P2" s="619"/>
      <c r="Q2" s="619"/>
      <c r="R2" s="620"/>
    </row>
    <row r="3" spans="1:18" ht="23.25" customHeight="1">
      <c r="A3" s="623" t="s">
        <v>264</v>
      </c>
      <c r="B3" s="625" t="s">
        <v>265</v>
      </c>
      <c r="C3" s="363"/>
      <c r="D3" s="626" t="s">
        <v>266</v>
      </c>
      <c r="E3" s="626"/>
      <c r="F3" s="627" t="s">
        <v>43</v>
      </c>
      <c r="G3" s="628" t="s">
        <v>267</v>
      </c>
      <c r="H3" s="629" t="s">
        <v>268</v>
      </c>
      <c r="I3" s="630" t="s">
        <v>269</v>
      </c>
      <c r="J3" s="603" t="s">
        <v>270</v>
      </c>
      <c r="K3" s="605" t="s">
        <v>271</v>
      </c>
      <c r="L3" s="607" t="s">
        <v>272</v>
      </c>
      <c r="M3" s="632" t="s">
        <v>48</v>
      </c>
      <c r="N3" s="632"/>
      <c r="O3" s="603" t="s">
        <v>273</v>
      </c>
      <c r="P3" s="633" t="s">
        <v>274</v>
      </c>
      <c r="Q3" s="603" t="s">
        <v>275</v>
      </c>
      <c r="R3" s="603"/>
    </row>
    <row r="4" spans="1:18" ht="15.75" customHeight="1">
      <c r="A4" s="624"/>
      <c r="B4" s="625"/>
      <c r="C4" s="363"/>
      <c r="D4" s="626"/>
      <c r="E4" s="626"/>
      <c r="F4" s="627"/>
      <c r="G4" s="628"/>
      <c r="H4" s="629"/>
      <c r="I4" s="631"/>
      <c r="J4" s="604"/>
      <c r="K4" s="606"/>
      <c r="L4" s="608"/>
      <c r="M4" s="364" t="s">
        <v>50</v>
      </c>
      <c r="N4" s="364" t="s">
        <v>51</v>
      </c>
      <c r="O4" s="604"/>
      <c r="P4" s="634"/>
      <c r="Q4" s="365" t="s">
        <v>276</v>
      </c>
      <c r="R4" s="365" t="s">
        <v>277</v>
      </c>
    </row>
    <row r="5" spans="1:18">
      <c r="A5" s="609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580</v>
      </c>
      <c r="H5" s="370">
        <f>F5*G5</f>
        <v>14871.2</v>
      </c>
      <c r="I5" s="371"/>
      <c r="J5" s="372">
        <v>10</v>
      </c>
      <c r="K5" s="373">
        <f t="shared" ref="K5:K8" si="0">G5/P5*60</f>
        <v>1392.0000000000005</v>
      </c>
      <c r="L5" s="374">
        <f t="shared" ref="L5:L8" si="1">K5/J5</f>
        <v>139.20000000000005</v>
      </c>
      <c r="M5" s="375">
        <v>0.40625</v>
      </c>
      <c r="N5" s="375">
        <v>0.4236111111111111</v>
      </c>
      <c r="O5" s="365">
        <v>5</v>
      </c>
      <c r="P5" s="376">
        <f t="shared" ref="P5:P8" si="2">(N5-M5)*24*60</f>
        <v>24.999999999999993</v>
      </c>
      <c r="Q5" s="377"/>
      <c r="R5" s="377"/>
    </row>
    <row r="6" spans="1:18">
      <c r="A6" s="609"/>
      <c r="B6" s="366" t="s">
        <v>368</v>
      </c>
      <c r="C6" s="366"/>
      <c r="D6" s="367" t="s">
        <v>280</v>
      </c>
      <c r="E6" s="368"/>
      <c r="F6" s="369">
        <v>29.85</v>
      </c>
      <c r="G6" s="363">
        <v>1685</v>
      </c>
      <c r="H6" s="370">
        <f t="shared" ref="H6:H15" si="3">F6*G6</f>
        <v>50297.25</v>
      </c>
      <c r="I6" s="371"/>
      <c r="J6" s="372">
        <v>13</v>
      </c>
      <c r="K6" s="373">
        <f t="shared" si="0"/>
        <v>1684.9999999999993</v>
      </c>
      <c r="L6" s="374">
        <f t="shared" si="1"/>
        <v>129.61538461538456</v>
      </c>
      <c r="M6" s="375">
        <v>0.42708333333333331</v>
      </c>
      <c r="N6" s="375">
        <v>0.46875</v>
      </c>
      <c r="O6" s="365">
        <v>5</v>
      </c>
      <c r="P6" s="376">
        <f t="shared" si="2"/>
        <v>60.000000000000028</v>
      </c>
      <c r="Q6" s="365"/>
      <c r="R6" s="365"/>
    </row>
    <row r="7" spans="1:18">
      <c r="A7" s="609"/>
      <c r="B7" s="366" t="s">
        <v>368</v>
      </c>
      <c r="C7" s="366"/>
      <c r="D7" s="367" t="s">
        <v>281</v>
      </c>
      <c r="E7" s="368"/>
      <c r="F7" s="369">
        <v>29.52</v>
      </c>
      <c r="G7" s="363">
        <v>1506</v>
      </c>
      <c r="H7" s="370">
        <f t="shared" si="3"/>
        <v>44457.120000000003</v>
      </c>
      <c r="I7" s="371"/>
      <c r="J7" s="372">
        <v>13</v>
      </c>
      <c r="K7" s="373">
        <f t="shared" si="0"/>
        <v>1642.9090909090944</v>
      </c>
      <c r="L7" s="374">
        <f t="shared" si="1"/>
        <v>126.37762237762264</v>
      </c>
      <c r="M7" s="375">
        <v>0.47222222222222227</v>
      </c>
      <c r="N7" s="375">
        <v>0.51041666666666663</v>
      </c>
      <c r="O7" s="365">
        <v>5</v>
      </c>
      <c r="P7" s="376">
        <f t="shared" si="2"/>
        <v>54.999999999999886</v>
      </c>
      <c r="Q7" s="377"/>
      <c r="R7" s="377"/>
    </row>
    <row r="8" spans="1:18">
      <c r="A8" s="609"/>
      <c r="B8" s="366" t="s">
        <v>104</v>
      </c>
      <c r="C8" s="366"/>
      <c r="D8" s="367" t="s">
        <v>282</v>
      </c>
      <c r="E8" s="368"/>
      <c r="F8" s="369">
        <v>30</v>
      </c>
      <c r="G8" s="363">
        <v>2054</v>
      </c>
      <c r="H8" s="370">
        <f t="shared" si="3"/>
        <v>61620</v>
      </c>
      <c r="I8" s="371"/>
      <c r="J8" s="372">
        <v>13</v>
      </c>
      <c r="K8" s="373">
        <f t="shared" si="0"/>
        <v>1643.2000000000025</v>
      </c>
      <c r="L8" s="374">
        <f t="shared" si="1"/>
        <v>126.40000000000019</v>
      </c>
      <c r="M8" s="375">
        <v>0.51388888888888895</v>
      </c>
      <c r="N8" s="375">
        <v>0.56597222222222221</v>
      </c>
      <c r="O8" s="365">
        <v>5</v>
      </c>
      <c r="P8" s="376">
        <f t="shared" si="2"/>
        <v>74.999999999999886</v>
      </c>
      <c r="Q8" s="377"/>
      <c r="R8" s="377"/>
    </row>
    <row r="9" spans="1:18">
      <c r="A9" s="60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60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60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610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61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61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61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611"/>
      <c r="B16" s="366">
        <v>0</v>
      </c>
      <c r="C16" s="383" t="s">
        <v>283</v>
      </c>
      <c r="D16" s="594" t="s">
        <v>284</v>
      </c>
      <c r="E16" s="594"/>
      <c r="F16" s="384"/>
      <c r="G16" s="385"/>
      <c r="H16" s="386"/>
      <c r="I16" s="387"/>
      <c r="J16" s="388">
        <f>AVERAGE(J5:J15)</f>
        <v>12.25</v>
      </c>
      <c r="K16" s="388">
        <f>AVERAGE(K5:K15)</f>
        <v>1590.7772727272743</v>
      </c>
      <c r="L16" s="389">
        <f>AVERAGE(L5:L15)</f>
        <v>130.39825174825185</v>
      </c>
      <c r="M16" s="375"/>
      <c r="N16" s="375"/>
      <c r="O16" s="373"/>
      <c r="P16" s="373"/>
      <c r="Q16" s="374"/>
      <c r="R16" s="374"/>
    </row>
    <row r="17" spans="1:18" ht="15.75" customHeight="1">
      <c r="A17" s="612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2054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1760.5714285714278</v>
      </c>
      <c r="L17" s="374">
        <f>K17/J17</f>
        <v>176.05714285714276</v>
      </c>
      <c r="M17" s="375">
        <v>0.17013888888888887</v>
      </c>
      <c r="N17" s="375">
        <v>0.21875</v>
      </c>
      <c r="O17" s="365">
        <v>5</v>
      </c>
      <c r="P17" s="376">
        <f>(N17-M17)*24*60</f>
        <v>70.000000000000028</v>
      </c>
      <c r="Q17" s="365"/>
      <c r="R17" s="365"/>
    </row>
    <row r="18" spans="1:18" ht="15.75" customHeight="1">
      <c r="A18" s="612"/>
      <c r="B18" s="366">
        <v>0</v>
      </c>
      <c r="C18" s="379"/>
      <c r="D18" s="367" t="s">
        <v>287</v>
      </c>
      <c r="E18" s="367"/>
      <c r="F18" s="369" t="s">
        <v>106</v>
      </c>
      <c r="G18" s="380">
        <v>1685</v>
      </c>
      <c r="H18" s="370">
        <f t="shared" si="4"/>
        <v>0</v>
      </c>
      <c r="I18" s="371"/>
      <c r="J18" s="372">
        <v>9</v>
      </c>
      <c r="K18" s="373">
        <f t="shared" si="5"/>
        <v>1684.9999999999993</v>
      </c>
      <c r="L18" s="374">
        <f t="shared" ref="L18:L21" si="6">K18/J18</f>
        <v>187.22222222222214</v>
      </c>
      <c r="M18" s="375">
        <v>0.22222222222222221</v>
      </c>
      <c r="N18" s="375">
        <v>0.2638888888888889</v>
      </c>
      <c r="O18" s="365">
        <v>5</v>
      </c>
      <c r="P18" s="376">
        <f t="shared" ref="P18:P21" si="7">(N18-M18)*24*60</f>
        <v>60.000000000000028</v>
      </c>
      <c r="Q18" s="377"/>
      <c r="R18" s="377"/>
    </row>
    <row r="19" spans="1:18" ht="15.75" customHeight="1">
      <c r="A19" s="612"/>
      <c r="B19" s="366">
        <v>0</v>
      </c>
      <c r="C19" s="379"/>
      <c r="D19" s="367" t="s">
        <v>288</v>
      </c>
      <c r="E19" s="367"/>
      <c r="F19" s="369" t="s">
        <v>106</v>
      </c>
      <c r="G19" s="380">
        <v>1506</v>
      </c>
      <c r="H19" s="370">
        <f t="shared" si="4"/>
        <v>0</v>
      </c>
      <c r="I19" s="371"/>
      <c r="J19" s="372">
        <v>9</v>
      </c>
      <c r="K19" s="373">
        <f t="shared" si="5"/>
        <v>1505.9999999999993</v>
      </c>
      <c r="L19" s="374">
        <f t="shared" si="6"/>
        <v>167.33333333333326</v>
      </c>
      <c r="M19" s="375">
        <v>0.2673611111111111</v>
      </c>
      <c r="N19" s="375">
        <v>0.30902777777777779</v>
      </c>
      <c r="O19" s="365">
        <v>5</v>
      </c>
      <c r="P19" s="376">
        <f t="shared" si="7"/>
        <v>60.000000000000028</v>
      </c>
      <c r="Q19" s="377"/>
      <c r="R19" s="377"/>
    </row>
    <row r="20" spans="1:18" ht="15.75" customHeight="1">
      <c r="A20" s="613"/>
      <c r="B20" s="366" t="s">
        <v>368</v>
      </c>
      <c r="C20" s="379"/>
      <c r="D20" s="367" t="s">
        <v>289</v>
      </c>
      <c r="E20" s="367"/>
      <c r="F20" s="369">
        <v>19.63</v>
      </c>
      <c r="G20" s="380">
        <v>702</v>
      </c>
      <c r="H20" s="370">
        <f t="shared" si="4"/>
        <v>13780.259999999998</v>
      </c>
      <c r="I20" s="371"/>
      <c r="J20" s="372">
        <v>13</v>
      </c>
      <c r="K20" s="373">
        <f t="shared" si="5"/>
        <v>2105.9999999999991</v>
      </c>
      <c r="L20" s="374">
        <f t="shared" si="6"/>
        <v>161.99999999999994</v>
      </c>
      <c r="M20" s="375">
        <v>0.31597222222222221</v>
      </c>
      <c r="N20" s="375">
        <v>0.3298611111111111</v>
      </c>
      <c r="O20" s="365">
        <v>5</v>
      </c>
      <c r="P20" s="376">
        <f t="shared" si="7"/>
        <v>20.000000000000007</v>
      </c>
      <c r="Q20" s="377"/>
      <c r="R20" s="377"/>
    </row>
    <row r="21" spans="1:18" ht="15.75" customHeight="1">
      <c r="A21" s="613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1260</v>
      </c>
      <c r="H21" s="370">
        <f t="shared" si="4"/>
        <v>45927</v>
      </c>
      <c r="I21" s="371"/>
      <c r="J21" s="372">
        <v>13</v>
      </c>
      <c r="K21" s="373">
        <f t="shared" si="5"/>
        <v>1890.000000000003</v>
      </c>
      <c r="L21" s="374">
        <f t="shared" si="6"/>
        <v>145.38461538461561</v>
      </c>
      <c r="M21" s="375">
        <v>0.33680555555555558</v>
      </c>
      <c r="N21" s="375">
        <v>0.36458333333333331</v>
      </c>
      <c r="O21" s="365">
        <v>5</v>
      </c>
      <c r="P21" s="376">
        <f t="shared" si="7"/>
        <v>39.999999999999936</v>
      </c>
      <c r="Q21" s="377">
        <v>0.36458333333333331</v>
      </c>
      <c r="R21" s="377">
        <v>0.40625</v>
      </c>
    </row>
    <row r="22" spans="1:18" ht="15.75" customHeight="1">
      <c r="A22" s="613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613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614"/>
      <c r="B24" s="366">
        <v>0</v>
      </c>
      <c r="C24" s="6" t="s">
        <v>291</v>
      </c>
      <c r="D24" s="594" t="s">
        <v>284</v>
      </c>
      <c r="E24" s="594"/>
      <c r="F24" s="384"/>
      <c r="G24" s="392"/>
      <c r="H24" s="386"/>
      <c r="I24" s="387"/>
      <c r="J24" s="388">
        <f>AVERAGE(J17:J23)</f>
        <v>10.8</v>
      </c>
      <c r="K24" s="388">
        <f>AVERAGE(K17:K23)</f>
        <v>1789.514285714286</v>
      </c>
      <c r="L24" s="389">
        <f>AVERAGE(L17:L23)</f>
        <v>167.59946275946274</v>
      </c>
      <c r="M24" s="375"/>
      <c r="N24" s="375"/>
      <c r="O24" s="365"/>
      <c r="P24" s="365"/>
      <c r="Q24" s="365"/>
      <c r="R24" s="365"/>
    </row>
    <row r="25" spans="1:18">
      <c r="A25" s="601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1183</v>
      </c>
      <c r="H25" s="370">
        <f t="shared" ref="H25:H37" si="8">F25*G25</f>
        <v>21920.99</v>
      </c>
      <c r="I25" s="371"/>
      <c r="J25" s="372">
        <v>3</v>
      </c>
      <c r="K25" s="373">
        <f t="shared" ref="K25:K28" si="9">G25/P25*60</f>
        <v>2730.0000000000018</v>
      </c>
      <c r="L25" s="374">
        <f t="shared" ref="L25:L28" si="10">K25/J25</f>
        <v>910.00000000000057</v>
      </c>
      <c r="M25" s="375">
        <v>0.18055555555555555</v>
      </c>
      <c r="N25" s="375">
        <v>0.1986111111111111</v>
      </c>
      <c r="O25" s="365">
        <v>20</v>
      </c>
      <c r="P25" s="376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601"/>
      <c r="B26" s="366" t="s">
        <v>104</v>
      </c>
      <c r="C26" s="393"/>
      <c r="D26" s="394" t="s">
        <v>294</v>
      </c>
      <c r="E26" s="396"/>
      <c r="F26" s="369">
        <v>15.03</v>
      </c>
      <c r="G26" s="363">
        <v>431</v>
      </c>
      <c r="H26" s="370">
        <f t="shared" si="8"/>
        <v>6477.9299999999994</v>
      </c>
      <c r="I26" s="371"/>
      <c r="J26" s="372">
        <v>4</v>
      </c>
      <c r="K26" s="373">
        <f t="shared" si="9"/>
        <v>2586.0000000000091</v>
      </c>
      <c r="L26" s="374">
        <f t="shared" si="10"/>
        <v>646.50000000000227</v>
      </c>
      <c r="M26" s="375">
        <v>0.25763888888888892</v>
      </c>
      <c r="N26" s="375">
        <v>0.26458333333333334</v>
      </c>
      <c r="O26" s="365">
        <v>25</v>
      </c>
      <c r="P26" s="376">
        <f>(N26-M26)*24*60</f>
        <v>9.9999999999999645</v>
      </c>
      <c r="Q26" s="377"/>
      <c r="R26" s="377"/>
    </row>
    <row r="27" spans="1:18">
      <c r="A27" s="601"/>
      <c r="B27" s="366" t="s">
        <v>104</v>
      </c>
      <c r="C27" s="393"/>
      <c r="D27" s="367" t="s">
        <v>295</v>
      </c>
      <c r="E27" s="396"/>
      <c r="F27" s="369">
        <v>18.18</v>
      </c>
      <c r="G27" s="363">
        <v>2422</v>
      </c>
      <c r="H27" s="370">
        <f t="shared" si="8"/>
        <v>44031.96</v>
      </c>
      <c r="I27" s="371"/>
      <c r="J27" s="372">
        <v>4</v>
      </c>
      <c r="K27" s="373">
        <f t="shared" si="9"/>
        <v>6605.454545454546</v>
      </c>
      <c r="L27" s="374">
        <f t="shared" si="10"/>
        <v>1651.3636363636365</v>
      </c>
      <c r="M27" s="375">
        <v>0.27847222222222223</v>
      </c>
      <c r="N27" s="375">
        <v>0.29375000000000001</v>
      </c>
      <c r="O27" s="365">
        <v>20</v>
      </c>
      <c r="P27" s="376">
        <f t="shared" ref="P27:P28" si="11">(N27-M27)*24*60</f>
        <v>22</v>
      </c>
      <c r="Q27" s="377"/>
      <c r="R27" s="377"/>
    </row>
    <row r="28" spans="1:18">
      <c r="A28" s="601"/>
      <c r="B28" s="366" t="s">
        <v>104</v>
      </c>
      <c r="C28" s="379"/>
      <c r="D28" s="367" t="s">
        <v>296</v>
      </c>
      <c r="E28" s="396"/>
      <c r="F28" s="369">
        <v>24.93</v>
      </c>
      <c r="G28" s="363">
        <v>882</v>
      </c>
      <c r="H28" s="370">
        <f t="shared" si="8"/>
        <v>21988.26</v>
      </c>
      <c r="I28" s="371"/>
      <c r="J28" s="372">
        <v>3</v>
      </c>
      <c r="K28" s="373">
        <f t="shared" si="9"/>
        <v>2939.9999999999977</v>
      </c>
      <c r="L28" s="374">
        <f t="shared" si="10"/>
        <v>979.9999999999992</v>
      </c>
      <c r="M28" s="375">
        <v>0.32847222222222222</v>
      </c>
      <c r="N28" s="375">
        <v>0.34097222222222223</v>
      </c>
      <c r="O28" s="365">
        <v>20</v>
      </c>
      <c r="P28" s="376">
        <f t="shared" si="11"/>
        <v>18.000000000000014</v>
      </c>
      <c r="Q28" s="377"/>
      <c r="R28" s="377"/>
    </row>
    <row r="29" spans="1:18">
      <c r="A29" s="601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601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601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601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601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60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60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60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60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602"/>
      <c r="B38" s="366">
        <v>0</v>
      </c>
      <c r="C38" s="6" t="s">
        <v>27</v>
      </c>
      <c r="D38" s="580" t="s">
        <v>297</v>
      </c>
      <c r="E38" s="580"/>
      <c r="F38" s="384"/>
      <c r="G38" s="398"/>
      <c r="H38" s="386"/>
      <c r="I38" s="387"/>
      <c r="J38" s="388">
        <f>AVERAGE(J25:J37)</f>
        <v>3.5</v>
      </c>
      <c r="K38" s="388">
        <f>AVERAGE(K25:K37)</f>
        <v>3715.3636363636388</v>
      </c>
      <c r="L38" s="389">
        <f>AVERAGE(L25:L37)</f>
        <v>1046.9659090909097</v>
      </c>
      <c r="M38" s="375"/>
      <c r="N38" s="375"/>
      <c r="O38" s="373"/>
      <c r="P38" s="373"/>
      <c r="Q38" s="374"/>
      <c r="R38" s="374"/>
    </row>
    <row r="39" spans="1:18" ht="16.2" customHeight="1">
      <c r="A39" s="590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591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591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591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591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591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591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591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591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592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592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592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593"/>
      <c r="B51" s="366">
        <v>0</v>
      </c>
      <c r="C51" s="6" t="s">
        <v>28</v>
      </c>
      <c r="D51" s="594" t="s">
        <v>284</v>
      </c>
      <c r="E51" s="59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595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663</v>
      </c>
      <c r="H52" s="370">
        <f>F52*G52</f>
        <v>12053.34</v>
      </c>
      <c r="I52" s="371"/>
      <c r="J52" s="372">
        <v>3</v>
      </c>
      <c r="K52" s="373">
        <f>G52/P52*60</f>
        <v>3059.9999999999918</v>
      </c>
      <c r="L52" s="374">
        <f>K52/J52</f>
        <v>1019.9999999999973</v>
      </c>
      <c r="M52" s="375">
        <v>0.30555555555555552</v>
      </c>
      <c r="N52" s="375">
        <v>0.31458333333333333</v>
      </c>
      <c r="O52" s="373">
        <v>20</v>
      </c>
      <c r="P52" s="376">
        <f>(N52-M52)*24*60</f>
        <v>13.000000000000034</v>
      </c>
      <c r="Q52" s="377"/>
      <c r="R52" s="377"/>
    </row>
    <row r="53" spans="1:18" ht="15.6" customHeight="1">
      <c r="A53" s="596"/>
      <c r="B53" s="366" t="s">
        <v>104</v>
      </c>
      <c r="C53" s="379"/>
      <c r="D53" s="395" t="s">
        <v>301</v>
      </c>
      <c r="E53" s="412"/>
      <c r="F53" s="369">
        <v>25.03</v>
      </c>
      <c r="G53" s="378">
        <v>230</v>
      </c>
      <c r="H53" s="370">
        <f t="shared" ref="H53:H116" si="13">F53*G53</f>
        <v>5756.9000000000005</v>
      </c>
      <c r="I53" s="371"/>
      <c r="J53" s="372">
        <v>4</v>
      </c>
      <c r="K53" s="373">
        <f t="shared" ref="K53:K59" si="14">G53/P53*60</f>
        <v>2760.00000000001</v>
      </c>
      <c r="L53" s="374">
        <f t="shared" ref="L53:L59" si="15">K53/J53</f>
        <v>690.0000000000025</v>
      </c>
      <c r="M53" s="375">
        <v>0.32847222222222222</v>
      </c>
      <c r="N53" s="375">
        <v>0.33194444444444443</v>
      </c>
      <c r="O53" s="373">
        <v>20</v>
      </c>
      <c r="P53" s="376">
        <f t="shared" ref="P53:P59" si="16">(N53-M53)*24*60</f>
        <v>4.9999999999999822</v>
      </c>
      <c r="Q53" s="377"/>
      <c r="R53" s="377"/>
    </row>
    <row r="54" spans="1:18" ht="15.6" customHeight="1">
      <c r="A54" s="596"/>
      <c r="B54" s="366" t="s">
        <v>104</v>
      </c>
      <c r="C54" s="379"/>
      <c r="D54" s="395" t="s">
        <v>302</v>
      </c>
      <c r="E54" s="368"/>
      <c r="F54" s="369">
        <v>24.82</v>
      </c>
      <c r="G54" s="378">
        <v>391</v>
      </c>
      <c r="H54" s="370">
        <f t="shared" si="13"/>
        <v>9704.6200000000008</v>
      </c>
      <c r="I54" s="371"/>
      <c r="J54" s="372">
        <v>4</v>
      </c>
      <c r="K54" s="373">
        <f t="shared" si="14"/>
        <v>2932.50000000001</v>
      </c>
      <c r="L54" s="374">
        <f t="shared" si="15"/>
        <v>733.1250000000025</v>
      </c>
      <c r="M54" s="375">
        <v>0.34583333333333338</v>
      </c>
      <c r="N54" s="375">
        <v>0.35138888888888892</v>
      </c>
      <c r="O54" s="373">
        <v>20</v>
      </c>
      <c r="P54" s="376">
        <f t="shared" si="16"/>
        <v>7.9999999999999716</v>
      </c>
      <c r="Q54" s="377"/>
      <c r="R54" s="377"/>
    </row>
    <row r="55" spans="1:18" ht="15.6" customHeight="1">
      <c r="A55" s="596"/>
      <c r="B55" s="366" t="s">
        <v>104</v>
      </c>
      <c r="C55" s="379"/>
      <c r="D55" s="394" t="s">
        <v>303</v>
      </c>
      <c r="E55" s="396"/>
      <c r="F55" s="369">
        <v>23.72</v>
      </c>
      <c r="G55" s="378">
        <v>142</v>
      </c>
      <c r="H55" s="370">
        <f t="shared" si="13"/>
        <v>3368.24</v>
      </c>
      <c r="I55" s="371"/>
      <c r="J55" s="372">
        <v>4</v>
      </c>
      <c r="K55" s="373">
        <f t="shared" si="14"/>
        <v>2840.0000000000859</v>
      </c>
      <c r="L55" s="374">
        <f t="shared" si="15"/>
        <v>710.00000000002149</v>
      </c>
      <c r="M55" s="375">
        <v>0.36527777777777781</v>
      </c>
      <c r="N55" s="375">
        <v>0.36736111111111108</v>
      </c>
      <c r="O55" s="373">
        <v>20</v>
      </c>
      <c r="P55" s="376">
        <f t="shared" si="16"/>
        <v>2.9999999999999094</v>
      </c>
      <c r="Q55" s="377">
        <v>0.36736111111111108</v>
      </c>
      <c r="R55" s="377">
        <v>0.40902777777777777</v>
      </c>
    </row>
    <row r="56" spans="1:18" ht="15.6" customHeight="1">
      <c r="A56" s="596"/>
      <c r="B56" s="366" t="s">
        <v>104</v>
      </c>
      <c r="C56" s="379"/>
      <c r="D56" s="395" t="s">
        <v>304</v>
      </c>
      <c r="E56" s="396"/>
      <c r="F56" s="369">
        <v>30</v>
      </c>
      <c r="G56" s="378">
        <v>678</v>
      </c>
      <c r="H56" s="370">
        <f t="shared" si="13"/>
        <v>20340</v>
      </c>
      <c r="I56" s="371"/>
      <c r="J56" s="372">
        <v>4</v>
      </c>
      <c r="K56" s="373">
        <f t="shared" si="14"/>
        <v>3129.2307692307804</v>
      </c>
      <c r="L56" s="374">
        <f t="shared" si="15"/>
        <v>782.30769230769511</v>
      </c>
      <c r="M56" s="375">
        <v>0.42638888888888887</v>
      </c>
      <c r="N56" s="375">
        <v>0.43541666666666662</v>
      </c>
      <c r="O56" s="373">
        <v>25</v>
      </c>
      <c r="P56" s="376">
        <f t="shared" si="16"/>
        <v>12.999999999999954</v>
      </c>
      <c r="Q56" s="377"/>
      <c r="R56" s="377"/>
    </row>
    <row r="57" spans="1:18" ht="15.75" customHeight="1">
      <c r="A57" s="596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499</v>
      </c>
      <c r="H57" s="370">
        <f t="shared" si="13"/>
        <v>10339.279999999999</v>
      </c>
      <c r="I57" s="371"/>
      <c r="J57" s="372">
        <v>3</v>
      </c>
      <c r="K57" s="373">
        <f t="shared" si="14"/>
        <v>2994.0000000000105</v>
      </c>
      <c r="L57" s="374">
        <f t="shared" si="15"/>
        <v>998.00000000000352</v>
      </c>
      <c r="M57" s="375">
        <v>0.44930555555555557</v>
      </c>
      <c r="N57" s="375">
        <v>0.45624999999999999</v>
      </c>
      <c r="O57" s="373">
        <v>20</v>
      </c>
      <c r="P57" s="376">
        <f t="shared" si="16"/>
        <v>9.9999999999999645</v>
      </c>
      <c r="Q57" s="377"/>
      <c r="R57" s="377"/>
    </row>
    <row r="58" spans="1:18" ht="15.6" customHeight="1">
      <c r="A58" s="596"/>
      <c r="B58" s="366" t="s">
        <v>104</v>
      </c>
      <c r="C58" s="413"/>
      <c r="D58" s="395" t="s">
        <v>306</v>
      </c>
      <c r="E58" s="396"/>
      <c r="F58" s="369">
        <v>17.07</v>
      </c>
      <c r="G58" s="414">
        <v>883</v>
      </c>
      <c r="H58" s="370">
        <f t="shared" si="13"/>
        <v>15072.81</v>
      </c>
      <c r="I58" s="371"/>
      <c r="J58" s="372">
        <v>3</v>
      </c>
      <c r="K58" s="373">
        <f t="shared" si="14"/>
        <v>3116.4705882352901</v>
      </c>
      <c r="L58" s="374">
        <f t="shared" si="15"/>
        <v>1038.8235294117633</v>
      </c>
      <c r="M58" s="375">
        <v>0.47013888888888888</v>
      </c>
      <c r="N58" s="375">
        <v>0.48194444444444445</v>
      </c>
      <c r="O58" s="373">
        <v>20</v>
      </c>
      <c r="P58" s="376">
        <f t="shared" si="16"/>
        <v>17.000000000000021</v>
      </c>
      <c r="Q58" s="377"/>
      <c r="R58" s="377"/>
    </row>
    <row r="59" spans="1:18" ht="15.6" customHeight="1">
      <c r="A59" s="596"/>
      <c r="B59" s="366" t="s">
        <v>104</v>
      </c>
      <c r="C59" s="379"/>
      <c r="D59" s="395" t="s">
        <v>307</v>
      </c>
      <c r="E59" s="396"/>
      <c r="F59" s="369">
        <v>27.48</v>
      </c>
      <c r="G59" s="378">
        <v>1886</v>
      </c>
      <c r="H59" s="370">
        <f t="shared" si="13"/>
        <v>51827.28</v>
      </c>
      <c r="I59" s="371"/>
      <c r="J59" s="372">
        <v>3</v>
      </c>
      <c r="K59" s="373">
        <f t="shared" si="14"/>
        <v>3143.3333333333312</v>
      </c>
      <c r="L59" s="374">
        <f t="shared" si="15"/>
        <v>1047.7777777777771</v>
      </c>
      <c r="M59" s="375">
        <v>0.49583333333333335</v>
      </c>
      <c r="N59" s="375">
        <v>0.52083333333333337</v>
      </c>
      <c r="O59" s="373">
        <v>20</v>
      </c>
      <c r="P59" s="376">
        <f t="shared" si="16"/>
        <v>36.000000000000028</v>
      </c>
      <c r="Q59" s="377"/>
      <c r="R59" s="377"/>
    </row>
    <row r="60" spans="1:18" ht="15.6" customHeight="1">
      <c r="A60" s="596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596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596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59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597"/>
      <c r="B64" s="366">
        <v>0</v>
      </c>
      <c r="C64" s="6" t="s">
        <v>308</v>
      </c>
      <c r="D64" s="594" t="s">
        <v>284</v>
      </c>
      <c r="E64" s="594"/>
      <c r="F64" s="384"/>
      <c r="G64" s="389"/>
      <c r="H64" s="408"/>
      <c r="I64" s="409"/>
      <c r="J64" s="388">
        <f>AVERAGE(J52:J63)</f>
        <v>3.5</v>
      </c>
      <c r="K64" s="388">
        <f>AVERAGE(K52:K63)</f>
        <v>2996.9418363499385</v>
      </c>
      <c r="L64" s="389">
        <f>AVERAGE(L52:L63)</f>
        <v>877.50424993715785</v>
      </c>
      <c r="M64" s="375"/>
      <c r="N64" s="375"/>
      <c r="O64" s="365"/>
      <c r="P64" s="365"/>
      <c r="Q64" s="365"/>
      <c r="R64" s="365"/>
    </row>
    <row r="65" spans="1:18" ht="15.6" customHeight="1">
      <c r="A65" s="598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305</v>
      </c>
      <c r="H65" s="370">
        <f>F65*G65</f>
        <v>6795.954545454545</v>
      </c>
      <c r="I65" s="371"/>
      <c r="J65" s="372">
        <v>4</v>
      </c>
      <c r="K65" s="373">
        <f t="shared" ref="K65:K71" si="17">G65/P65*60</f>
        <v>3049.9999999999905</v>
      </c>
      <c r="L65" s="374">
        <f t="shared" ref="L65:L71" si="18">K65/J65</f>
        <v>762.49999999999761</v>
      </c>
      <c r="M65" s="375">
        <v>0.18055555555555555</v>
      </c>
      <c r="N65" s="375">
        <v>0.18472222222222223</v>
      </c>
      <c r="O65" s="373">
        <v>20</v>
      </c>
      <c r="P65" s="376">
        <f>(N65-M65)*24*60</f>
        <v>6.0000000000000187</v>
      </c>
      <c r="Q65" s="377"/>
      <c r="R65" s="377"/>
    </row>
    <row r="66" spans="1:18" ht="15.6" customHeight="1">
      <c r="A66" s="599"/>
      <c r="B66" s="366" t="s">
        <v>104</v>
      </c>
      <c r="C66" s="379"/>
      <c r="D66" s="401" t="s">
        <v>311</v>
      </c>
      <c r="E66" s="412"/>
      <c r="F66" s="369">
        <v>14.03</v>
      </c>
      <c r="G66" s="378">
        <v>2294</v>
      </c>
      <c r="H66" s="370">
        <f t="shared" ref="H66:H74" si="19">F66*G66</f>
        <v>32184.82</v>
      </c>
      <c r="I66" s="371"/>
      <c r="J66" s="372">
        <v>3</v>
      </c>
      <c r="K66" s="373">
        <f t="shared" si="17"/>
        <v>3200.9302325581389</v>
      </c>
      <c r="L66" s="374">
        <f t="shared" si="18"/>
        <v>1066.9767441860463</v>
      </c>
      <c r="M66" s="375">
        <v>0.1986111111111111</v>
      </c>
      <c r="N66" s="375">
        <v>0.22847222222222222</v>
      </c>
      <c r="O66" s="373">
        <v>20</v>
      </c>
      <c r="P66" s="376">
        <f t="shared" ref="P66:P71" si="20">(N66-M66)*24*60</f>
        <v>43.000000000000007</v>
      </c>
      <c r="Q66" s="377"/>
      <c r="R66" s="377"/>
    </row>
    <row r="67" spans="1:18" ht="15.6" customHeight="1">
      <c r="A67" s="599"/>
      <c r="B67" s="366" t="s">
        <v>104</v>
      </c>
      <c r="C67" s="379"/>
      <c r="D67" s="394" t="s">
        <v>312</v>
      </c>
      <c r="E67" s="396"/>
      <c r="F67" s="369">
        <v>18.18</v>
      </c>
      <c r="G67" s="378">
        <v>1039</v>
      </c>
      <c r="H67" s="370">
        <f t="shared" si="19"/>
        <v>18889.02</v>
      </c>
      <c r="I67" s="371"/>
      <c r="J67" s="372">
        <v>3</v>
      </c>
      <c r="K67" s="373">
        <f t="shared" si="17"/>
        <v>3116.9999999999923</v>
      </c>
      <c r="L67" s="374">
        <f t="shared" si="18"/>
        <v>1038.9999999999975</v>
      </c>
      <c r="M67" s="375">
        <v>0.24236111111111111</v>
      </c>
      <c r="N67" s="375">
        <v>0.25625000000000003</v>
      </c>
      <c r="O67" s="373">
        <v>20</v>
      </c>
      <c r="P67" s="376">
        <f t="shared" si="20"/>
        <v>20.00000000000005</v>
      </c>
      <c r="Q67" s="377"/>
      <c r="R67" s="377"/>
    </row>
    <row r="68" spans="1:18" ht="15.6" customHeight="1">
      <c r="A68" s="599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1127</v>
      </c>
      <c r="H68" s="370">
        <f t="shared" si="19"/>
        <v>20163.054545454546</v>
      </c>
      <c r="I68" s="371"/>
      <c r="J68" s="372">
        <v>3</v>
      </c>
      <c r="K68" s="373">
        <f t="shared" si="17"/>
        <v>3073.6363636363635</v>
      </c>
      <c r="L68" s="374">
        <f t="shared" si="18"/>
        <v>1024.5454545454545</v>
      </c>
      <c r="M68" s="375">
        <v>0.27013888888888887</v>
      </c>
      <c r="N68" s="375">
        <v>0.28541666666666665</v>
      </c>
      <c r="O68" s="373">
        <v>20</v>
      </c>
      <c r="P68" s="376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599"/>
      <c r="B69" s="366" t="s">
        <v>104</v>
      </c>
      <c r="C69" s="379"/>
      <c r="D69" s="394" t="s">
        <v>314</v>
      </c>
      <c r="E69" s="396"/>
      <c r="F69" s="369">
        <v>16.66</v>
      </c>
      <c r="G69" s="378">
        <v>2268</v>
      </c>
      <c r="H69" s="370">
        <f t="shared" si="19"/>
        <v>37784.879999999997</v>
      </c>
      <c r="I69" s="371"/>
      <c r="J69" s="372">
        <v>4</v>
      </c>
      <c r="K69" s="373">
        <f t="shared" si="17"/>
        <v>3164.6511627907093</v>
      </c>
      <c r="L69" s="374">
        <f t="shared" si="18"/>
        <v>791.16279069767734</v>
      </c>
      <c r="M69" s="375">
        <v>0.3444444444444445</v>
      </c>
      <c r="N69" s="375">
        <v>0.3743055555555555</v>
      </c>
      <c r="O69" s="373">
        <v>25</v>
      </c>
      <c r="P69" s="376">
        <f t="shared" si="20"/>
        <v>42.999999999999844</v>
      </c>
      <c r="Q69" s="377"/>
      <c r="R69" s="377"/>
    </row>
    <row r="70" spans="1:18" ht="15.75" customHeight="1">
      <c r="A70" s="599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1129</v>
      </c>
      <c r="H70" s="370">
        <f t="shared" si="19"/>
        <v>33870</v>
      </c>
      <c r="I70" s="371"/>
      <c r="J70" s="372">
        <v>4</v>
      </c>
      <c r="K70" s="373">
        <f t="shared" si="17"/>
        <v>3079.090909090909</v>
      </c>
      <c r="L70" s="374">
        <f t="shared" si="18"/>
        <v>769.77272727272725</v>
      </c>
      <c r="M70" s="375">
        <v>0.38819444444444445</v>
      </c>
      <c r="N70" s="375">
        <v>0.40347222222222223</v>
      </c>
      <c r="O70" s="373">
        <v>20</v>
      </c>
      <c r="P70" s="376">
        <f t="shared" si="20"/>
        <v>22</v>
      </c>
      <c r="Q70" s="377"/>
      <c r="R70" s="377"/>
    </row>
    <row r="71" spans="1:18" ht="15.6" customHeight="1">
      <c r="A71" s="59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3471</v>
      </c>
      <c r="H71" s="370">
        <f t="shared" si="19"/>
        <v>49585.714285714275</v>
      </c>
      <c r="I71" s="371"/>
      <c r="J71" s="372">
        <v>3</v>
      </c>
      <c r="K71" s="373">
        <f t="shared" si="17"/>
        <v>3155.4545454545455</v>
      </c>
      <c r="L71" s="374">
        <f t="shared" si="18"/>
        <v>1051.8181818181818</v>
      </c>
      <c r="M71" s="375">
        <v>0.41736111111111113</v>
      </c>
      <c r="N71" s="375">
        <v>0.46319444444444446</v>
      </c>
      <c r="O71" s="373">
        <v>20</v>
      </c>
      <c r="P71" s="376">
        <f t="shared" si="20"/>
        <v>66</v>
      </c>
      <c r="Q71" s="377"/>
      <c r="R71" s="377"/>
    </row>
    <row r="72" spans="1:18" ht="15.6" customHeight="1">
      <c r="A72" s="599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599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599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600"/>
      <c r="B75" s="366">
        <v>0</v>
      </c>
      <c r="C75" s="6" t="s">
        <v>317</v>
      </c>
      <c r="D75" s="594" t="s">
        <v>318</v>
      </c>
      <c r="E75" s="59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3120.1090305043786</v>
      </c>
      <c r="L75" s="389">
        <f>AVERAGE(L65:L74)</f>
        <v>929.39655693144039</v>
      </c>
      <c r="M75" s="375"/>
      <c r="N75" s="375"/>
      <c r="O75" s="365"/>
      <c r="P75" s="365"/>
      <c r="Q75" s="365"/>
      <c r="R75" s="365"/>
    </row>
    <row r="76" spans="1:18" ht="16.2" customHeight="1">
      <c r="A76" s="584" t="s">
        <v>319</v>
      </c>
      <c r="B76" s="366">
        <v>0</v>
      </c>
      <c r="C76" s="383"/>
      <c r="D76" s="585"/>
      <c r="E76" s="58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584"/>
      <c r="B77" s="366">
        <v>0</v>
      </c>
      <c r="C77" s="383"/>
      <c r="D77" s="585"/>
      <c r="E77" s="586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584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584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584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584"/>
      <c r="B81" s="366">
        <v>0</v>
      </c>
      <c r="C81" s="6" t="s">
        <v>31</v>
      </c>
      <c r="D81" s="580" t="s">
        <v>318</v>
      </c>
      <c r="E81" s="58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587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58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58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58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588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588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588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588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588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588"/>
      <c r="B91" s="366">
        <v>0</v>
      </c>
      <c r="C91" s="6" t="s">
        <v>321</v>
      </c>
      <c r="D91" s="589" t="s">
        <v>318</v>
      </c>
      <c r="E91" s="58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574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363">
        <v>1187</v>
      </c>
      <c r="H92" s="370">
        <f t="shared" ref="H92:H99" si="22">F92*G92</f>
        <v>29128.98</v>
      </c>
      <c r="I92" s="371"/>
      <c r="J92" s="372">
        <v>3</v>
      </c>
      <c r="K92" s="373">
        <f>G92/P92*60</f>
        <v>2848.7999999999915</v>
      </c>
      <c r="L92" s="374">
        <f t="shared" ref="L92:L94" si="23">K92/J92</f>
        <v>949.59999999999718</v>
      </c>
      <c r="M92" s="375">
        <v>0.72222222222222221</v>
      </c>
      <c r="N92" s="375">
        <v>0.73958333333333337</v>
      </c>
      <c r="O92" s="365">
        <v>20</v>
      </c>
      <c r="P92" s="376">
        <f>(N92-M92)*24*60</f>
        <v>25.000000000000071</v>
      </c>
      <c r="Q92" s="377"/>
      <c r="R92" s="377"/>
    </row>
    <row r="93" spans="1:18">
      <c r="A93" s="575"/>
      <c r="B93" s="366" t="s">
        <v>104</v>
      </c>
      <c r="C93" s="383"/>
      <c r="D93" s="395" t="s">
        <v>324</v>
      </c>
      <c r="E93" s="415"/>
      <c r="F93" s="369">
        <v>23.27</v>
      </c>
      <c r="G93" s="378">
        <v>461</v>
      </c>
      <c r="H93" s="370">
        <f t="shared" si="22"/>
        <v>10727.47</v>
      </c>
      <c r="I93" s="371"/>
      <c r="J93" s="372">
        <v>4</v>
      </c>
      <c r="K93" s="373">
        <f t="shared" ref="K93:K94" si="24">G93/P93*60</f>
        <v>2766.00000000001</v>
      </c>
      <c r="L93" s="374">
        <f t="shared" si="23"/>
        <v>691.5000000000025</v>
      </c>
      <c r="M93" s="375">
        <v>0.75347222222222221</v>
      </c>
      <c r="N93" s="375">
        <v>0.76041666666666663</v>
      </c>
      <c r="O93" s="365">
        <v>20</v>
      </c>
      <c r="P93" s="376">
        <f>(N93-M93)*24*60</f>
        <v>9.9999999999999645</v>
      </c>
      <c r="Q93" s="377"/>
      <c r="R93" s="377"/>
    </row>
    <row r="94" spans="1:18">
      <c r="A94" s="575"/>
      <c r="B94" s="366" t="s">
        <v>104</v>
      </c>
      <c r="C94" s="383"/>
      <c r="D94" s="395" t="s">
        <v>325</v>
      </c>
      <c r="E94" s="415"/>
      <c r="F94" s="369">
        <v>24.33</v>
      </c>
      <c r="G94" s="378">
        <v>1120</v>
      </c>
      <c r="H94" s="370">
        <f t="shared" si="22"/>
        <v>27249.599999999999</v>
      </c>
      <c r="I94" s="371"/>
      <c r="J94" s="372">
        <v>4</v>
      </c>
      <c r="K94" s="373">
        <f t="shared" si="24"/>
        <v>2687.9999999999923</v>
      </c>
      <c r="L94" s="374">
        <f t="shared" si="23"/>
        <v>671.99999999999807</v>
      </c>
      <c r="M94" s="375">
        <v>0.77430555555555547</v>
      </c>
      <c r="N94" s="375">
        <v>0.79166666666666663</v>
      </c>
      <c r="O94" s="365">
        <v>20</v>
      </c>
      <c r="P94" s="376">
        <f>(N94-M94)*24*60</f>
        <v>25.000000000000071</v>
      </c>
      <c r="Q94" s="377"/>
      <c r="R94" s="377"/>
    </row>
    <row r="95" spans="1:18">
      <c r="A95" s="57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57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57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57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57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576"/>
      <c r="B100" s="366">
        <v>0</v>
      </c>
      <c r="C100" s="6" t="s">
        <v>326</v>
      </c>
      <c r="D100" s="577" t="s">
        <v>327</v>
      </c>
      <c r="E100" s="57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2767.5999999999981</v>
      </c>
      <c r="L100" s="389">
        <f>AVERAGE(L92:L99)</f>
        <v>771.03333333333251</v>
      </c>
      <c r="M100" s="375"/>
      <c r="N100" s="375"/>
      <c r="O100" s="373"/>
      <c r="P100" s="373"/>
      <c r="Q100" s="374"/>
      <c r="R100" s="374"/>
    </row>
    <row r="101" spans="1:18" ht="16.2" customHeight="1">
      <c r="A101" s="579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682</v>
      </c>
      <c r="H101" s="370">
        <f t="shared" ref="H101:H110" si="25">F101*G101</f>
        <v>17070.46</v>
      </c>
      <c r="I101" s="371"/>
      <c r="J101" s="372">
        <v>4</v>
      </c>
      <c r="K101" s="373">
        <f>G101/P101*60</f>
        <v>2728.0000000000095</v>
      </c>
      <c r="L101" s="374">
        <f t="shared" ref="L101:L107" si="26">K101/J101</f>
        <v>682.00000000000239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579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2796</v>
      </c>
      <c r="H102" s="370">
        <f t="shared" si="25"/>
        <v>79881.72</v>
      </c>
      <c r="I102" s="371"/>
      <c r="J102" s="372">
        <v>3</v>
      </c>
      <c r="K102" s="373">
        <f t="shared" ref="K102:K107" si="28">G102/P102*60</f>
        <v>3050.1818181818203</v>
      </c>
      <c r="L102" s="374">
        <f t="shared" si="26"/>
        <v>1016.7272727272734</v>
      </c>
      <c r="M102" s="375">
        <v>0.74652777777777779</v>
      </c>
      <c r="N102" s="375">
        <v>0.78472222222222221</v>
      </c>
      <c r="O102" s="365">
        <v>20</v>
      </c>
      <c r="P102" s="373">
        <f t="shared" si="27"/>
        <v>54.999999999999964</v>
      </c>
      <c r="Q102" s="377"/>
      <c r="R102" s="377"/>
    </row>
    <row r="103" spans="1:18">
      <c r="A103" s="579"/>
      <c r="B103" s="366">
        <v>0</v>
      </c>
      <c r="C103" s="6"/>
      <c r="D103" s="395" t="s">
        <v>331</v>
      </c>
      <c r="E103" s="395"/>
      <c r="F103" s="369" t="s">
        <v>106</v>
      </c>
      <c r="G103" s="363">
        <v>259</v>
      </c>
      <c r="H103" s="370">
        <f t="shared" si="25"/>
        <v>0</v>
      </c>
      <c r="I103" s="371"/>
      <c r="J103" s="372">
        <v>5</v>
      </c>
      <c r="K103" s="373">
        <f t="shared" si="28"/>
        <v>1554.0000000000305</v>
      </c>
      <c r="L103" s="374">
        <f t="shared" si="26"/>
        <v>310.80000000000609</v>
      </c>
      <c r="M103" s="375">
        <v>0.79861111111111116</v>
      </c>
      <c r="N103" s="375">
        <v>0.80555555555555547</v>
      </c>
      <c r="O103" s="365">
        <v>20</v>
      </c>
      <c r="P103" s="373">
        <f t="shared" si="27"/>
        <v>9.9999999999998046</v>
      </c>
      <c r="Q103" s="377"/>
      <c r="R103" s="377"/>
    </row>
    <row r="104" spans="1:18">
      <c r="A104" s="579"/>
      <c r="B104" s="366">
        <v>0</v>
      </c>
      <c r="C104" s="6"/>
      <c r="D104" s="395" t="s">
        <v>332</v>
      </c>
      <c r="E104" s="415"/>
      <c r="F104" s="369" t="s">
        <v>106</v>
      </c>
      <c r="G104" s="363">
        <v>388</v>
      </c>
      <c r="H104" s="370">
        <f t="shared" si="25"/>
        <v>0</v>
      </c>
      <c r="I104" s="371"/>
      <c r="J104" s="372">
        <v>5</v>
      </c>
      <c r="K104" s="373">
        <f t="shared" si="28"/>
        <v>1164.0000000000041</v>
      </c>
      <c r="L104" s="374">
        <f t="shared" si="26"/>
        <v>232.80000000000081</v>
      </c>
      <c r="M104" s="375">
        <v>0.81944444444444453</v>
      </c>
      <c r="N104" s="375">
        <v>0.83333333333333337</v>
      </c>
      <c r="O104" s="365">
        <v>20</v>
      </c>
      <c r="P104" s="373">
        <f>(N104-M104)*24*60</f>
        <v>19.999999999999929</v>
      </c>
      <c r="Q104" s="377">
        <v>0.83333333333333337</v>
      </c>
      <c r="R104" s="377">
        <v>0.875</v>
      </c>
    </row>
    <row r="105" spans="1:18">
      <c r="A105" s="579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1287</v>
      </c>
      <c r="H105" s="370">
        <f t="shared" si="25"/>
        <v>31943.34</v>
      </c>
      <c r="I105" s="371"/>
      <c r="J105" s="372">
        <v>4</v>
      </c>
      <c r="K105" s="373">
        <f t="shared" si="28"/>
        <v>3088.7999999999911</v>
      </c>
      <c r="L105" s="374">
        <f t="shared" si="26"/>
        <v>772.19999999999777</v>
      </c>
      <c r="M105" s="375">
        <v>0.88888888888888884</v>
      </c>
      <c r="N105" s="375">
        <v>0.90625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579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1359</v>
      </c>
      <c r="H106" s="370">
        <f t="shared" si="25"/>
        <v>40770</v>
      </c>
      <c r="I106" s="371"/>
      <c r="J106" s="372">
        <v>3</v>
      </c>
      <c r="K106" s="373">
        <f t="shared" si="28"/>
        <v>3261.6000000000113</v>
      </c>
      <c r="L106" s="374">
        <f t="shared" si="26"/>
        <v>1087.2000000000037</v>
      </c>
      <c r="M106" s="375">
        <v>0.92361111111111116</v>
      </c>
      <c r="N106" s="375">
        <v>0.94097222222222221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579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8018</v>
      </c>
      <c r="H107" s="370">
        <f t="shared" si="25"/>
        <v>114542.85714285712</v>
      </c>
      <c r="I107" s="371"/>
      <c r="J107" s="372">
        <v>3</v>
      </c>
      <c r="K107" s="373">
        <f t="shared" si="28"/>
        <v>3006.750000043754</v>
      </c>
      <c r="L107" s="374">
        <f t="shared" si="26"/>
        <v>1002.2500000145847</v>
      </c>
      <c r="M107" s="375">
        <v>46235.954861111109</v>
      </c>
      <c r="N107" s="375">
        <v>46236.065972222219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579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579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579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579"/>
      <c r="B111" s="366">
        <v>0</v>
      </c>
      <c r="C111" s="6" t="s">
        <v>336</v>
      </c>
      <c r="D111" s="580" t="s">
        <v>327</v>
      </c>
      <c r="E111" s="58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2550.4759740322311</v>
      </c>
      <c r="L111" s="389">
        <f>AVERAGE(L101:L110)</f>
        <v>729.13961039169556</v>
      </c>
      <c r="M111" s="375"/>
      <c r="N111" s="375"/>
      <c r="O111" s="373"/>
      <c r="P111" s="373"/>
      <c r="Q111" s="374"/>
      <c r="R111" s="365"/>
    </row>
    <row r="112" spans="1:18" ht="16.2" customHeight="1">
      <c r="A112" s="58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1008</v>
      </c>
      <c r="H112" s="422">
        <f t="shared" si="13"/>
        <v>16833.599999999999</v>
      </c>
      <c r="I112" s="371"/>
      <c r="J112" s="372">
        <v>3</v>
      </c>
      <c r="K112" s="373">
        <f t="shared" ref="K112:K118" si="29">G112/P112*60</f>
        <v>3023.9999999999868</v>
      </c>
      <c r="L112" s="374">
        <f t="shared" ref="L112:L118" si="30">K112/J112</f>
        <v>1007.9999999999956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58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984</v>
      </c>
      <c r="H113" s="422">
        <f t="shared" si="13"/>
        <v>17889.12</v>
      </c>
      <c r="I113" s="371"/>
      <c r="J113" s="372">
        <v>4</v>
      </c>
      <c r="K113" s="373">
        <f t="shared" si="29"/>
        <v>2952.0000000000105</v>
      </c>
      <c r="L113" s="374">
        <f t="shared" si="30"/>
        <v>738.00000000000261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582"/>
      <c r="B114" s="366" t="s">
        <v>104</v>
      </c>
      <c r="C114" s="393"/>
      <c r="D114" s="419" t="s">
        <v>340</v>
      </c>
      <c r="E114" s="395"/>
      <c r="F114" s="369">
        <v>18.18</v>
      </c>
      <c r="G114" s="363">
        <v>1038</v>
      </c>
      <c r="H114" s="422">
        <f t="shared" si="13"/>
        <v>18870.84</v>
      </c>
      <c r="I114" s="371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58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5244</v>
      </c>
      <c r="H115" s="422">
        <f t="shared" si="13"/>
        <v>87365.04</v>
      </c>
      <c r="I115" s="371"/>
      <c r="J115" s="372">
        <v>4</v>
      </c>
      <c r="K115" s="373">
        <f t="shared" si="29"/>
        <v>2996.5714285714253</v>
      </c>
      <c r="L115" s="374">
        <f t="shared" si="30"/>
        <v>749.14285714285631</v>
      </c>
      <c r="M115" s="375">
        <v>0.80555555555555547</v>
      </c>
      <c r="N115" s="375">
        <v>0.87847222222222221</v>
      </c>
      <c r="O115" s="365">
        <v>20</v>
      </c>
      <c r="P115" s="376">
        <f t="shared" si="31"/>
        <v>105.00000000000011</v>
      </c>
      <c r="Q115" s="377"/>
      <c r="R115" s="377"/>
    </row>
    <row r="116" spans="1:18">
      <c r="A116" s="58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914</v>
      </c>
      <c r="H116" s="422">
        <f t="shared" si="13"/>
        <v>20365.581818181818</v>
      </c>
      <c r="I116" s="371"/>
      <c r="J116" s="372">
        <v>4</v>
      </c>
      <c r="K116" s="373">
        <f t="shared" si="29"/>
        <v>2742.0000000000095</v>
      </c>
      <c r="L116" s="374">
        <f t="shared" si="30"/>
        <v>685.50000000000239</v>
      </c>
      <c r="M116" s="375">
        <v>0.89236111111111116</v>
      </c>
      <c r="N116" s="424">
        <v>0.90625</v>
      </c>
      <c r="O116" s="365">
        <v>20</v>
      </c>
      <c r="P116" s="376">
        <f t="shared" si="31"/>
        <v>19.999999999999929</v>
      </c>
      <c r="Q116" s="377">
        <v>0.90625</v>
      </c>
      <c r="R116" s="377">
        <v>0.94791666666666663</v>
      </c>
    </row>
    <row r="117" spans="1:18">
      <c r="A117" s="58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3522</v>
      </c>
      <c r="H117" s="422">
        <f t="shared" ref="H117:H123" si="32">F117*G117</f>
        <v>63011.781818181815</v>
      </c>
      <c r="I117" s="371"/>
      <c r="J117" s="372">
        <v>3</v>
      </c>
      <c r="K117" s="373">
        <f t="shared" si="29"/>
        <v>3018.8571429575545</v>
      </c>
      <c r="L117" s="374">
        <f t="shared" si="30"/>
        <v>1006.2857143191849</v>
      </c>
      <c r="M117" s="375">
        <v>46235.961805555555</v>
      </c>
      <c r="N117" s="375">
        <v>46236.010416666664</v>
      </c>
      <c r="O117" s="373">
        <v>20</v>
      </c>
      <c r="P117" s="376">
        <f t="shared" si="31"/>
        <v>69.999999997671694</v>
      </c>
      <c r="Q117" s="377"/>
      <c r="R117" s="377"/>
    </row>
    <row r="118" spans="1:18">
      <c r="A118" s="582"/>
      <c r="B118" s="366" t="s">
        <v>104</v>
      </c>
      <c r="C118" s="393"/>
      <c r="D118" s="395" t="s">
        <v>344</v>
      </c>
      <c r="E118" s="412"/>
      <c r="F118" s="369">
        <v>14.03</v>
      </c>
      <c r="G118" s="363">
        <v>5898</v>
      </c>
      <c r="H118" s="422">
        <f t="shared" si="32"/>
        <v>82748.94</v>
      </c>
      <c r="I118" s="371"/>
      <c r="J118" s="372">
        <v>3</v>
      </c>
      <c r="K118" s="373">
        <f t="shared" si="29"/>
        <v>2949</v>
      </c>
      <c r="L118" s="374">
        <f t="shared" si="30"/>
        <v>983</v>
      </c>
      <c r="M118" s="375">
        <v>2.4305555555555556E-2</v>
      </c>
      <c r="N118" s="375">
        <v>0.1076388888888889</v>
      </c>
      <c r="O118" s="373">
        <v>20</v>
      </c>
      <c r="P118" s="376">
        <f t="shared" si="31"/>
        <v>120</v>
      </c>
      <c r="Q118" s="377"/>
      <c r="R118" s="377"/>
    </row>
    <row r="119" spans="1:18">
      <c r="A119" s="58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58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58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58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58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582"/>
      <c r="B124" s="383">
        <v>0</v>
      </c>
      <c r="C124" s="6" t="s">
        <v>345</v>
      </c>
      <c r="D124" s="583" t="s">
        <v>327</v>
      </c>
      <c r="E124" s="58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2970.9183673612852</v>
      </c>
      <c r="L124" s="389">
        <f>AVERAGE(L112:L123)</f>
        <v>886.84693878029225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1" sqref="AE11"/>
      <selection pane="bottomLeft" activeCell="M110" sqref="M1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152237.85</v>
      </c>
      <c r="F1" s="331" t="s">
        <v>3</v>
      </c>
      <c r="G1" s="30">
        <f>SUM(H5:H173)</f>
        <v>6047035.3804696063</v>
      </c>
      <c r="H1" s="327" t="s">
        <v>37</v>
      </c>
      <c r="I1" s="31">
        <f>M17+M30+M43+M56+M69+M82+M95+M108+M121+M134+M147+M160+M173</f>
        <v>192.31785714285709</v>
      </c>
      <c r="J1" s="635" t="s">
        <v>38</v>
      </c>
      <c r="K1" s="635"/>
      <c r="L1" s="635"/>
      <c r="M1" s="635" t="s">
        <v>39</v>
      </c>
      <c r="N1" s="635"/>
      <c r="O1" s="635"/>
      <c r="P1" s="635" t="s">
        <v>193</v>
      </c>
      <c r="Q1" s="635"/>
      <c r="R1" s="635"/>
      <c r="S1" s="635"/>
      <c r="T1" s="635" t="s">
        <v>194</v>
      </c>
      <c r="U1" s="635"/>
      <c r="V1" s="635"/>
      <c r="W1" s="635"/>
      <c r="X1" s="635"/>
      <c r="Y1" s="635"/>
      <c r="Z1" s="32" t="s">
        <v>195</v>
      </c>
      <c r="AA1" s="32" t="s">
        <v>196</v>
      </c>
      <c r="AB1" s="651" t="s">
        <v>197</v>
      </c>
      <c r="AC1" s="652"/>
      <c r="AD1" s="32" t="s">
        <v>195</v>
      </c>
      <c r="AE1" s="32" t="s">
        <v>198</v>
      </c>
      <c r="AF1" s="635" t="s">
        <v>199</v>
      </c>
      <c r="AG1" s="636"/>
      <c r="AH1" s="636"/>
    </row>
    <row r="2" spans="1:34" ht="26.25" customHeight="1">
      <c r="A2" s="643" t="s">
        <v>200</v>
      </c>
      <c r="B2" s="643"/>
      <c r="C2" s="330"/>
      <c r="D2" s="330" t="s">
        <v>201</v>
      </c>
      <c r="E2" s="34">
        <f>AVERAGE(O17,O30,O43,O56,O69,O82,O95,O108,O121,O134,O147,O160,O173)</f>
        <v>129.55533088123164</v>
      </c>
      <c r="F2" s="35" t="s">
        <v>40</v>
      </c>
      <c r="G2" s="36">
        <f>G1/E1</f>
        <v>39.720972021541328</v>
      </c>
      <c r="H2" s="327" t="s">
        <v>41</v>
      </c>
      <c r="I2" s="327">
        <f>COUNT(I5:I173)</f>
        <v>7</v>
      </c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3"/>
      <c r="AC2" s="654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636"/>
      <c r="AG2" s="636"/>
      <c r="AH2" s="636"/>
    </row>
    <row r="3" spans="1:34" ht="30.6" customHeight="1">
      <c r="A3" s="644" t="s">
        <v>202</v>
      </c>
      <c r="B3" s="644" t="s">
        <v>42</v>
      </c>
      <c r="C3" s="645"/>
      <c r="D3" s="644" t="s">
        <v>203</v>
      </c>
      <c r="E3" s="644"/>
      <c r="F3" s="645" t="s">
        <v>43</v>
      </c>
      <c r="G3" s="660" t="s">
        <v>44</v>
      </c>
      <c r="H3" s="645" t="s">
        <v>45</v>
      </c>
      <c r="I3" s="637" t="s">
        <v>204</v>
      </c>
      <c r="J3" s="638" t="s">
        <v>46</v>
      </c>
      <c r="K3" s="639" t="s">
        <v>47</v>
      </c>
      <c r="L3" s="640" t="s">
        <v>35</v>
      </c>
      <c r="M3" s="660" t="s">
        <v>46</v>
      </c>
      <c r="N3" s="639" t="s">
        <v>205</v>
      </c>
      <c r="O3" s="640" t="s">
        <v>201</v>
      </c>
      <c r="P3" s="638" t="s">
        <v>206</v>
      </c>
      <c r="Q3" s="640" t="s">
        <v>201</v>
      </c>
      <c r="R3" s="641" t="s">
        <v>207</v>
      </c>
      <c r="S3" s="642" t="s">
        <v>208</v>
      </c>
      <c r="T3" s="660" t="s">
        <v>48</v>
      </c>
      <c r="U3" s="660"/>
      <c r="V3" s="661" t="s">
        <v>49</v>
      </c>
      <c r="W3" s="637" t="s">
        <v>209</v>
      </c>
      <c r="X3" s="660" t="s">
        <v>210</v>
      </c>
      <c r="Y3" s="660"/>
      <c r="Z3" s="662" t="s">
        <v>211</v>
      </c>
      <c r="AA3" s="663"/>
      <c r="AB3" s="647" t="s">
        <v>212</v>
      </c>
      <c r="AC3" s="648"/>
      <c r="AD3" s="649" t="s">
        <v>213</v>
      </c>
      <c r="AE3" s="650"/>
      <c r="AF3" s="639" t="s">
        <v>205</v>
      </c>
      <c r="AG3" s="641" t="s">
        <v>207</v>
      </c>
      <c r="AH3" s="642" t="s">
        <v>208</v>
      </c>
    </row>
    <row r="4" spans="1:34" ht="30.6" customHeight="1">
      <c r="A4" s="645"/>
      <c r="B4" s="644"/>
      <c r="C4" s="646"/>
      <c r="D4" s="644"/>
      <c r="E4" s="644"/>
      <c r="F4" s="646"/>
      <c r="G4" s="660"/>
      <c r="H4" s="646"/>
      <c r="I4" s="637"/>
      <c r="J4" s="638"/>
      <c r="K4" s="639"/>
      <c r="L4" s="640"/>
      <c r="M4" s="660"/>
      <c r="N4" s="639"/>
      <c r="O4" s="640"/>
      <c r="P4" s="638"/>
      <c r="Q4" s="640"/>
      <c r="R4" s="641"/>
      <c r="S4" s="642"/>
      <c r="T4" s="337" t="s">
        <v>50</v>
      </c>
      <c r="U4" s="337" t="s">
        <v>51</v>
      </c>
      <c r="V4" s="660"/>
      <c r="W4" s="637"/>
      <c r="X4" s="331" t="s">
        <v>214</v>
      </c>
      <c r="Y4" s="331" t="s">
        <v>36</v>
      </c>
      <c r="Z4" s="337" t="s">
        <v>215</v>
      </c>
      <c r="AA4" s="337" t="s">
        <v>216</v>
      </c>
      <c r="AB4" s="648"/>
      <c r="AC4" s="648"/>
      <c r="AD4" s="337" t="s">
        <v>217</v>
      </c>
      <c r="AE4" s="39" t="s">
        <v>218</v>
      </c>
      <c r="AF4" s="639"/>
      <c r="AG4" s="641"/>
      <c r="AH4" s="642"/>
    </row>
    <row r="5" spans="1:34" ht="18.75" customHeight="1">
      <c r="A5" s="65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6657</v>
      </c>
      <c r="H5" s="45">
        <f t="shared" ref="H5:H16" si="0">F5*G5</f>
        <v>251834.31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0" si="1">G5/W5*60</f>
        <v>2377.4999999999991</v>
      </c>
      <c r="O5" s="47">
        <f t="shared" ref="O5:O10" si="2">N5/M5</f>
        <v>118.87499999999996</v>
      </c>
      <c r="P5" s="48">
        <f t="shared" ref="P5:P10" si="3">M5-J5</f>
        <v>0</v>
      </c>
      <c r="Q5" s="49">
        <f t="shared" ref="Q5:Q10" si="4">O5-L5</f>
        <v>-1.1250000000000426</v>
      </c>
      <c r="R5" s="335">
        <f t="shared" ref="R5:R10" si="5">O5/L5</f>
        <v>0.99062499999999964</v>
      </c>
      <c r="S5" s="658">
        <f>R17</f>
        <v>0.92821441142433792</v>
      </c>
      <c r="T5" s="89">
        <v>0.25</v>
      </c>
      <c r="U5" s="89">
        <v>0.3666666666666667</v>
      </c>
      <c r="V5" s="331">
        <v>5</v>
      </c>
      <c r="W5" s="328">
        <f>(U5-T5)*24*60</f>
        <v>168.00000000000006</v>
      </c>
      <c r="X5" s="331"/>
      <c r="Y5" s="331"/>
      <c r="Z5" s="51"/>
      <c r="AA5" s="51"/>
      <c r="AB5" s="644"/>
      <c r="AC5" s="644"/>
      <c r="AD5" s="52"/>
      <c r="AE5" s="52"/>
      <c r="AF5" s="48">
        <f t="shared" ref="AF5:AF70" si="6">N5-K5</f>
        <v>-22.500000000000909</v>
      </c>
      <c r="AG5" s="335">
        <f t="shared" ref="AG5:AG70" si="7">N5/K5</f>
        <v>0.99062499999999964</v>
      </c>
      <c r="AH5" s="658">
        <f>AG17</f>
        <v>0.92924559724876532</v>
      </c>
    </row>
    <row r="6" spans="1:34" ht="19.2" customHeight="1">
      <c r="A6" s="656"/>
      <c r="B6" s="40" t="s">
        <v>100</v>
      </c>
      <c r="C6" s="41"/>
      <c r="D6" s="42" t="s">
        <v>173</v>
      </c>
      <c r="E6" s="43"/>
      <c r="F6" s="273">
        <v>46.93</v>
      </c>
      <c r="G6" s="44">
        <v>1480</v>
      </c>
      <c r="H6" s="45">
        <f t="shared" si="0"/>
        <v>69456.399999999994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2219.9999999999991</v>
      </c>
      <c r="O6" s="47">
        <f t="shared" si="2"/>
        <v>105.71428571428567</v>
      </c>
      <c r="P6" s="48">
        <f t="shared" si="3"/>
        <v>0</v>
      </c>
      <c r="Q6" s="49">
        <f t="shared" si="4"/>
        <v>-8.5714285714286262</v>
      </c>
      <c r="R6" s="335">
        <f t="shared" si="5"/>
        <v>0.92499999999999949</v>
      </c>
      <c r="S6" s="658"/>
      <c r="T6" s="89">
        <v>0.38194444444444448</v>
      </c>
      <c r="U6" s="89">
        <v>0.40972222222222227</v>
      </c>
      <c r="V6" s="331">
        <v>22</v>
      </c>
      <c r="W6" s="328">
        <f t="shared" ref="W6:W17" si="8">(U6-T6)*24*60</f>
        <v>40.000000000000014</v>
      </c>
      <c r="X6" s="53">
        <v>0.37083333333333335</v>
      </c>
      <c r="Y6" s="53">
        <v>0.38055555555555554</v>
      </c>
      <c r="Z6" s="54"/>
      <c r="AA6" s="54"/>
      <c r="AB6" s="644"/>
      <c r="AC6" s="644"/>
      <c r="AD6" s="344"/>
      <c r="AE6" s="344">
        <v>1</v>
      </c>
      <c r="AF6" s="48">
        <f t="shared" si="6"/>
        <v>-180.00000000000091</v>
      </c>
      <c r="AG6" s="335">
        <f t="shared" si="7"/>
        <v>0.9249999999999996</v>
      </c>
      <c r="AH6" s="658"/>
    </row>
    <row r="7" spans="1:34" ht="19.2" customHeight="1">
      <c r="A7" s="656"/>
      <c r="B7" s="40" t="s">
        <v>100</v>
      </c>
      <c r="C7" s="41"/>
      <c r="D7" s="42" t="s">
        <v>153</v>
      </c>
      <c r="E7" s="43"/>
      <c r="F7" s="273">
        <v>28.86</v>
      </c>
      <c r="G7" s="44">
        <v>1608</v>
      </c>
      <c r="H7" s="45">
        <f t="shared" si="0"/>
        <v>46406.879999999997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-12.813486370157904</v>
      </c>
      <c r="R7" s="335">
        <f t="shared" si="5"/>
        <v>0.91527449696900653</v>
      </c>
      <c r="S7" s="658"/>
      <c r="T7" s="89">
        <v>0.41458333333333336</v>
      </c>
      <c r="U7" s="89">
        <v>0.44305555555555559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644"/>
      <c r="AC7" s="644"/>
      <c r="AD7" s="344"/>
      <c r="AE7" s="344"/>
      <c r="AF7" s="48">
        <f t="shared" si="6"/>
        <v>-217.82926829268399</v>
      </c>
      <c r="AG7" s="335">
        <f t="shared" si="7"/>
        <v>0.91527449696900665</v>
      </c>
      <c r="AH7" s="658"/>
    </row>
    <row r="8" spans="1:34" ht="19.2" customHeight="1">
      <c r="A8" s="656"/>
      <c r="B8" s="40" t="s">
        <v>100</v>
      </c>
      <c r="C8" s="41"/>
      <c r="D8" s="42" t="s">
        <v>167</v>
      </c>
      <c r="E8" s="43"/>
      <c r="F8" s="273">
        <v>35.89</v>
      </c>
      <c r="G8" s="44">
        <v>2268</v>
      </c>
      <c r="H8" s="45">
        <f t="shared" si="0"/>
        <v>81398.52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2346.2068965517224</v>
      </c>
      <c r="O8" s="47">
        <f t="shared" si="2"/>
        <v>130.3448275862068</v>
      </c>
      <c r="P8" s="48">
        <f t="shared" si="3"/>
        <v>0</v>
      </c>
      <c r="Q8" s="49">
        <f t="shared" si="4"/>
        <v>-12.488505747126538</v>
      </c>
      <c r="R8" s="335">
        <f t="shared" si="5"/>
        <v>0.91256588741801725</v>
      </c>
      <c r="S8" s="658"/>
      <c r="T8" s="89">
        <v>0.44791666666666669</v>
      </c>
      <c r="U8" s="89">
        <v>0.48819444444444449</v>
      </c>
      <c r="V8" s="331">
        <v>7</v>
      </c>
      <c r="W8" s="328">
        <f t="shared" si="8"/>
        <v>58.000000000000036</v>
      </c>
      <c r="X8" s="53"/>
      <c r="Y8" s="53"/>
      <c r="Z8" s="54"/>
      <c r="AA8" s="54"/>
      <c r="AB8" s="644"/>
      <c r="AC8" s="644"/>
      <c r="AD8" s="344"/>
      <c r="AE8" s="344"/>
      <c r="AF8" s="48">
        <f t="shared" si="6"/>
        <v>-224.79310344827763</v>
      </c>
      <c r="AG8" s="335">
        <f t="shared" si="7"/>
        <v>0.91256588741801725</v>
      </c>
      <c r="AH8" s="658"/>
    </row>
    <row r="9" spans="1:34" ht="19.2" customHeight="1">
      <c r="A9" s="656"/>
      <c r="B9" s="40" t="s">
        <v>100</v>
      </c>
      <c r="C9" s="55"/>
      <c r="D9" s="42" t="s">
        <v>53</v>
      </c>
      <c r="E9" s="56"/>
      <c r="F9" s="273">
        <v>31.11</v>
      </c>
      <c r="G9" s="57">
        <v>2599</v>
      </c>
      <c r="H9" s="45">
        <f t="shared" si="0"/>
        <v>80854.89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2515.1612903225828</v>
      </c>
      <c r="O9" s="47">
        <f t="shared" si="2"/>
        <v>139.73118279569906</v>
      </c>
      <c r="P9" s="48">
        <f t="shared" si="3"/>
        <v>0</v>
      </c>
      <c r="Q9" s="49">
        <f t="shared" si="4"/>
        <v>-14.102150537634287</v>
      </c>
      <c r="R9" s="335">
        <f t="shared" si="5"/>
        <v>0.90832838220389411</v>
      </c>
      <c r="S9" s="658"/>
      <c r="T9" s="89">
        <v>0.52847222222222223</v>
      </c>
      <c r="U9" s="89">
        <v>0.57152777777777775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644"/>
      <c r="AC9" s="644"/>
      <c r="AD9" s="344"/>
      <c r="AE9" s="344"/>
      <c r="AF9" s="48">
        <f t="shared" si="6"/>
        <v>-253.83870967741723</v>
      </c>
      <c r="AG9" s="335">
        <f t="shared" si="7"/>
        <v>0.90832838220389411</v>
      </c>
      <c r="AH9" s="658"/>
    </row>
    <row r="10" spans="1:34" ht="19.2" customHeight="1">
      <c r="A10" s="65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3516</v>
      </c>
      <c r="H10" s="45">
        <f t="shared" si="0"/>
        <v>135295.67999999999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2572.6829268292672</v>
      </c>
      <c r="O10" s="47">
        <f t="shared" si="2"/>
        <v>135.40436456996144</v>
      </c>
      <c r="P10" s="48">
        <f t="shared" si="3"/>
        <v>0</v>
      </c>
      <c r="Q10" s="49">
        <f t="shared" si="4"/>
        <v>-10.332477535301706</v>
      </c>
      <c r="R10" s="335">
        <f t="shared" si="5"/>
        <v>0.9291018153951851</v>
      </c>
      <c r="S10" s="659"/>
      <c r="T10" s="89">
        <v>0.57638888888888884</v>
      </c>
      <c r="U10" s="89">
        <v>0.6333333333333333</v>
      </c>
      <c r="V10" s="331">
        <v>7</v>
      </c>
      <c r="W10" s="328">
        <f t="shared" si="8"/>
        <v>82.000000000000028</v>
      </c>
      <c r="X10" s="53"/>
      <c r="Y10" s="53"/>
      <c r="Z10" s="54"/>
      <c r="AA10" s="54"/>
      <c r="AB10" s="644"/>
      <c r="AC10" s="644"/>
      <c r="AD10" s="344"/>
      <c r="AE10" s="344"/>
      <c r="AF10" s="48">
        <f t="shared" si="6"/>
        <v>-196.31707317073278</v>
      </c>
      <c r="AG10" s="335">
        <f t="shared" si="7"/>
        <v>0.92910181539518499</v>
      </c>
      <c r="AH10" s="659"/>
    </row>
    <row r="11" spans="1:34" ht="19.2" customHeight="1">
      <c r="A11" s="657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328"/>
      <c r="J11" s="46"/>
      <c r="K11" s="44"/>
      <c r="L11" s="47"/>
      <c r="M11" s="329"/>
      <c r="N11" s="44"/>
      <c r="O11" s="47"/>
      <c r="P11" s="48"/>
      <c r="Q11" s="49"/>
      <c r="R11" s="335"/>
      <c r="S11" s="659"/>
      <c r="T11" s="89"/>
      <c r="U11" s="89"/>
      <c r="V11" s="331"/>
      <c r="W11" s="328">
        <f t="shared" si="8"/>
        <v>0</v>
      </c>
      <c r="X11" s="53"/>
      <c r="Y11" s="53"/>
      <c r="Z11" s="54"/>
      <c r="AA11" s="54"/>
      <c r="AB11" s="644"/>
      <c r="AC11" s="644"/>
      <c r="AD11" s="344"/>
      <c r="AE11" s="344"/>
      <c r="AF11" s="48">
        <f t="shared" si="6"/>
        <v>0</v>
      </c>
      <c r="AG11" s="335" t="e">
        <f t="shared" si="7"/>
        <v>#DIV/0!</v>
      </c>
      <c r="AH11" s="659"/>
    </row>
    <row r="12" spans="1:34" ht="19.2" customHeight="1">
      <c r="A12" s="65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659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644"/>
      <c r="AC12" s="644"/>
      <c r="AD12" s="344"/>
      <c r="AE12" s="344"/>
      <c r="AF12" s="48">
        <f t="shared" si="6"/>
        <v>0</v>
      </c>
      <c r="AG12" s="335" t="e">
        <f t="shared" si="7"/>
        <v>#DIV/0!</v>
      </c>
      <c r="AH12" s="659"/>
    </row>
    <row r="13" spans="1:34" ht="19.2" customHeight="1">
      <c r="A13" s="65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659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644"/>
      <c r="AC13" s="644"/>
      <c r="AD13" s="344"/>
      <c r="AE13" s="344"/>
      <c r="AF13" s="48">
        <f t="shared" si="6"/>
        <v>0</v>
      </c>
      <c r="AG13" s="335" t="e">
        <f t="shared" si="7"/>
        <v>#DIV/0!</v>
      </c>
      <c r="AH13" s="659"/>
    </row>
    <row r="14" spans="1:34" ht="19.2" customHeight="1">
      <c r="A14" s="65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659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644"/>
      <c r="AC14" s="644"/>
      <c r="AD14" s="344"/>
      <c r="AE14" s="344"/>
      <c r="AF14" s="48">
        <f t="shared" si="6"/>
        <v>0</v>
      </c>
      <c r="AG14" s="335" t="e">
        <f t="shared" si="7"/>
        <v>#DIV/0!</v>
      </c>
      <c r="AH14" s="659"/>
    </row>
    <row r="15" spans="1:34" ht="19.2" customHeight="1">
      <c r="A15" s="65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659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644"/>
      <c r="AC15" s="644"/>
      <c r="AD15" s="344"/>
      <c r="AE15" s="344"/>
      <c r="AF15" s="48">
        <f t="shared" si="6"/>
        <v>0</v>
      </c>
      <c r="AG15" s="335" t="e">
        <f t="shared" si="7"/>
        <v>#DIV/0!</v>
      </c>
      <c r="AH15" s="659"/>
    </row>
    <row r="16" spans="1:34" ht="19.2" customHeight="1">
      <c r="A16" s="65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659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644"/>
      <c r="AC16" s="644"/>
      <c r="AD16" s="344"/>
      <c r="AE16" s="344"/>
      <c r="AF16" s="48">
        <f t="shared" si="6"/>
        <v>0</v>
      </c>
      <c r="AG16" s="335" t="e">
        <f t="shared" si="7"/>
        <v>#DIV/0!</v>
      </c>
      <c r="AH16" s="659"/>
    </row>
    <row r="17" spans="1:34" ht="19.2" customHeight="1">
      <c r="A17" s="657"/>
      <c r="B17" s="69">
        <v>0</v>
      </c>
      <c r="C17" s="69" t="s">
        <v>220</v>
      </c>
      <c r="D17" s="664" t="s">
        <v>221</v>
      </c>
      <c r="E17" s="664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2397.4536409018147</v>
      </c>
      <c r="O17" s="73">
        <f t="shared" si="9"/>
        <v>128.08191140227368</v>
      </c>
      <c r="P17" s="65">
        <f t="shared" ref="P17:P22" si="10">M17-J17</f>
        <v>0</v>
      </c>
      <c r="Q17" s="74">
        <f t="shared" ref="Q17:Q22" si="11">O17-L17</f>
        <v>-9.9055081269415268</v>
      </c>
      <c r="R17" s="75">
        <f>O17/L17</f>
        <v>0.92821441142433792</v>
      </c>
      <c r="S17" s="659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44"/>
      <c r="AC17" s="644"/>
      <c r="AD17" s="79">
        <f>SUM(AD5:AD16)</f>
        <v>0</v>
      </c>
      <c r="AE17" s="79">
        <f>SUM(AE5:AE16)</f>
        <v>1</v>
      </c>
      <c r="AF17" s="65">
        <f t="shared" si="6"/>
        <v>-182.54635909818535</v>
      </c>
      <c r="AG17" s="336">
        <f t="shared" si="7"/>
        <v>0.92924559724876532</v>
      </c>
      <c r="AH17" s="659"/>
    </row>
    <row r="18" spans="1:34" ht="19.2" customHeight="1">
      <c r="A18" s="66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326</v>
      </c>
      <c r="H18" s="84">
        <f t="shared" ref="H18:H29" si="12">F18*G18</f>
        <v>8965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1304.0000000000014</v>
      </c>
      <c r="O18" s="86">
        <f t="shared" ref="O18:O22" si="14">N18/M18</f>
        <v>108.66666666666679</v>
      </c>
      <c r="P18" s="54">
        <f t="shared" si="10"/>
        <v>0</v>
      </c>
      <c r="Q18" s="88">
        <f t="shared" si="11"/>
        <v>-57.999999999999872</v>
      </c>
      <c r="R18" s="338">
        <f t="shared" ref="R18:R22" si="15">O18/L18</f>
        <v>0.6520000000000008</v>
      </c>
      <c r="S18" s="667">
        <f>R30</f>
        <v>0.83798466491467061</v>
      </c>
      <c r="T18" s="89">
        <v>0.16666666666666666</v>
      </c>
      <c r="U18" s="89">
        <v>0.17708333333333331</v>
      </c>
      <c r="V18" s="344">
        <v>5</v>
      </c>
      <c r="W18" s="90">
        <f>(U18-T18)*24*60</f>
        <v>14.999999999999986</v>
      </c>
      <c r="X18" s="86"/>
      <c r="Y18" s="86"/>
      <c r="Z18" s="54"/>
      <c r="AA18" s="54"/>
      <c r="AB18" s="644"/>
      <c r="AC18" s="644"/>
      <c r="AD18" s="344"/>
      <c r="AE18" s="344"/>
      <c r="AF18" s="91">
        <f t="shared" si="6"/>
        <v>-695.99999999999864</v>
      </c>
      <c r="AG18" s="92">
        <f t="shared" si="7"/>
        <v>0.65200000000000069</v>
      </c>
      <c r="AH18" s="668">
        <f>AG30</f>
        <v>0.85879692061455803</v>
      </c>
    </row>
    <row r="19" spans="1:34" ht="19.2" customHeight="1">
      <c r="A19" s="666"/>
      <c r="B19" s="342" t="s">
        <v>103</v>
      </c>
      <c r="C19" s="341"/>
      <c r="D19" s="82" t="s">
        <v>60</v>
      </c>
      <c r="E19" s="83"/>
      <c r="F19" s="273">
        <v>43.14</v>
      </c>
      <c r="G19" s="57">
        <v>1360.8</v>
      </c>
      <c r="H19" s="84">
        <f t="shared" si="12"/>
        <v>58704.911999999997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1383.8644067796613</v>
      </c>
      <c r="O19" s="95">
        <f t="shared" si="14"/>
        <v>81.403788634097722</v>
      </c>
      <c r="P19" s="54">
        <f t="shared" si="10"/>
        <v>0</v>
      </c>
      <c r="Q19" s="88">
        <f t="shared" si="11"/>
        <v>-6.8315054835493356</v>
      </c>
      <c r="R19" s="338">
        <f t="shared" si="15"/>
        <v>0.92257627118644081</v>
      </c>
      <c r="S19" s="667"/>
      <c r="T19" s="89">
        <v>0.18124999999999999</v>
      </c>
      <c r="U19" s="89">
        <v>0.22222222222222221</v>
      </c>
      <c r="V19" s="344">
        <v>6</v>
      </c>
      <c r="W19" s="90">
        <f>(U19-T19)*24*60</f>
        <v>58.999999999999993</v>
      </c>
      <c r="X19" s="96"/>
      <c r="Y19" s="96"/>
      <c r="Z19" s="54"/>
      <c r="AA19" s="54"/>
      <c r="AB19" s="644"/>
      <c r="AC19" s="644"/>
      <c r="AD19" s="344"/>
      <c r="AE19" s="344"/>
      <c r="AF19" s="48">
        <f t="shared" si="6"/>
        <v>-116.13559322033871</v>
      </c>
      <c r="AG19" s="335">
        <f t="shared" si="7"/>
        <v>0.92257627118644081</v>
      </c>
      <c r="AH19" s="669"/>
    </row>
    <row r="20" spans="1:34" ht="19.2" customHeight="1">
      <c r="A20" s="666"/>
      <c r="B20" s="342" t="s">
        <v>102</v>
      </c>
      <c r="C20" s="55"/>
      <c r="D20" s="42" t="s">
        <v>164</v>
      </c>
      <c r="E20" s="83"/>
      <c r="F20" s="273">
        <v>50.67</v>
      </c>
      <c r="G20" s="57">
        <v>2870</v>
      </c>
      <c r="H20" s="84">
        <f t="shared" si="12"/>
        <v>145422.9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1377.6000000000004</v>
      </c>
      <c r="O20" s="95">
        <f t="shared" si="14"/>
        <v>72.50526315789476</v>
      </c>
      <c r="P20" s="54">
        <f t="shared" si="10"/>
        <v>0</v>
      </c>
      <c r="Q20" s="88">
        <f t="shared" si="11"/>
        <v>-6.4421052631578704</v>
      </c>
      <c r="R20" s="338">
        <f t="shared" si="15"/>
        <v>0.91840000000000033</v>
      </c>
      <c r="S20" s="667"/>
      <c r="T20" s="89">
        <v>0.23749999999999999</v>
      </c>
      <c r="U20" s="89">
        <v>0.32430555555555551</v>
      </c>
      <c r="V20" s="344">
        <v>22</v>
      </c>
      <c r="W20" s="90">
        <f t="shared" ref="W20:W29" si="16">(U20-T20)*24*60</f>
        <v>124.99999999999996</v>
      </c>
      <c r="X20" s="96">
        <v>0.22638888888888889</v>
      </c>
      <c r="Y20" s="96">
        <v>0.23611111111111113</v>
      </c>
      <c r="Z20" s="54"/>
      <c r="AA20" s="54"/>
      <c r="AB20" s="644"/>
      <c r="AC20" s="644"/>
      <c r="AD20" s="344"/>
      <c r="AE20" s="344"/>
      <c r="AF20" s="91">
        <f t="shared" si="6"/>
        <v>-122.39999999999964</v>
      </c>
      <c r="AG20" s="92">
        <f t="shared" si="7"/>
        <v>0.91840000000000022</v>
      </c>
      <c r="AH20" s="669"/>
    </row>
    <row r="21" spans="1:34" ht="19.2" customHeight="1">
      <c r="A21" s="666"/>
      <c r="B21" s="342" t="s">
        <v>102</v>
      </c>
      <c r="C21" s="97"/>
      <c r="D21" s="98" t="s">
        <v>149</v>
      </c>
      <c r="E21" s="43"/>
      <c r="F21" s="273">
        <v>49.91</v>
      </c>
      <c r="G21" s="44">
        <v>3245</v>
      </c>
      <c r="H21" s="84">
        <f t="shared" si="12"/>
        <v>161957.94999999998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1452.9850746268655</v>
      </c>
      <c r="O21" s="95">
        <f t="shared" si="14"/>
        <v>85.469710272168555</v>
      </c>
      <c r="P21" s="54">
        <f t="shared" si="10"/>
        <v>0</v>
      </c>
      <c r="Q21" s="88">
        <f t="shared" si="11"/>
        <v>-6.5891132572432127</v>
      </c>
      <c r="R21" s="338">
        <f t="shared" si="15"/>
        <v>0.92842496781269357</v>
      </c>
      <c r="S21" s="667"/>
      <c r="T21" s="89">
        <v>0.32916666666666661</v>
      </c>
      <c r="U21" s="89">
        <v>0.42222222222222217</v>
      </c>
      <c r="V21" s="344">
        <v>7</v>
      </c>
      <c r="W21" s="90">
        <f t="shared" si="16"/>
        <v>134</v>
      </c>
      <c r="X21" s="96"/>
      <c r="Y21" s="96"/>
      <c r="Z21" s="54"/>
      <c r="AA21" s="54"/>
      <c r="AB21" s="644"/>
      <c r="AC21" s="644"/>
      <c r="AD21" s="344"/>
      <c r="AE21" s="344"/>
      <c r="AF21" s="48">
        <f t="shared" si="6"/>
        <v>-112.01492537313447</v>
      </c>
      <c r="AG21" s="335">
        <f t="shared" si="7"/>
        <v>0.92842496781269368</v>
      </c>
      <c r="AH21" s="670"/>
    </row>
    <row r="22" spans="1:34" ht="19.2" customHeight="1">
      <c r="A22" s="66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5120</v>
      </c>
      <c r="H22" s="84">
        <f t="shared" si="12"/>
        <v>193536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2497.5609756097551</v>
      </c>
      <c r="O22" s="95">
        <f t="shared" si="14"/>
        <v>124.87804878048776</v>
      </c>
      <c r="P22" s="54">
        <f t="shared" si="10"/>
        <v>0</v>
      </c>
      <c r="Q22" s="88">
        <f t="shared" si="11"/>
        <v>-13.571951219512229</v>
      </c>
      <c r="R22" s="338">
        <f t="shared" si="15"/>
        <v>0.90197218331879936</v>
      </c>
      <c r="S22" s="667"/>
      <c r="T22" s="89">
        <v>0.46249999999999991</v>
      </c>
      <c r="U22" s="89">
        <v>0.54791666666666661</v>
      </c>
      <c r="V22" s="344">
        <v>5</v>
      </c>
      <c r="W22" s="90">
        <f t="shared" si="16"/>
        <v>123.00000000000004</v>
      </c>
      <c r="X22" s="96"/>
      <c r="Y22" s="96"/>
      <c r="Z22" s="54"/>
      <c r="AA22" s="54"/>
      <c r="AB22" s="644"/>
      <c r="AC22" s="644"/>
      <c r="AD22" s="344">
        <v>1</v>
      </c>
      <c r="AE22" s="344"/>
      <c r="AF22" s="91">
        <f t="shared" si="6"/>
        <v>-271.43902439024487</v>
      </c>
      <c r="AG22" s="92">
        <f t="shared" si="7"/>
        <v>0.90197218331879925</v>
      </c>
      <c r="AH22" s="670"/>
    </row>
    <row r="23" spans="1:34" ht="19.2" customHeight="1">
      <c r="A23" s="666"/>
      <c r="B23" s="342">
        <v>0</v>
      </c>
      <c r="C23" s="97"/>
      <c r="D23" s="42"/>
      <c r="E23" s="43"/>
      <c r="F23" s="273" t="s">
        <v>106</v>
      </c>
      <c r="G23" s="44"/>
      <c r="H23" s="84">
        <f t="shared" si="12"/>
        <v>0</v>
      </c>
      <c r="I23" s="331"/>
      <c r="J23" s="93"/>
      <c r="K23" s="44"/>
      <c r="L23" s="47"/>
      <c r="M23" s="93"/>
      <c r="N23" s="94"/>
      <c r="O23" s="95"/>
      <c r="P23" s="54"/>
      <c r="Q23" s="88"/>
      <c r="R23" s="338"/>
      <c r="S23" s="667"/>
      <c r="T23" s="89"/>
      <c r="U23" s="89"/>
      <c r="V23" s="344"/>
      <c r="W23" s="90">
        <f t="shared" si="16"/>
        <v>0</v>
      </c>
      <c r="X23" s="96"/>
      <c r="Y23" s="96"/>
      <c r="Z23" s="54"/>
      <c r="AA23" s="54"/>
      <c r="AB23" s="644"/>
      <c r="AC23" s="644"/>
      <c r="AD23" s="344"/>
      <c r="AE23" s="344"/>
      <c r="AF23" s="48">
        <f t="shared" si="6"/>
        <v>0</v>
      </c>
      <c r="AG23" s="335" t="e">
        <f t="shared" si="7"/>
        <v>#DIV/0!</v>
      </c>
      <c r="AH23" s="670"/>
    </row>
    <row r="24" spans="1:34" ht="19.2" customHeight="1">
      <c r="A24" s="66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66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644"/>
      <c r="AC24" s="644"/>
      <c r="AD24" s="344"/>
      <c r="AE24" s="344"/>
      <c r="AF24" s="91">
        <f t="shared" si="6"/>
        <v>0</v>
      </c>
      <c r="AG24" s="92" t="e">
        <f t="shared" si="7"/>
        <v>#DIV/0!</v>
      </c>
      <c r="AH24" s="670"/>
    </row>
    <row r="25" spans="1:34" ht="19.2" customHeight="1">
      <c r="A25" s="66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66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644"/>
      <c r="AC25" s="644"/>
      <c r="AD25" s="344"/>
      <c r="AE25" s="344"/>
      <c r="AF25" s="48">
        <f t="shared" si="6"/>
        <v>0</v>
      </c>
      <c r="AG25" s="335" t="e">
        <f t="shared" si="7"/>
        <v>#DIV/0!</v>
      </c>
      <c r="AH25" s="670"/>
    </row>
    <row r="26" spans="1:34" ht="19.2" customHeight="1">
      <c r="A26" s="66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66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644"/>
      <c r="AC26" s="644"/>
      <c r="AD26" s="344"/>
      <c r="AE26" s="344"/>
      <c r="AF26" s="91">
        <f t="shared" si="6"/>
        <v>0</v>
      </c>
      <c r="AG26" s="92" t="e">
        <f t="shared" si="7"/>
        <v>#DIV/0!</v>
      </c>
      <c r="AH26" s="670"/>
    </row>
    <row r="27" spans="1:34" ht="19.2" customHeight="1">
      <c r="A27" s="66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66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644"/>
      <c r="AC27" s="644"/>
      <c r="AD27" s="344"/>
      <c r="AE27" s="344"/>
      <c r="AF27" s="48">
        <f t="shared" si="6"/>
        <v>0</v>
      </c>
      <c r="AG27" s="335" t="e">
        <f t="shared" si="7"/>
        <v>#DIV/0!</v>
      </c>
      <c r="AH27" s="670"/>
    </row>
    <row r="28" spans="1:34" ht="19.2" customHeight="1">
      <c r="A28" s="66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66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644"/>
      <c r="AC28" s="644"/>
      <c r="AD28" s="344"/>
      <c r="AE28" s="344"/>
      <c r="AF28" s="91">
        <f t="shared" si="6"/>
        <v>0</v>
      </c>
      <c r="AG28" s="92" t="e">
        <f t="shared" si="7"/>
        <v>#DIV/0!</v>
      </c>
      <c r="AH28" s="670"/>
    </row>
    <row r="29" spans="1:34" ht="19.2" customHeight="1">
      <c r="A29" s="66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66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644"/>
      <c r="AC29" s="644"/>
      <c r="AD29" s="344"/>
      <c r="AE29" s="344"/>
      <c r="AF29" s="48">
        <f t="shared" si="6"/>
        <v>0</v>
      </c>
      <c r="AG29" s="335"/>
      <c r="AH29" s="670"/>
    </row>
    <row r="30" spans="1:34" ht="19.2" customHeight="1">
      <c r="A30" s="666"/>
      <c r="B30" s="99">
        <v>0</v>
      </c>
      <c r="C30" s="100" t="s">
        <v>223</v>
      </c>
      <c r="D30" s="665" t="s">
        <v>221</v>
      </c>
      <c r="E30" s="665"/>
      <c r="F30" s="277"/>
      <c r="G30" s="101"/>
      <c r="H30" s="102"/>
      <c r="I30" s="103"/>
      <c r="J30" s="101">
        <v>17</v>
      </c>
      <c r="K30" s="101">
        <v>1866.8</v>
      </c>
      <c r="L30" s="104">
        <v>112.87163054695561</v>
      </c>
      <c r="M30" s="101">
        <f t="shared" ref="M30:O30" si="17">AVERAGE(M18:M29)</f>
        <v>17</v>
      </c>
      <c r="N30" s="101">
        <f t="shared" si="17"/>
        <v>1603.2020914032569</v>
      </c>
      <c r="O30" s="104">
        <f t="shared" si="17"/>
        <v>94.584695502263102</v>
      </c>
      <c r="P30" s="54">
        <f t="shared" ref="P30:P37" si="18">M30-J30</f>
        <v>0</v>
      </c>
      <c r="Q30" s="88">
        <f t="shared" ref="Q30:Q37" si="19">O30-L30</f>
        <v>-18.286935044692513</v>
      </c>
      <c r="R30" s="105">
        <f t="shared" ref="R30:R37" si="20">O30/L30</f>
        <v>0.83798466491467061</v>
      </c>
      <c r="S30" s="66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44"/>
      <c r="AC30" s="644"/>
      <c r="AD30" s="107">
        <f>SUM(AD18:AD29)</f>
        <v>1</v>
      </c>
      <c r="AE30" s="107">
        <f>SUM(AE18:AE29)</f>
        <v>0</v>
      </c>
      <c r="AF30" s="108">
        <f t="shared" si="6"/>
        <v>-263.59790859674308</v>
      </c>
      <c r="AG30" s="109">
        <f t="shared" ref="AG30" si="21">N30/K30</f>
        <v>0.85879692061455803</v>
      </c>
      <c r="AH30" s="671"/>
    </row>
    <row r="31" spans="1:34" ht="19.2" customHeight="1">
      <c r="A31" s="67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1971</v>
      </c>
      <c r="H31" s="112">
        <f t="shared" ref="H31:H40" si="22">F31*G31</f>
        <v>52231.5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1478.25</v>
      </c>
      <c r="O31" s="115">
        <f t="shared" ref="O31:O37" si="24">N31/M31</f>
        <v>123.1875</v>
      </c>
      <c r="P31" s="116">
        <f t="shared" si="18"/>
        <v>0</v>
      </c>
      <c r="Q31" s="117">
        <f t="shared" si="19"/>
        <v>-43.479166666666657</v>
      </c>
      <c r="R31" s="339">
        <f t="shared" si="20"/>
        <v>0.73912500000000003</v>
      </c>
      <c r="S31" s="676">
        <f>R43</f>
        <v>0.86538088965464466</v>
      </c>
      <c r="T31" s="118">
        <v>0.16666666666666666</v>
      </c>
      <c r="U31" s="118">
        <v>0.22222222222222221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644"/>
      <c r="AC31" s="644"/>
      <c r="AD31" s="52"/>
      <c r="AE31" s="52"/>
      <c r="AF31" s="116">
        <f t="shared" si="6"/>
        <v>-521.75</v>
      </c>
      <c r="AG31" s="120">
        <f t="shared" si="7"/>
        <v>0.73912500000000003</v>
      </c>
      <c r="AH31" s="672">
        <f>AG43</f>
        <v>0.86661840663555023</v>
      </c>
    </row>
    <row r="32" spans="1:34" ht="19.2" customHeight="1">
      <c r="A32" s="67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2766</v>
      </c>
      <c r="H32" s="84">
        <f t="shared" si="22"/>
        <v>94680.18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2074.5</v>
      </c>
      <c r="O32" s="47">
        <f t="shared" si="24"/>
        <v>159.57692307692307</v>
      </c>
      <c r="P32" s="116">
        <f t="shared" si="18"/>
        <v>0</v>
      </c>
      <c r="Q32" s="49">
        <f t="shared" si="19"/>
        <v>-13.5</v>
      </c>
      <c r="R32" s="335">
        <f t="shared" si="20"/>
        <v>0.92200000000000004</v>
      </c>
      <c r="S32" s="667"/>
      <c r="T32" s="89">
        <v>0.22638888888888889</v>
      </c>
      <c r="U32" s="89">
        <v>0.28194444444444444</v>
      </c>
      <c r="V32" s="142">
        <v>6</v>
      </c>
      <c r="W32" s="90">
        <f t="shared" si="25"/>
        <v>80</v>
      </c>
      <c r="X32" s="123"/>
      <c r="Y32" s="123"/>
      <c r="Z32" s="124"/>
      <c r="AA32" s="124"/>
      <c r="AB32" s="644"/>
      <c r="AC32" s="644"/>
      <c r="AD32" s="344"/>
      <c r="AE32" s="344"/>
      <c r="AF32" s="48">
        <f t="shared" si="6"/>
        <v>-175.5</v>
      </c>
      <c r="AG32" s="335">
        <f t="shared" si="7"/>
        <v>0.92200000000000004</v>
      </c>
      <c r="AH32" s="658"/>
    </row>
    <row r="33" spans="1:34" ht="19.2" customHeight="1">
      <c r="A33" s="675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2721</v>
      </c>
      <c r="H33" s="84">
        <f t="shared" si="22"/>
        <v>93139.829999999987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2093.0769230769242</v>
      </c>
      <c r="O33" s="47">
        <f t="shared" si="24"/>
        <v>161.00591715976341</v>
      </c>
      <c r="P33" s="116">
        <f t="shared" si="18"/>
        <v>0</v>
      </c>
      <c r="Q33" s="49">
        <f t="shared" si="19"/>
        <v>-12.071005917159653</v>
      </c>
      <c r="R33" s="335">
        <f t="shared" si="20"/>
        <v>0.93025641025641093</v>
      </c>
      <c r="S33" s="667"/>
      <c r="T33" s="89">
        <v>0.29791666666666666</v>
      </c>
      <c r="U33" s="89">
        <v>0.3520833333333333</v>
      </c>
      <c r="V33" s="142">
        <v>23</v>
      </c>
      <c r="W33" s="90">
        <f t="shared" si="25"/>
        <v>77.999999999999957</v>
      </c>
      <c r="X33" s="123">
        <v>0.28611111111111115</v>
      </c>
      <c r="Y33" s="123">
        <v>0.29722222222222222</v>
      </c>
      <c r="Z33" s="124"/>
      <c r="AA33" s="124"/>
      <c r="AB33" s="644"/>
      <c r="AC33" s="644"/>
      <c r="AD33" s="344"/>
      <c r="AE33" s="344">
        <v>1</v>
      </c>
      <c r="AF33" s="48">
        <f t="shared" si="6"/>
        <v>-156.92307692307577</v>
      </c>
      <c r="AG33" s="125">
        <f t="shared" si="7"/>
        <v>0.93025641025641082</v>
      </c>
      <c r="AH33" s="658"/>
    </row>
    <row r="34" spans="1:34" ht="19.2" customHeight="1">
      <c r="A34" s="675"/>
      <c r="B34" s="121" t="s">
        <v>102</v>
      </c>
      <c r="C34" s="126"/>
      <c r="D34" s="147" t="s">
        <v>174</v>
      </c>
      <c r="E34" s="83"/>
      <c r="F34" s="273">
        <v>49.91</v>
      </c>
      <c r="G34" s="137">
        <v>1888</v>
      </c>
      <c r="H34" s="84">
        <f t="shared" si="22"/>
        <v>94230.079999999987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1381.4634146341459</v>
      </c>
      <c r="O34" s="47">
        <f t="shared" si="24"/>
        <v>81.262553802008583</v>
      </c>
      <c r="P34" s="116">
        <f t="shared" si="18"/>
        <v>0</v>
      </c>
      <c r="Q34" s="49">
        <f t="shared" si="19"/>
        <v>-10.796269727403185</v>
      </c>
      <c r="R34" s="335">
        <f t="shared" si="20"/>
        <v>0.88272422660328809</v>
      </c>
      <c r="S34" s="667"/>
      <c r="T34" s="89">
        <v>0.35763888888888884</v>
      </c>
      <c r="U34" s="89">
        <v>0.4145833333333333</v>
      </c>
      <c r="V34" s="137">
        <v>8</v>
      </c>
      <c r="W34" s="90">
        <f t="shared" si="25"/>
        <v>82.000000000000028</v>
      </c>
      <c r="X34" s="123"/>
      <c r="Y34" s="123"/>
      <c r="Z34" s="124"/>
      <c r="AA34" s="124"/>
      <c r="AB34" s="644"/>
      <c r="AC34" s="644"/>
      <c r="AD34" s="344"/>
      <c r="AE34" s="344"/>
      <c r="AF34" s="48">
        <f t="shared" si="6"/>
        <v>-183.53658536585408</v>
      </c>
      <c r="AG34" s="125">
        <f t="shared" si="7"/>
        <v>0.88272422660328809</v>
      </c>
      <c r="AH34" s="658"/>
    </row>
    <row r="35" spans="1:34" ht="19.2" customHeight="1">
      <c r="A35" s="675"/>
      <c r="B35" s="121" t="s">
        <v>102</v>
      </c>
      <c r="C35" s="41"/>
      <c r="D35" s="150" t="s">
        <v>168</v>
      </c>
      <c r="E35" s="43"/>
      <c r="F35" s="273">
        <v>44.3</v>
      </c>
      <c r="G35" s="137">
        <v>1175</v>
      </c>
      <c r="H35" s="84">
        <f t="shared" si="22"/>
        <v>52052.5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1355.7692307692314</v>
      </c>
      <c r="O35" s="47">
        <f t="shared" si="24"/>
        <v>75.32051282051286</v>
      </c>
      <c r="P35" s="116">
        <f t="shared" si="18"/>
        <v>0</v>
      </c>
      <c r="Q35" s="49">
        <f t="shared" si="19"/>
        <v>-11.623931623931583</v>
      </c>
      <c r="R35" s="335">
        <f t="shared" si="20"/>
        <v>0.86630621774391792</v>
      </c>
      <c r="S35" s="667"/>
      <c r="T35" s="89">
        <v>0.42986111111111108</v>
      </c>
      <c r="U35" s="89">
        <v>0.46597222222222218</v>
      </c>
      <c r="V35" s="134">
        <v>22</v>
      </c>
      <c r="W35" s="90">
        <f t="shared" si="25"/>
        <v>51.999999999999972</v>
      </c>
      <c r="X35" s="123">
        <v>0.41944444444444445</v>
      </c>
      <c r="Y35" s="123">
        <v>0.4291666666666667</v>
      </c>
      <c r="Z35" s="124"/>
      <c r="AA35" s="124"/>
      <c r="AB35" s="644"/>
      <c r="AC35" s="644"/>
      <c r="AD35" s="344"/>
      <c r="AE35" s="344"/>
      <c r="AF35" s="116">
        <f t="shared" si="6"/>
        <v>-209.2307692307686</v>
      </c>
      <c r="AG35" s="120">
        <f t="shared" si="7"/>
        <v>0.86630621774391781</v>
      </c>
      <c r="AH35" s="659"/>
    </row>
    <row r="36" spans="1:34" ht="19.2" customHeight="1">
      <c r="A36" s="675"/>
      <c r="B36" s="121" t="s">
        <v>100</v>
      </c>
      <c r="C36" s="128"/>
      <c r="D36" s="150" t="s">
        <v>163</v>
      </c>
      <c r="E36" s="83"/>
      <c r="F36" s="273">
        <v>46.93</v>
      </c>
      <c r="G36" s="134">
        <v>770</v>
      </c>
      <c r="H36" s="84">
        <f t="shared" si="22"/>
        <v>36136.1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2008.6956521739203</v>
      </c>
      <c r="O36" s="47">
        <f t="shared" si="24"/>
        <v>105.72082379862738</v>
      </c>
      <c r="P36" s="116">
        <f t="shared" si="18"/>
        <v>0</v>
      </c>
      <c r="Q36" s="49">
        <f t="shared" si="19"/>
        <v>-20.594965675056827</v>
      </c>
      <c r="R36" s="335">
        <f t="shared" si="20"/>
        <v>0.83695652173913349</v>
      </c>
      <c r="S36" s="667"/>
      <c r="T36" s="89">
        <v>0.50624999999999998</v>
      </c>
      <c r="U36" s="89">
        <v>0.52222222222222214</v>
      </c>
      <c r="V36" s="134">
        <v>5</v>
      </c>
      <c r="W36" s="90">
        <f t="shared" si="25"/>
        <v>22.999999999999918</v>
      </c>
      <c r="X36" s="123"/>
      <c r="Y36" s="123"/>
      <c r="Z36" s="124"/>
      <c r="AA36" s="124"/>
      <c r="AB36" s="644"/>
      <c r="AC36" s="644"/>
      <c r="AD36" s="344"/>
      <c r="AE36" s="344"/>
      <c r="AF36" s="48">
        <f t="shared" si="6"/>
        <v>-391.30434782607972</v>
      </c>
      <c r="AG36" s="335">
        <f t="shared" si="7"/>
        <v>0.83695652173913349</v>
      </c>
      <c r="AH36" s="659"/>
    </row>
    <row r="37" spans="1:34" ht="19.2" customHeight="1">
      <c r="A37" s="675"/>
      <c r="B37" s="121" t="s">
        <v>100</v>
      </c>
      <c r="C37" s="128"/>
      <c r="D37" s="42" t="s">
        <v>170</v>
      </c>
      <c r="E37" s="83"/>
      <c r="F37" s="273">
        <v>43.96</v>
      </c>
      <c r="G37" s="134">
        <v>1092</v>
      </c>
      <c r="H37" s="84">
        <f t="shared" si="22"/>
        <v>48004.32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2113.548387096771</v>
      </c>
      <c r="O37" s="47">
        <f t="shared" si="24"/>
        <v>111.23938879456689</v>
      </c>
      <c r="P37" s="116">
        <f t="shared" si="18"/>
        <v>0</v>
      </c>
      <c r="Q37" s="49">
        <f t="shared" si="19"/>
        <v>-15.076400679117313</v>
      </c>
      <c r="R37" s="335">
        <f t="shared" si="20"/>
        <v>0.88064516129032122</v>
      </c>
      <c r="S37" s="667"/>
      <c r="T37" s="89">
        <v>0.52708333333333324</v>
      </c>
      <c r="U37" s="89">
        <v>0.54861111111111105</v>
      </c>
      <c r="V37" s="134">
        <v>7</v>
      </c>
      <c r="W37" s="90">
        <f t="shared" si="25"/>
        <v>31.00000000000005</v>
      </c>
      <c r="X37" s="123"/>
      <c r="Y37" s="123"/>
      <c r="Z37" s="124"/>
      <c r="AA37" s="124"/>
      <c r="AB37" s="644"/>
      <c r="AC37" s="644"/>
      <c r="AD37" s="344"/>
      <c r="AE37" s="344"/>
      <c r="AF37" s="48">
        <f t="shared" si="6"/>
        <v>-286.45161290322903</v>
      </c>
      <c r="AG37" s="125">
        <f t="shared" si="7"/>
        <v>0.88064516129032122</v>
      </c>
      <c r="AH37" s="659"/>
    </row>
    <row r="38" spans="1:34" ht="19.2" customHeight="1">
      <c r="A38" s="675"/>
      <c r="B38" s="121">
        <v>0</v>
      </c>
      <c r="C38" s="128"/>
      <c r="D38" s="150"/>
      <c r="E38" s="83"/>
      <c r="F38" s="273" t="s">
        <v>106</v>
      </c>
      <c r="G38" s="134"/>
      <c r="H38" s="84">
        <f t="shared" si="22"/>
        <v>0</v>
      </c>
      <c r="I38" s="344"/>
      <c r="J38" s="113"/>
      <c r="K38" s="94"/>
      <c r="L38" s="95"/>
      <c r="M38" s="149"/>
      <c r="N38" s="44"/>
      <c r="O38" s="47"/>
      <c r="P38" s="116"/>
      <c r="Q38" s="49"/>
      <c r="R38" s="335"/>
      <c r="S38" s="667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644"/>
      <c r="AC38" s="644"/>
      <c r="AD38" s="344"/>
      <c r="AE38" s="344"/>
      <c r="AF38" s="48">
        <f t="shared" si="6"/>
        <v>0</v>
      </c>
      <c r="AG38" s="125" t="e">
        <f t="shared" si="7"/>
        <v>#DIV/0!</v>
      </c>
      <c r="AH38" s="659"/>
    </row>
    <row r="39" spans="1:34" ht="19.2" customHeight="1">
      <c r="A39" s="67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667"/>
      <c r="T39" s="89"/>
      <c r="U39" s="89"/>
      <c r="V39" s="344"/>
      <c r="W39" s="90"/>
      <c r="X39" s="123"/>
      <c r="Y39" s="123"/>
      <c r="Z39" s="124"/>
      <c r="AA39" s="124"/>
      <c r="AB39" s="644"/>
      <c r="AC39" s="644"/>
      <c r="AD39" s="344"/>
      <c r="AE39" s="344"/>
      <c r="AF39" s="116">
        <f t="shared" si="6"/>
        <v>0</v>
      </c>
      <c r="AG39" s="120" t="e">
        <f t="shared" si="7"/>
        <v>#DIV/0!</v>
      </c>
      <c r="AH39" s="659"/>
    </row>
    <row r="40" spans="1:34" ht="19.2" customHeight="1">
      <c r="A40" s="67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66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644"/>
      <c r="AC40" s="644"/>
      <c r="AD40" s="344"/>
      <c r="AE40" s="344"/>
      <c r="AF40" s="48">
        <f t="shared" si="6"/>
        <v>0</v>
      </c>
      <c r="AG40" s="335" t="e">
        <f t="shared" si="7"/>
        <v>#DIV/0!</v>
      </c>
      <c r="AH40" s="659"/>
    </row>
    <row r="41" spans="1:34" ht="19.2" customHeight="1">
      <c r="A41" s="675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66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644"/>
      <c r="AC41" s="644"/>
      <c r="AD41" s="344"/>
      <c r="AE41" s="344"/>
      <c r="AF41" s="48"/>
      <c r="AG41" s="129"/>
      <c r="AH41" s="659"/>
    </row>
    <row r="42" spans="1:34" ht="19.2" customHeight="1">
      <c r="A42" s="675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66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644"/>
      <c r="AC42" s="644"/>
      <c r="AD42" s="344"/>
      <c r="AE42" s="344"/>
      <c r="AF42" s="48"/>
      <c r="AG42" s="129"/>
      <c r="AH42" s="659"/>
    </row>
    <row r="43" spans="1:34" ht="19.2" customHeight="1">
      <c r="A43" s="675"/>
      <c r="B43" s="121">
        <v>0</v>
      </c>
      <c r="C43" s="100" t="s">
        <v>225</v>
      </c>
      <c r="D43" s="673" t="s">
        <v>221</v>
      </c>
      <c r="E43" s="673"/>
      <c r="F43" s="27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6">AVERAGE(M31:M42)</f>
        <v>15.857142857142858</v>
      </c>
      <c r="N43" s="101">
        <f t="shared" si="26"/>
        <v>1786.4719439644273</v>
      </c>
      <c r="O43" s="104">
        <f t="shared" si="26"/>
        <v>116.75908849320032</v>
      </c>
      <c r="P43" s="54">
        <f>M43-J43</f>
        <v>0</v>
      </c>
      <c r="Q43" s="88">
        <f>N43-K43</f>
        <v>-274.95662746414428</v>
      </c>
      <c r="R43" s="105">
        <f t="shared" ref="R43:R51" si="27">O43/L43</f>
        <v>0.86538088965464466</v>
      </c>
      <c r="S43" s="66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644"/>
      <c r="AC43" s="644"/>
      <c r="AD43" s="107">
        <f>SUM(AD31:AD42)</f>
        <v>0</v>
      </c>
      <c r="AE43" s="107">
        <f>SUM(AE31:AE42)</f>
        <v>1</v>
      </c>
      <c r="AF43" s="48">
        <f t="shared" ref="AF43:AF54" si="28">N43-K43</f>
        <v>-274.95662746414428</v>
      </c>
      <c r="AG43" s="336">
        <f t="shared" si="7"/>
        <v>0.86661840663555023</v>
      </c>
      <c r="AH43" s="659"/>
    </row>
    <row r="44" spans="1:34" s="145" customFormat="1" ht="19.2" customHeight="1">
      <c r="A44" s="67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1295</v>
      </c>
      <c r="H44" s="45">
        <f>F44*G44</f>
        <v>32025.350000000002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2044.7368421052638</v>
      </c>
      <c r="O44" s="138">
        <f t="shared" ref="O44:O51" si="30">N44/M44</f>
        <v>408.94736842105277</v>
      </c>
      <c r="P44" s="51">
        <f t="shared" ref="P44:P51" si="31">M44-J44</f>
        <v>1</v>
      </c>
      <c r="Q44" s="139">
        <f t="shared" ref="Q44:Q51" si="32">O44-L44</f>
        <v>-91.052631578947228</v>
      </c>
      <c r="R44" s="140">
        <f t="shared" si="27"/>
        <v>0.81789473684210556</v>
      </c>
      <c r="S44" s="658">
        <f>R56</f>
        <v>0.89440043021483229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644"/>
      <c r="AC44" s="644"/>
      <c r="AD44" s="344"/>
      <c r="AE44" s="344"/>
      <c r="AF44" s="144">
        <f t="shared" si="28"/>
        <v>44.736842105263804</v>
      </c>
      <c r="AG44" s="340">
        <f t="shared" si="7"/>
        <v>1.0223684210526318</v>
      </c>
      <c r="AH44" s="681">
        <f>AG56</f>
        <v>0.96715957705774902</v>
      </c>
    </row>
    <row r="45" spans="1:34" s="145" customFormat="1" ht="19.2" customHeight="1">
      <c r="A45" s="679"/>
      <c r="B45" s="97" t="s">
        <v>104</v>
      </c>
      <c r="C45" s="133"/>
      <c r="D45" s="42" t="s">
        <v>73</v>
      </c>
      <c r="E45" s="43"/>
      <c r="F45" s="280">
        <v>24.73</v>
      </c>
      <c r="G45" s="134">
        <v>1245</v>
      </c>
      <c r="H45" s="45">
        <f>F45*G45</f>
        <v>30788.850000000002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2075.0000000000005</v>
      </c>
      <c r="O45" s="138">
        <f t="shared" si="30"/>
        <v>415.00000000000011</v>
      </c>
      <c r="P45" s="51">
        <f t="shared" si="31"/>
        <v>1</v>
      </c>
      <c r="Q45" s="139">
        <f t="shared" si="32"/>
        <v>-84.999999999999886</v>
      </c>
      <c r="R45" s="140">
        <f t="shared" si="27"/>
        <v>0.83000000000000018</v>
      </c>
      <c r="S45" s="658"/>
      <c r="T45" s="89">
        <v>0.15486111111111109</v>
      </c>
      <c r="U45" s="89">
        <v>0.17986111111111108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644"/>
      <c r="AC45" s="644"/>
      <c r="AD45" s="344"/>
      <c r="AE45" s="344"/>
      <c r="AF45" s="144">
        <f t="shared" si="28"/>
        <v>75.000000000000455</v>
      </c>
      <c r="AG45" s="340">
        <f t="shared" si="7"/>
        <v>1.0375000000000003</v>
      </c>
      <c r="AH45" s="681"/>
    </row>
    <row r="46" spans="1:34" s="145" customFormat="1" ht="19.2" customHeight="1">
      <c r="A46" s="679"/>
      <c r="B46" s="97" t="s">
        <v>104</v>
      </c>
      <c r="C46" s="133"/>
      <c r="D46" s="42" t="s">
        <v>185</v>
      </c>
      <c r="E46" s="43"/>
      <c r="F46" s="280">
        <v>25.26</v>
      </c>
      <c r="G46" s="134">
        <v>628</v>
      </c>
      <c r="H46" s="45">
        <f t="shared" ref="H46:H51" si="34">F46*G46</f>
        <v>15863.28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2093.3333333333317</v>
      </c>
      <c r="O46" s="138">
        <f t="shared" si="30"/>
        <v>299.04761904761881</v>
      </c>
      <c r="P46" s="51">
        <f t="shared" si="31"/>
        <v>0</v>
      </c>
      <c r="Q46" s="139">
        <f t="shared" si="32"/>
        <v>-15.238095238095468</v>
      </c>
      <c r="R46" s="140">
        <f t="shared" si="27"/>
        <v>0.95151515151515076</v>
      </c>
      <c r="S46" s="658"/>
      <c r="T46" s="89">
        <v>0.18333333333333329</v>
      </c>
      <c r="U46" s="89">
        <v>0.1958333333333333</v>
      </c>
      <c r="V46" s="142">
        <v>5</v>
      </c>
      <c r="W46" s="143">
        <f t="shared" si="33"/>
        <v>18.000000000000014</v>
      </c>
      <c r="X46" s="123"/>
      <c r="Y46" s="123"/>
      <c r="Z46" s="124"/>
      <c r="AA46" s="124"/>
      <c r="AB46" s="644"/>
      <c r="AC46" s="644"/>
      <c r="AD46" s="344"/>
      <c r="AE46" s="344"/>
      <c r="AF46" s="144">
        <f t="shared" si="28"/>
        <v>-106.66666666666833</v>
      </c>
      <c r="AG46" s="340">
        <f t="shared" si="7"/>
        <v>0.95151515151515076</v>
      </c>
      <c r="AH46" s="681"/>
    </row>
    <row r="47" spans="1:34" s="145" customFormat="1" ht="19.2" customHeight="1">
      <c r="A47" s="679"/>
      <c r="B47" s="97" t="s">
        <v>103</v>
      </c>
      <c r="C47" s="133"/>
      <c r="D47" s="42" t="s">
        <v>65</v>
      </c>
      <c r="E47" s="148"/>
      <c r="F47" s="280">
        <v>31.43</v>
      </c>
      <c r="G47" s="137">
        <v>1380</v>
      </c>
      <c r="H47" s="45">
        <f t="shared" si="34"/>
        <v>43373.4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1427.5862068965507</v>
      </c>
      <c r="O47" s="138">
        <f t="shared" si="30"/>
        <v>203.94088669950725</v>
      </c>
      <c r="P47" s="51">
        <f t="shared" si="31"/>
        <v>0</v>
      </c>
      <c r="Q47" s="139">
        <f t="shared" si="32"/>
        <v>-10.344827586207032</v>
      </c>
      <c r="R47" s="140">
        <f t="shared" si="27"/>
        <v>0.95172413793103383</v>
      </c>
      <c r="S47" s="658"/>
      <c r="T47" s="89">
        <v>0.21319444444444441</v>
      </c>
      <c r="U47" s="89">
        <v>0.25347222222222221</v>
      </c>
      <c r="V47" s="137">
        <v>25</v>
      </c>
      <c r="W47" s="143">
        <f t="shared" si="33"/>
        <v>58.000000000000036</v>
      </c>
      <c r="X47" s="123">
        <v>0.19999999999999998</v>
      </c>
      <c r="Y47" s="123">
        <v>0.21249999999999999</v>
      </c>
      <c r="Z47" s="124"/>
      <c r="AA47" s="124"/>
      <c r="AB47" s="644"/>
      <c r="AC47" s="644"/>
      <c r="AD47" s="344"/>
      <c r="AE47" s="344"/>
      <c r="AF47" s="144">
        <f t="shared" si="28"/>
        <v>-72.413793103449279</v>
      </c>
      <c r="AG47" s="340">
        <f t="shared" si="7"/>
        <v>0.95172413793103383</v>
      </c>
      <c r="AH47" s="681"/>
    </row>
    <row r="48" spans="1:34" s="145" customFormat="1" ht="19.2" customHeight="1">
      <c r="A48" s="679"/>
      <c r="B48" s="97" t="s">
        <v>103</v>
      </c>
      <c r="C48" s="133"/>
      <c r="D48" s="42" t="s">
        <v>148</v>
      </c>
      <c r="E48" s="148"/>
      <c r="F48" s="280">
        <v>11.86</v>
      </c>
      <c r="G48" s="137">
        <v>1132</v>
      </c>
      <c r="H48" s="45">
        <f t="shared" si="34"/>
        <v>13425.519999999999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1445.1063829787236</v>
      </c>
      <c r="O48" s="138">
        <f t="shared" si="30"/>
        <v>240.85106382978725</v>
      </c>
      <c r="P48" s="51">
        <f t="shared" si="31"/>
        <v>0</v>
      </c>
      <c r="Q48" s="139">
        <f t="shared" si="32"/>
        <v>-31.815602836879435</v>
      </c>
      <c r="R48" s="140">
        <f t="shared" si="27"/>
        <v>0.8833168600114446</v>
      </c>
      <c r="S48" s="658"/>
      <c r="T48" s="89">
        <v>0.2638888888888889</v>
      </c>
      <c r="U48" s="89">
        <v>0.29652777777777778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644"/>
      <c r="AC48" s="644"/>
      <c r="AD48" s="344"/>
      <c r="AE48" s="344"/>
      <c r="AF48" s="144">
        <f t="shared" si="28"/>
        <v>-190.89361702127644</v>
      </c>
      <c r="AG48" s="340">
        <f t="shared" si="7"/>
        <v>0.88331686001144472</v>
      </c>
      <c r="AH48" s="681"/>
    </row>
    <row r="49" spans="1:34" s="145" customFormat="1" ht="19.2" customHeight="1">
      <c r="A49" s="679"/>
      <c r="B49" s="97" t="s">
        <v>103</v>
      </c>
      <c r="C49" s="133"/>
      <c r="D49" s="42" t="s">
        <v>171</v>
      </c>
      <c r="E49" s="148"/>
      <c r="F49" s="280">
        <v>28.47</v>
      </c>
      <c r="G49" s="134">
        <v>664</v>
      </c>
      <c r="H49" s="45">
        <f t="shared" si="34"/>
        <v>18904.079999999998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1422.857142857144</v>
      </c>
      <c r="O49" s="138">
        <f t="shared" si="30"/>
        <v>203.26530612244915</v>
      </c>
      <c r="P49" s="51">
        <f t="shared" si="31"/>
        <v>0</v>
      </c>
      <c r="Q49" s="139">
        <f t="shared" si="32"/>
        <v>-11.020408163265131</v>
      </c>
      <c r="R49" s="140">
        <f t="shared" si="27"/>
        <v>0.9485714285714294</v>
      </c>
      <c r="S49" s="658"/>
      <c r="T49" s="89">
        <v>0.30694444444444446</v>
      </c>
      <c r="U49" s="89">
        <v>0.3263888888888889</v>
      </c>
      <c r="V49" s="134">
        <v>15</v>
      </c>
      <c r="W49" s="143">
        <f t="shared" si="33"/>
        <v>27.999999999999979</v>
      </c>
      <c r="X49" s="152"/>
      <c r="Y49" s="152"/>
      <c r="Z49" s="153"/>
      <c r="AA49" s="124"/>
      <c r="AB49" s="644"/>
      <c r="AC49" s="644"/>
      <c r="AD49" s="344"/>
      <c r="AE49" s="344"/>
      <c r="AF49" s="144">
        <f t="shared" si="28"/>
        <v>-77.142857142855974</v>
      </c>
      <c r="AG49" s="340">
        <f t="shared" si="7"/>
        <v>0.9485714285714294</v>
      </c>
      <c r="AH49" s="681"/>
    </row>
    <row r="50" spans="1:34" s="145" customFormat="1" ht="19.2" customHeight="1">
      <c r="A50" s="679"/>
      <c r="B50" s="97" t="s">
        <v>105</v>
      </c>
      <c r="C50" s="133"/>
      <c r="D50" s="42" t="s">
        <v>64</v>
      </c>
      <c r="E50" s="148"/>
      <c r="F50" s="280">
        <v>10.09</v>
      </c>
      <c r="G50" s="134">
        <v>3197.48</v>
      </c>
      <c r="H50" s="45">
        <f t="shared" si="34"/>
        <v>32262.573199999999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1453.3999999999999</v>
      </c>
      <c r="O50" s="138">
        <f t="shared" si="30"/>
        <v>242.23333333333332</v>
      </c>
      <c r="P50" s="51">
        <f t="shared" si="31"/>
        <v>0</v>
      </c>
      <c r="Q50" s="139">
        <f t="shared" si="32"/>
        <v>-7.7666666666666799</v>
      </c>
      <c r="R50" s="140">
        <f t="shared" si="27"/>
        <v>0.96893333333333331</v>
      </c>
      <c r="S50" s="658"/>
      <c r="T50" s="89">
        <v>0.34375</v>
      </c>
      <c r="U50" s="89">
        <v>0.43541666666666667</v>
      </c>
      <c r="V50" s="134">
        <v>25</v>
      </c>
      <c r="W50" s="143">
        <f t="shared" si="33"/>
        <v>132</v>
      </c>
      <c r="X50" s="152">
        <v>0.33055555555555555</v>
      </c>
      <c r="Y50" s="152">
        <v>0.3430555555555555</v>
      </c>
      <c r="Z50" s="153"/>
      <c r="AA50" s="153"/>
      <c r="AB50" s="644"/>
      <c r="AC50" s="644"/>
      <c r="AD50" s="344"/>
      <c r="AE50" s="344"/>
      <c r="AF50" s="144">
        <f t="shared" si="28"/>
        <v>-46.600000000000136</v>
      </c>
      <c r="AG50" s="340">
        <f t="shared" si="7"/>
        <v>0.9689333333333332</v>
      </c>
      <c r="AH50" s="681"/>
    </row>
    <row r="51" spans="1:34" s="145" customFormat="1" ht="19.2" customHeight="1">
      <c r="A51" s="679"/>
      <c r="B51" s="97" t="s">
        <v>105</v>
      </c>
      <c r="C51" s="133"/>
      <c r="D51" s="150" t="s">
        <v>64</v>
      </c>
      <c r="E51" s="148"/>
      <c r="F51" s="280">
        <v>10.09</v>
      </c>
      <c r="G51" s="134">
        <v>4069.5200000000004</v>
      </c>
      <c r="H51" s="45">
        <f t="shared" si="34"/>
        <v>41061.456800000007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1419.6000000000006</v>
      </c>
      <c r="O51" s="138">
        <f t="shared" si="30"/>
        <v>236.60000000000011</v>
      </c>
      <c r="P51" s="51">
        <f t="shared" si="31"/>
        <v>0</v>
      </c>
      <c r="Q51" s="139">
        <f t="shared" si="32"/>
        <v>-13.399999999999892</v>
      </c>
      <c r="R51" s="140">
        <f t="shared" si="27"/>
        <v>0.94640000000000046</v>
      </c>
      <c r="S51" s="658"/>
      <c r="T51" s="151">
        <v>0.45277777777777778</v>
      </c>
      <c r="U51" s="151">
        <v>0.57222222222222219</v>
      </c>
      <c r="V51" s="134">
        <v>25</v>
      </c>
      <c r="W51" s="143">
        <f t="shared" si="33"/>
        <v>171.99999999999994</v>
      </c>
      <c r="X51" s="152">
        <v>0.44097222222222227</v>
      </c>
      <c r="Y51" s="152">
        <v>0.4513888888888889</v>
      </c>
      <c r="Z51" s="153"/>
      <c r="AA51" s="153"/>
      <c r="AB51" s="644"/>
      <c r="AC51" s="644"/>
      <c r="AD51" s="344"/>
      <c r="AE51" s="344"/>
      <c r="AF51" s="144">
        <f t="shared" si="28"/>
        <v>-80.399999999999409</v>
      </c>
      <c r="AG51" s="340">
        <f t="shared" si="7"/>
        <v>0.94640000000000035</v>
      </c>
      <c r="AH51" s="681"/>
    </row>
    <row r="52" spans="1:34" s="145" customFormat="1" ht="19.2" customHeight="1">
      <c r="A52" s="67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5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44"/>
      <c r="AC52" s="644"/>
      <c r="AD52" s="344"/>
      <c r="AE52" s="344"/>
      <c r="AF52" s="144">
        <f t="shared" si="28"/>
        <v>0</v>
      </c>
      <c r="AG52" s="340" t="e">
        <f t="shared" si="7"/>
        <v>#DIV/0!</v>
      </c>
      <c r="AH52" s="681"/>
    </row>
    <row r="53" spans="1:34" s="145" customFormat="1" ht="19.2" customHeight="1">
      <c r="A53" s="67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65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44"/>
      <c r="AC53" s="644"/>
      <c r="AD53" s="344"/>
      <c r="AE53" s="344"/>
      <c r="AF53" s="144">
        <f t="shared" si="28"/>
        <v>0</v>
      </c>
      <c r="AG53" s="340" t="e">
        <f t="shared" si="7"/>
        <v>#DIV/0!</v>
      </c>
      <c r="AH53" s="681"/>
    </row>
    <row r="54" spans="1:34" s="145" customFormat="1" ht="19.2" customHeight="1">
      <c r="A54" s="67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65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44"/>
      <c r="AC54" s="644"/>
      <c r="AD54" s="344"/>
      <c r="AE54" s="344"/>
      <c r="AF54" s="144">
        <f t="shared" si="28"/>
        <v>0</v>
      </c>
      <c r="AG54" s="340" t="e">
        <f t="shared" si="7"/>
        <v>#DIV/0!</v>
      </c>
      <c r="AH54" s="681"/>
    </row>
    <row r="55" spans="1:34" s="145" customFormat="1" ht="19.2" customHeight="1">
      <c r="A55" s="67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65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44"/>
      <c r="AC55" s="644"/>
      <c r="AD55" s="344"/>
      <c r="AE55" s="344"/>
      <c r="AF55" s="144"/>
      <c r="AG55" s="340"/>
      <c r="AH55" s="681"/>
    </row>
    <row r="56" spans="1:34" ht="19.2" customHeight="1">
      <c r="A56" s="680"/>
      <c r="B56" s="157">
        <v>0</v>
      </c>
      <c r="C56" s="265" t="s">
        <v>227</v>
      </c>
      <c r="D56" s="677" t="s">
        <v>221</v>
      </c>
      <c r="E56" s="67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1672.7024885213768</v>
      </c>
      <c r="O56" s="104">
        <f t="shared" si="35"/>
        <v>281.23569718171859</v>
      </c>
      <c r="P56" s="158">
        <f>M56-J56</f>
        <v>0.25</v>
      </c>
      <c r="Q56" s="117">
        <f>N56-K56</f>
        <v>-56.797511478623164</v>
      </c>
      <c r="R56" s="159">
        <f t="shared" ref="R56:R61" si="36">O56/L56</f>
        <v>0.89440043021483229</v>
      </c>
      <c r="S56" s="658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44"/>
      <c r="AC56" s="644"/>
      <c r="AD56" s="107">
        <f>SUM(AD44:AD55)</f>
        <v>0</v>
      </c>
      <c r="AE56" s="107">
        <f>SUM(AE44:AE55)</f>
        <v>0</v>
      </c>
      <c r="AF56" s="162">
        <f>N56-K56</f>
        <v>-56.797511478623164</v>
      </c>
      <c r="AG56" s="338">
        <f>N56/K56</f>
        <v>0.96715957705774902</v>
      </c>
      <c r="AH56" s="681"/>
    </row>
    <row r="57" spans="1:34" ht="19.2" customHeight="1">
      <c r="A57" s="684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911</v>
      </c>
      <c r="H57" s="84">
        <f t="shared" ref="H57:H66" si="37">F57*G57</f>
        <v>25744.86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1438.4210526315796</v>
      </c>
      <c r="O57" s="86">
        <f t="shared" ref="O57:O61" si="39">N57/M57</f>
        <v>205.48872180451139</v>
      </c>
      <c r="P57" s="165">
        <f t="shared" ref="P57:P61" si="40">M57-J57</f>
        <v>0</v>
      </c>
      <c r="Q57" s="49">
        <f t="shared" ref="Q57:Q61" si="41">O57-L57</f>
        <v>-8.7969924812028921</v>
      </c>
      <c r="R57" s="335">
        <f t="shared" si="36"/>
        <v>0.95894736842105321</v>
      </c>
      <c r="S57" s="658">
        <f>R69</f>
        <v>0.96752205171778416</v>
      </c>
      <c r="T57" s="50">
        <v>0.125</v>
      </c>
      <c r="U57" s="50">
        <v>0.15138888888888888</v>
      </c>
      <c r="V57" s="331">
        <v>5</v>
      </c>
      <c r="W57" s="328">
        <f>(U57-T57)*24*60</f>
        <v>37.999999999999986</v>
      </c>
      <c r="X57" s="53"/>
      <c r="Y57" s="53"/>
      <c r="Z57" s="54"/>
      <c r="AA57" s="54"/>
      <c r="AB57" s="644"/>
      <c r="AC57" s="644"/>
      <c r="AD57" s="344"/>
      <c r="AE57" s="344"/>
      <c r="AF57" s="48">
        <f t="shared" si="6"/>
        <v>-61.578947368420359</v>
      </c>
      <c r="AG57" s="339">
        <f t="shared" si="7"/>
        <v>0.9589473684210531</v>
      </c>
      <c r="AH57" s="672">
        <f>AG69</f>
        <v>0.96675239164109616</v>
      </c>
    </row>
    <row r="58" spans="1:34" ht="19.2" customHeight="1">
      <c r="A58" s="675"/>
      <c r="B58" s="121" t="s">
        <v>103</v>
      </c>
      <c r="C58" s="344"/>
      <c r="D58" s="42" t="s">
        <v>67</v>
      </c>
      <c r="E58" s="43"/>
      <c r="F58" s="273">
        <v>27.88</v>
      </c>
      <c r="G58" s="44">
        <v>2963</v>
      </c>
      <c r="H58" s="45">
        <f t="shared" si="37"/>
        <v>82608.44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1445.3658536585367</v>
      </c>
      <c r="O58" s="47">
        <f t="shared" si="39"/>
        <v>206.48083623693381</v>
      </c>
      <c r="P58" s="165">
        <f t="shared" si="40"/>
        <v>0</v>
      </c>
      <c r="Q58" s="49">
        <f t="shared" si="41"/>
        <v>-7.8048780487804663</v>
      </c>
      <c r="R58" s="335">
        <f t="shared" si="36"/>
        <v>0.96357723577235788</v>
      </c>
      <c r="S58" s="658"/>
      <c r="T58" s="50">
        <v>0.16527777777777777</v>
      </c>
      <c r="U58" s="50">
        <v>0.25069444444444444</v>
      </c>
      <c r="V58" s="331">
        <v>20</v>
      </c>
      <c r="W58" s="328">
        <f>(U58-T58)*24*60</f>
        <v>122.99999999999999</v>
      </c>
      <c r="X58" s="53">
        <v>0.15555555555555556</v>
      </c>
      <c r="Y58" s="53">
        <v>0.16388888888888889</v>
      </c>
      <c r="Z58" s="54"/>
      <c r="AA58" s="54"/>
      <c r="AB58" s="682"/>
      <c r="AC58" s="683"/>
      <c r="AD58" s="344"/>
      <c r="AE58" s="344"/>
      <c r="AF58" s="48">
        <f t="shared" si="6"/>
        <v>-54.634146341463293</v>
      </c>
      <c r="AG58" s="335">
        <f t="shared" si="7"/>
        <v>0.96357723577235777</v>
      </c>
      <c r="AH58" s="658"/>
    </row>
    <row r="59" spans="1:34" ht="19.2" customHeight="1">
      <c r="A59" s="675"/>
      <c r="B59" s="121" t="s">
        <v>103</v>
      </c>
      <c r="C59" s="344"/>
      <c r="D59" s="42" t="s">
        <v>68</v>
      </c>
      <c r="E59" s="43"/>
      <c r="F59" s="273">
        <v>28</v>
      </c>
      <c r="G59" s="44">
        <v>2764</v>
      </c>
      <c r="H59" s="45">
        <f t="shared" si="37"/>
        <v>77392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1429.6551724137933</v>
      </c>
      <c r="O59" s="47">
        <f t="shared" si="39"/>
        <v>204.23645320197048</v>
      </c>
      <c r="P59" s="165">
        <f t="shared" si="40"/>
        <v>0</v>
      </c>
      <c r="Q59" s="49">
        <f t="shared" si="41"/>
        <v>-10.049261083743801</v>
      </c>
      <c r="R59" s="335">
        <f t="shared" si="36"/>
        <v>0.95310344827586224</v>
      </c>
      <c r="S59" s="658"/>
      <c r="T59" s="50">
        <v>0.26805555555555555</v>
      </c>
      <c r="U59" s="50">
        <v>0.34861111111111109</v>
      </c>
      <c r="V59" s="142">
        <v>25</v>
      </c>
      <c r="W59" s="328">
        <f t="shared" ref="W59:W69" si="42">(U59-T59)*24*60</f>
        <v>115.99999999999999</v>
      </c>
      <c r="X59" s="53">
        <v>0.25555555555555559</v>
      </c>
      <c r="Y59" s="53">
        <v>0.2673611111111111</v>
      </c>
      <c r="Z59" s="54"/>
      <c r="AA59" s="54"/>
      <c r="AB59" s="644"/>
      <c r="AC59" s="644"/>
      <c r="AD59" s="344"/>
      <c r="AE59" s="344"/>
      <c r="AF59" s="48">
        <f t="shared" si="6"/>
        <v>-70.344827586206748</v>
      </c>
      <c r="AG59" s="335">
        <f t="shared" si="7"/>
        <v>0.95310344827586213</v>
      </c>
      <c r="AH59" s="658"/>
    </row>
    <row r="60" spans="1:34" ht="19.2" customHeight="1">
      <c r="A60" s="675"/>
      <c r="B60" s="121" t="s">
        <v>105</v>
      </c>
      <c r="C60" s="344"/>
      <c r="D60" s="42" t="s">
        <v>64</v>
      </c>
      <c r="E60" s="43"/>
      <c r="F60" s="273">
        <v>10.09</v>
      </c>
      <c r="G60" s="44">
        <v>3342.82</v>
      </c>
      <c r="H60" s="45">
        <f t="shared" si="37"/>
        <v>33729.053800000002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1474.7735294117649</v>
      </c>
      <c r="O60" s="47">
        <f t="shared" si="39"/>
        <v>245.79558823529416</v>
      </c>
      <c r="P60" s="165">
        <f t="shared" si="40"/>
        <v>0</v>
      </c>
      <c r="Q60" s="49">
        <f t="shared" si="41"/>
        <v>-4.2044117647058386</v>
      </c>
      <c r="R60" s="335">
        <f t="shared" si="36"/>
        <v>0.98318235294117662</v>
      </c>
      <c r="S60" s="658"/>
      <c r="T60" s="50">
        <v>0.3659722222222222</v>
      </c>
      <c r="U60" s="50">
        <v>0.46041666666666664</v>
      </c>
      <c r="V60" s="142">
        <v>25</v>
      </c>
      <c r="W60" s="328">
        <f t="shared" si="42"/>
        <v>136</v>
      </c>
      <c r="X60" s="53">
        <v>0.3527777777777778</v>
      </c>
      <c r="Y60" s="53">
        <v>0.36527777777777781</v>
      </c>
      <c r="Z60" s="54"/>
      <c r="AA60" s="54"/>
      <c r="AB60" s="644"/>
      <c r="AC60" s="644"/>
      <c r="AD60" s="344"/>
      <c r="AE60" s="344"/>
      <c r="AF60" s="48">
        <f t="shared" si="6"/>
        <v>-25.226470588235088</v>
      </c>
      <c r="AG60" s="339">
        <f t="shared" si="7"/>
        <v>0.98318235294117662</v>
      </c>
      <c r="AH60" s="658"/>
    </row>
    <row r="61" spans="1:34" ht="19.2" customHeight="1">
      <c r="A61" s="675"/>
      <c r="B61" s="121" t="s">
        <v>105</v>
      </c>
      <c r="C61" s="344"/>
      <c r="D61" s="42" t="s">
        <v>64</v>
      </c>
      <c r="E61" s="43"/>
      <c r="F61" s="273">
        <v>10.09</v>
      </c>
      <c r="G61" s="44">
        <v>3924.1800000000003</v>
      </c>
      <c r="H61" s="45">
        <f t="shared" si="37"/>
        <v>39594.976200000005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1462.4273291925463</v>
      </c>
      <c r="O61" s="47">
        <f t="shared" si="39"/>
        <v>243.7378881987577</v>
      </c>
      <c r="P61" s="165">
        <f t="shared" si="40"/>
        <v>0</v>
      </c>
      <c r="Q61" s="49">
        <f t="shared" si="41"/>
        <v>-6.2621118012422983</v>
      </c>
      <c r="R61" s="335">
        <f t="shared" si="36"/>
        <v>0.97495155279503076</v>
      </c>
      <c r="S61" s="658"/>
      <c r="T61" s="50">
        <v>0.47777777777777775</v>
      </c>
      <c r="U61" s="50">
        <v>0.58958333333333335</v>
      </c>
      <c r="V61" s="142">
        <v>25</v>
      </c>
      <c r="W61" s="328">
        <f t="shared" si="42"/>
        <v>161.00000000000006</v>
      </c>
      <c r="X61" s="53">
        <v>0.46527777777777773</v>
      </c>
      <c r="Y61" s="53">
        <v>0.47638888888888892</v>
      </c>
      <c r="Z61" s="54"/>
      <c r="AA61" s="54"/>
      <c r="AB61" s="644"/>
      <c r="AC61" s="644"/>
      <c r="AD61" s="344"/>
      <c r="AE61" s="344"/>
      <c r="AF61" s="48">
        <f t="shared" si="6"/>
        <v>-37.572670807453733</v>
      </c>
      <c r="AG61" s="335">
        <f t="shared" si="7"/>
        <v>0.97495155279503087</v>
      </c>
      <c r="AH61" s="658"/>
    </row>
    <row r="62" spans="1:34" ht="19.2" customHeight="1">
      <c r="A62" s="675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658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644"/>
      <c r="AC62" s="644"/>
      <c r="AD62" s="344"/>
      <c r="AE62" s="344"/>
      <c r="AF62" s="48">
        <f t="shared" si="6"/>
        <v>0</v>
      </c>
      <c r="AG62" s="335" t="e">
        <f t="shared" si="7"/>
        <v>#DIV/0!</v>
      </c>
      <c r="AH62" s="658"/>
    </row>
    <row r="63" spans="1:34" ht="19.2" customHeight="1">
      <c r="A63" s="675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658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644"/>
      <c r="AC63" s="644"/>
      <c r="AD63" s="344"/>
      <c r="AE63" s="344"/>
      <c r="AF63" s="48">
        <f t="shared" si="6"/>
        <v>0</v>
      </c>
      <c r="AG63" s="339" t="e">
        <f t="shared" si="7"/>
        <v>#DIV/0!</v>
      </c>
      <c r="AH63" s="658"/>
    </row>
    <row r="64" spans="1:34" ht="19.2" customHeight="1">
      <c r="A64" s="64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658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644"/>
      <c r="AC64" s="644"/>
      <c r="AD64" s="344"/>
      <c r="AE64" s="344"/>
      <c r="AF64" s="48">
        <f t="shared" si="6"/>
        <v>0</v>
      </c>
      <c r="AG64" s="335" t="e">
        <f t="shared" si="7"/>
        <v>#DIV/0!</v>
      </c>
      <c r="AH64" s="658"/>
    </row>
    <row r="65" spans="1:34" ht="19.2" customHeight="1">
      <c r="A65" s="640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658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644"/>
      <c r="AC65" s="644"/>
      <c r="AD65" s="344"/>
      <c r="AE65" s="344"/>
      <c r="AF65" s="48">
        <f t="shared" si="6"/>
        <v>0</v>
      </c>
      <c r="AG65" s="335" t="e">
        <f t="shared" si="7"/>
        <v>#DIV/0!</v>
      </c>
      <c r="AH65" s="658"/>
    </row>
    <row r="66" spans="1:34" ht="19.2" customHeight="1">
      <c r="A66" s="640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658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644"/>
      <c r="AC66" s="644"/>
      <c r="AD66" s="344"/>
      <c r="AE66" s="344"/>
      <c r="AF66" s="48">
        <f t="shared" si="6"/>
        <v>0</v>
      </c>
      <c r="AG66" s="339" t="e">
        <f t="shared" si="7"/>
        <v>#DIV/0!</v>
      </c>
      <c r="AH66" s="658"/>
    </row>
    <row r="67" spans="1:34" ht="19.2" customHeight="1">
      <c r="A67" s="640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658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644"/>
      <c r="AC67" s="644"/>
      <c r="AD67" s="344"/>
      <c r="AE67" s="344"/>
      <c r="AF67" s="48">
        <f t="shared" si="6"/>
        <v>0</v>
      </c>
      <c r="AG67" s="335" t="e">
        <f t="shared" si="7"/>
        <v>#DIV/0!</v>
      </c>
      <c r="AH67" s="658"/>
    </row>
    <row r="68" spans="1:34" ht="19.2" customHeight="1">
      <c r="A68" s="640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658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644"/>
      <c r="AC68" s="644"/>
      <c r="AD68" s="344"/>
      <c r="AE68" s="344"/>
      <c r="AF68" s="48"/>
      <c r="AG68" s="335"/>
      <c r="AH68" s="658"/>
    </row>
    <row r="69" spans="1:34" ht="19.2" customHeight="1">
      <c r="A69" s="640"/>
      <c r="B69" s="168">
        <v>0</v>
      </c>
      <c r="C69" s="6" t="s">
        <v>229</v>
      </c>
      <c r="D69" s="673" t="s">
        <v>230</v>
      </c>
      <c r="E69" s="67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1450.1285874616442</v>
      </c>
      <c r="O69" s="73">
        <f t="shared" si="43"/>
        <v>221.14789753549354</v>
      </c>
      <c r="P69" s="48">
        <f>M69-J69</f>
        <v>0</v>
      </c>
      <c r="Q69" s="49">
        <f>N69-K69</f>
        <v>-49.871412538355798</v>
      </c>
      <c r="R69" s="172">
        <f t="shared" ref="R69:R74" si="44">O69/L69</f>
        <v>0.96752205171778416</v>
      </c>
      <c r="S69" s="658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44"/>
      <c r="AC69" s="644"/>
      <c r="AD69" s="107">
        <f>SUM(AD57:AD68)</f>
        <v>0</v>
      </c>
      <c r="AE69" s="107">
        <f>SUM(AE57:AE68)</f>
        <v>0</v>
      </c>
      <c r="AF69" s="48">
        <f t="shared" si="6"/>
        <v>-49.871412538355798</v>
      </c>
      <c r="AG69" s="335">
        <f t="shared" si="7"/>
        <v>0.96675239164109616</v>
      </c>
      <c r="AH69" s="658"/>
    </row>
    <row r="70" spans="1:34" ht="19.2" customHeight="1">
      <c r="A70" s="642" t="s">
        <v>231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1464.3999999999999</v>
      </c>
      <c r="H70" s="45">
        <f>F70*G70</f>
        <v>79209.395999999993</v>
      </c>
      <c r="I70" s="331"/>
      <c r="J70" s="46">
        <v>16</v>
      </c>
      <c r="K70" s="44">
        <v>1500</v>
      </c>
      <c r="L70" s="47">
        <v>93.75</v>
      </c>
      <c r="M70" s="329">
        <v>17</v>
      </c>
      <c r="N70" s="44">
        <f t="shared" ref="N70:N74" si="45">G70/W70*60</f>
        <v>1394.6666666666663</v>
      </c>
      <c r="O70" s="47">
        <f t="shared" ref="O70:O74" si="46">N70/M70</f>
        <v>82.039215686274488</v>
      </c>
      <c r="P70" s="48">
        <f t="shared" ref="P70:P74" si="47">M70-J70</f>
        <v>1</v>
      </c>
      <c r="Q70" s="49">
        <f t="shared" ref="Q70:Q74" si="48">O70-L70</f>
        <v>-11.710784313725512</v>
      </c>
      <c r="R70" s="335">
        <f t="shared" si="44"/>
        <v>0.8750849673202612</v>
      </c>
      <c r="S70" s="658">
        <f>R82</f>
        <v>0.90071358788775902</v>
      </c>
      <c r="T70" s="50">
        <v>0.25</v>
      </c>
      <c r="U70" s="50">
        <v>0.29375000000000001</v>
      </c>
      <c r="V70" s="331">
        <v>5</v>
      </c>
      <c r="W70" s="328">
        <f>(U70-T70)*24*60</f>
        <v>63.000000000000014</v>
      </c>
      <c r="X70" s="331"/>
      <c r="Y70" s="331"/>
      <c r="Z70" s="54"/>
      <c r="AA70" s="54"/>
      <c r="AB70" s="644"/>
      <c r="AC70" s="644"/>
      <c r="AD70" s="344"/>
      <c r="AE70" s="344"/>
      <c r="AF70" s="48">
        <f t="shared" si="6"/>
        <v>-105.33333333333371</v>
      </c>
      <c r="AG70" s="335">
        <f t="shared" si="7"/>
        <v>0.92977777777777748</v>
      </c>
      <c r="AH70" s="658">
        <f>AG82</f>
        <v>0.91119742903541157</v>
      </c>
    </row>
    <row r="71" spans="1:34" ht="19.2" customHeight="1">
      <c r="A71" s="642"/>
      <c r="B71" s="331" t="s">
        <v>101</v>
      </c>
      <c r="C71" s="41"/>
      <c r="D71" s="173" t="s">
        <v>183</v>
      </c>
      <c r="E71" s="43"/>
      <c r="F71" s="273">
        <v>65.27</v>
      </c>
      <c r="G71" s="44">
        <v>787</v>
      </c>
      <c r="H71" s="45">
        <f>F71*G71</f>
        <v>51367.49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1311.6666666666656</v>
      </c>
      <c r="O71" s="47">
        <f t="shared" si="46"/>
        <v>72.87037037037031</v>
      </c>
      <c r="P71" s="48">
        <f t="shared" si="47"/>
        <v>0</v>
      </c>
      <c r="Q71" s="49">
        <f t="shared" si="48"/>
        <v>-7.1296296296296902</v>
      </c>
      <c r="R71" s="335">
        <f t="shared" si="44"/>
        <v>0.91087962962962887</v>
      </c>
      <c r="S71" s="658"/>
      <c r="T71" s="50">
        <v>0.30902777777777779</v>
      </c>
      <c r="U71" s="50">
        <v>0.33402777777777781</v>
      </c>
      <c r="V71" s="331">
        <v>22</v>
      </c>
      <c r="W71" s="328">
        <f t="shared" ref="W71:W81" si="49">(U71-T71)*24*60</f>
        <v>36.000000000000028</v>
      </c>
      <c r="X71" s="53">
        <v>0.2986111111111111</v>
      </c>
      <c r="Y71" s="53">
        <v>0.30833333333333335</v>
      </c>
      <c r="Z71" s="54"/>
      <c r="AA71" s="54"/>
      <c r="AB71" s="644"/>
      <c r="AC71" s="644"/>
      <c r="AD71" s="344"/>
      <c r="AE71" s="344"/>
      <c r="AF71" s="48">
        <f>N71-K71</f>
        <v>-128.33333333333439</v>
      </c>
      <c r="AG71" s="335">
        <f>N71/K71</f>
        <v>0.91087962962962887</v>
      </c>
      <c r="AH71" s="658"/>
    </row>
    <row r="72" spans="1:34" ht="19.2" customHeight="1">
      <c r="A72" s="642"/>
      <c r="B72" s="331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80" si="50">F72*G72</f>
        <v>222778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1431.4285714285713</v>
      </c>
      <c r="O72" s="47">
        <f t="shared" si="46"/>
        <v>75.338345864661648</v>
      </c>
      <c r="P72" s="48">
        <f t="shared" si="47"/>
        <v>0</v>
      </c>
      <c r="Q72" s="49">
        <f t="shared" si="48"/>
        <v>-10.766917293233092</v>
      </c>
      <c r="R72" s="335">
        <f t="shared" si="44"/>
        <v>0.87495633950401663</v>
      </c>
      <c r="S72" s="658"/>
      <c r="T72" s="50">
        <v>0.33819444444444446</v>
      </c>
      <c r="U72" s="50">
        <v>0.45972222222222225</v>
      </c>
      <c r="V72" s="331">
        <v>6</v>
      </c>
      <c r="W72" s="328">
        <f t="shared" si="49"/>
        <v>175.00000000000003</v>
      </c>
      <c r="X72" s="53"/>
      <c r="Y72" s="53"/>
      <c r="Z72" s="54"/>
      <c r="AA72" s="54"/>
      <c r="AB72" s="644"/>
      <c r="AC72" s="644"/>
      <c r="AD72" s="344"/>
      <c r="AE72" s="344"/>
      <c r="AF72" s="48">
        <f>N72-K72</f>
        <v>-204.57142857142867</v>
      </c>
      <c r="AG72" s="335">
        <f>N72/K72</f>
        <v>0.87495633950401674</v>
      </c>
      <c r="AH72" s="658"/>
    </row>
    <row r="73" spans="1:34" ht="19.2" customHeight="1">
      <c r="A73" s="642"/>
      <c r="B73" s="331" t="s">
        <v>101</v>
      </c>
      <c r="C73" s="175"/>
      <c r="D73" s="176" t="s">
        <v>71</v>
      </c>
      <c r="E73" s="177"/>
      <c r="F73" s="273">
        <v>47.51</v>
      </c>
      <c r="G73" s="44">
        <v>1580</v>
      </c>
      <c r="H73" s="45">
        <f t="shared" si="50"/>
        <v>75065.8</v>
      </c>
      <c r="I73" s="344"/>
      <c r="J73" s="178">
        <v>17</v>
      </c>
      <c r="K73" s="179">
        <v>1440</v>
      </c>
      <c r="L73" s="86">
        <v>84.705882352941174</v>
      </c>
      <c r="M73" s="334">
        <v>17</v>
      </c>
      <c r="N73" s="44">
        <f t="shared" si="45"/>
        <v>1316.6666666666656</v>
      </c>
      <c r="O73" s="47">
        <f t="shared" si="46"/>
        <v>77.450980392156794</v>
      </c>
      <c r="P73" s="48">
        <f t="shared" si="47"/>
        <v>0</v>
      </c>
      <c r="Q73" s="49">
        <f t="shared" si="48"/>
        <v>-7.2549019607843803</v>
      </c>
      <c r="R73" s="335">
        <f t="shared" si="44"/>
        <v>0.91435185185185108</v>
      </c>
      <c r="S73" s="658"/>
      <c r="T73" s="50">
        <v>0.5</v>
      </c>
      <c r="U73" s="50">
        <v>0.55000000000000004</v>
      </c>
      <c r="V73" s="331">
        <v>5</v>
      </c>
      <c r="W73" s="328">
        <f t="shared" si="49"/>
        <v>72.000000000000057</v>
      </c>
      <c r="X73" s="180"/>
      <c r="Y73" s="180"/>
      <c r="Z73" s="124"/>
      <c r="AA73" s="124"/>
      <c r="AB73" s="644"/>
      <c r="AC73" s="644"/>
      <c r="AD73" s="344"/>
      <c r="AE73" s="344"/>
      <c r="AF73" s="48">
        <f>N73-K73</f>
        <v>-123.33333333333439</v>
      </c>
      <c r="AG73" s="335">
        <f>N73/K73</f>
        <v>0.91435185185185108</v>
      </c>
      <c r="AH73" s="658"/>
    </row>
    <row r="74" spans="1:34" ht="19.2" customHeight="1">
      <c r="A74" s="642"/>
      <c r="B74" s="331" t="s">
        <v>101</v>
      </c>
      <c r="C74" s="175"/>
      <c r="D74" s="176" t="s">
        <v>70</v>
      </c>
      <c r="E74" s="177"/>
      <c r="F74" s="273">
        <v>53.76</v>
      </c>
      <c r="G74" s="44">
        <v>2478</v>
      </c>
      <c r="H74" s="45">
        <f t="shared" si="50"/>
        <v>133217.28</v>
      </c>
      <c r="I74" s="331"/>
      <c r="J74" s="87">
        <v>16</v>
      </c>
      <c r="K74" s="57">
        <v>1440</v>
      </c>
      <c r="L74" s="86">
        <v>90</v>
      </c>
      <c r="M74" s="329">
        <v>16</v>
      </c>
      <c r="N74" s="44">
        <f t="shared" si="45"/>
        <v>1339.4594594594603</v>
      </c>
      <c r="O74" s="47">
        <f t="shared" si="46"/>
        <v>83.716216216216267</v>
      </c>
      <c r="P74" s="48">
        <f t="shared" si="47"/>
        <v>0</v>
      </c>
      <c r="Q74" s="49">
        <f t="shared" si="48"/>
        <v>-6.2837837837837327</v>
      </c>
      <c r="R74" s="335">
        <f t="shared" si="44"/>
        <v>0.93018018018018078</v>
      </c>
      <c r="S74" s="658"/>
      <c r="T74" s="50">
        <v>0.55486111111111114</v>
      </c>
      <c r="U74" s="50">
        <v>0.63194444444444442</v>
      </c>
      <c r="V74" s="331">
        <v>7</v>
      </c>
      <c r="W74" s="328">
        <f t="shared" si="49"/>
        <v>110.99999999999993</v>
      </c>
      <c r="X74" s="180"/>
      <c r="Y74" s="180"/>
      <c r="Z74" s="124"/>
      <c r="AA74" s="124"/>
      <c r="AB74" s="644"/>
      <c r="AC74" s="644"/>
      <c r="AD74" s="344">
        <v>1</v>
      </c>
      <c r="AE74" s="344"/>
      <c r="AF74" s="48">
        <f t="shared" ref="AF74:AF80" si="51">N74-K74</f>
        <v>-100.54054054053972</v>
      </c>
      <c r="AG74" s="335">
        <f t="shared" ref="AG74:AG80" si="52">N74/K74</f>
        <v>0.93018018018018078</v>
      </c>
      <c r="AH74" s="658"/>
    </row>
    <row r="75" spans="1:34" ht="19.2" customHeight="1">
      <c r="A75" s="642"/>
      <c r="B75" s="331">
        <v>0</v>
      </c>
      <c r="C75" s="66"/>
      <c r="D75" s="173"/>
      <c r="E75" s="43"/>
      <c r="F75" s="273" t="s">
        <v>106</v>
      </c>
      <c r="G75" s="57"/>
      <c r="H75" s="45">
        <f t="shared" si="50"/>
        <v>0</v>
      </c>
      <c r="I75" s="331"/>
      <c r="J75" s="87"/>
      <c r="K75" s="57"/>
      <c r="L75" s="86"/>
      <c r="M75" s="329"/>
      <c r="N75" s="44"/>
      <c r="O75" s="47"/>
      <c r="P75" s="48"/>
      <c r="Q75" s="49"/>
      <c r="R75" s="335"/>
      <c r="S75" s="658"/>
      <c r="T75" s="50"/>
      <c r="U75" s="50"/>
      <c r="V75" s="331"/>
      <c r="W75" s="328">
        <f t="shared" si="49"/>
        <v>0</v>
      </c>
      <c r="X75" s="180"/>
      <c r="Y75" s="180"/>
      <c r="Z75" s="124"/>
      <c r="AA75" s="124"/>
      <c r="AB75" s="644"/>
      <c r="AC75" s="644"/>
      <c r="AD75" s="344"/>
      <c r="AE75" s="344"/>
      <c r="AF75" s="48">
        <f t="shared" si="51"/>
        <v>0</v>
      </c>
      <c r="AG75" s="335" t="e">
        <f t="shared" si="52"/>
        <v>#DIV/0!</v>
      </c>
      <c r="AH75" s="658"/>
    </row>
    <row r="76" spans="1:34" ht="19.2" customHeight="1">
      <c r="A76" s="642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658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644"/>
      <c r="AC76" s="644"/>
      <c r="AD76" s="344"/>
      <c r="AE76" s="344"/>
      <c r="AF76" s="48">
        <f t="shared" si="51"/>
        <v>0</v>
      </c>
      <c r="AG76" s="335" t="e">
        <f t="shared" si="52"/>
        <v>#DIV/0!</v>
      </c>
      <c r="AH76" s="658"/>
    </row>
    <row r="77" spans="1:34" ht="19.2" customHeight="1">
      <c r="A77" s="642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658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644"/>
      <c r="AC77" s="644"/>
      <c r="AD77" s="344"/>
      <c r="AE77" s="344"/>
      <c r="AF77" s="48">
        <f t="shared" si="51"/>
        <v>0</v>
      </c>
      <c r="AG77" s="335" t="e">
        <f t="shared" si="52"/>
        <v>#DIV/0!</v>
      </c>
      <c r="AH77" s="658"/>
    </row>
    <row r="78" spans="1:34" ht="19.2" customHeight="1">
      <c r="A78" s="642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658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644"/>
      <c r="AC78" s="644"/>
      <c r="AD78" s="344"/>
      <c r="AE78" s="344"/>
      <c r="AF78" s="48">
        <f t="shared" si="51"/>
        <v>0</v>
      </c>
      <c r="AG78" s="335" t="e">
        <f t="shared" si="52"/>
        <v>#DIV/0!</v>
      </c>
      <c r="AH78" s="658"/>
    </row>
    <row r="79" spans="1:34" ht="19.2" customHeight="1">
      <c r="A79" s="642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658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644"/>
      <c r="AC79" s="644"/>
      <c r="AD79" s="344"/>
      <c r="AE79" s="344"/>
      <c r="AF79" s="48">
        <f t="shared" si="51"/>
        <v>0</v>
      </c>
      <c r="AG79" s="335" t="e">
        <f t="shared" si="52"/>
        <v>#DIV/0!</v>
      </c>
      <c r="AH79" s="658"/>
    </row>
    <row r="80" spans="1:34" ht="19.2" customHeight="1">
      <c r="A80" s="642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658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644"/>
      <c r="AC80" s="644"/>
      <c r="AD80" s="344"/>
      <c r="AE80" s="344"/>
      <c r="AF80" s="48">
        <f t="shared" si="51"/>
        <v>0</v>
      </c>
      <c r="AG80" s="335" t="e">
        <f t="shared" si="52"/>
        <v>#DIV/0!</v>
      </c>
      <c r="AH80" s="658"/>
    </row>
    <row r="81" spans="1:34" ht="19.2" customHeight="1">
      <c r="A81" s="642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658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644"/>
      <c r="AC81" s="644"/>
      <c r="AD81" s="344"/>
      <c r="AE81" s="344"/>
      <c r="AF81" s="48"/>
      <c r="AG81" s="125"/>
      <c r="AH81" s="658"/>
    </row>
    <row r="82" spans="1:34" ht="19.2" customHeight="1">
      <c r="A82" s="685"/>
      <c r="B82" s="168">
        <v>0</v>
      </c>
      <c r="C82" s="100" t="s">
        <v>232</v>
      </c>
      <c r="D82" s="673" t="s">
        <v>221</v>
      </c>
      <c r="E82" s="673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1358.7776061776058</v>
      </c>
      <c r="O82" s="184">
        <f t="shared" si="53"/>
        <v>78.283025705935898</v>
      </c>
      <c r="P82" s="116">
        <f>M82-J82</f>
        <v>0.19999999999999929</v>
      </c>
      <c r="Q82" s="117">
        <f>N82-K82</f>
        <v>-132.42239382239427</v>
      </c>
      <c r="R82" s="172">
        <f>O82/L82</f>
        <v>0.90071358788775902</v>
      </c>
      <c r="S82" s="658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644"/>
      <c r="AC82" s="644"/>
      <c r="AD82" s="107">
        <f>SUM(AD70:AD81)</f>
        <v>1</v>
      </c>
      <c r="AE82" s="107">
        <f>SUM(AE70:AE81)</f>
        <v>0</v>
      </c>
      <c r="AF82" s="48">
        <f>N82-K82</f>
        <v>-132.42239382239427</v>
      </c>
      <c r="AG82" s="335">
        <f>N82/K82</f>
        <v>0.91119742903541157</v>
      </c>
      <c r="AH82" s="658"/>
    </row>
    <row r="83" spans="1:34" ht="19.2" customHeight="1">
      <c r="A83" s="686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1309.5</v>
      </c>
      <c r="H83" s="84">
        <f t="shared" ref="H83:H94" si="54">F83*G83</f>
        <v>79905.69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1331.6949152542365</v>
      </c>
      <c r="O83" s="183">
        <f t="shared" ref="O83:O89" si="56">N83/M83</f>
        <v>78.334995014955098</v>
      </c>
      <c r="P83" s="54">
        <f t="shared" ref="P83:P89" si="57">M83-J83</f>
        <v>0</v>
      </c>
      <c r="Q83" s="88">
        <f t="shared" ref="Q83:Q89" si="58">O83-L83</f>
        <v>-6.3708873379860762</v>
      </c>
      <c r="R83" s="185">
        <f t="shared" ref="R83:R89" si="59">O83/L83</f>
        <v>0.92478813559321993</v>
      </c>
      <c r="S83" s="658">
        <f>R95</f>
        <v>0.85434713927126027</v>
      </c>
      <c r="T83" s="50">
        <v>0.33333333333333331</v>
      </c>
      <c r="U83" s="50">
        <v>0.37430555555555556</v>
      </c>
      <c r="V83" s="331">
        <v>5</v>
      </c>
      <c r="W83" s="328">
        <f t="shared" ref="W83:W93" si="60">(U83-T83)*24*60</f>
        <v>59.000000000000028</v>
      </c>
      <c r="X83" s="53"/>
      <c r="Y83" s="53"/>
      <c r="Z83" s="54"/>
      <c r="AA83" s="54"/>
      <c r="AB83" s="644"/>
      <c r="AC83" s="644"/>
      <c r="AD83" s="344"/>
      <c r="AE83" s="344"/>
      <c r="AF83" s="48">
        <f t="shared" ref="AF83:AF173" si="61">N83-K83</f>
        <v>-108.30508474576345</v>
      </c>
      <c r="AG83" s="335">
        <f t="shared" ref="AG83:AG173" si="62">N83/K83</f>
        <v>0.92478813559321982</v>
      </c>
      <c r="AH83" s="658">
        <f>AG95</f>
        <v>0.85441822407648471</v>
      </c>
    </row>
    <row r="84" spans="1:34" ht="19.2" customHeight="1">
      <c r="A84" s="687"/>
      <c r="B84" s="110" t="s">
        <v>102</v>
      </c>
      <c r="C84" s="341"/>
      <c r="D84" s="186" t="s">
        <v>187</v>
      </c>
      <c r="E84" s="43"/>
      <c r="F84" s="280">
        <v>53.27</v>
      </c>
      <c r="G84" s="44">
        <v>3308.13</v>
      </c>
      <c r="H84" s="84">
        <f t="shared" si="54"/>
        <v>176224.08510000003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1288.8818181818181</v>
      </c>
      <c r="O84" s="183">
        <f t="shared" si="56"/>
        <v>75.816577540106948</v>
      </c>
      <c r="P84" s="54">
        <f t="shared" si="57"/>
        <v>0</v>
      </c>
      <c r="Q84" s="88">
        <f t="shared" si="58"/>
        <v>-16.24224598930482</v>
      </c>
      <c r="R84" s="185">
        <f t="shared" si="59"/>
        <v>0.82356665698518727</v>
      </c>
      <c r="S84" s="658"/>
      <c r="T84" s="50">
        <v>0.38958333333333334</v>
      </c>
      <c r="U84" s="50">
        <v>0.49652777777777779</v>
      </c>
      <c r="V84" s="331">
        <v>22</v>
      </c>
      <c r="W84" s="328">
        <f t="shared" si="60"/>
        <v>154</v>
      </c>
      <c r="X84" s="53">
        <v>0.37847222222222227</v>
      </c>
      <c r="Y84" s="53">
        <v>0.3888888888888889</v>
      </c>
      <c r="Z84" s="54"/>
      <c r="AA84" s="54"/>
      <c r="AB84" s="644"/>
      <c r="AC84" s="644"/>
      <c r="AD84" s="344"/>
      <c r="AE84" s="344"/>
      <c r="AF84" s="48">
        <f t="shared" si="61"/>
        <v>-276.11818181818194</v>
      </c>
      <c r="AG84" s="335">
        <f t="shared" si="62"/>
        <v>0.82356665698518727</v>
      </c>
      <c r="AH84" s="658"/>
    </row>
    <row r="85" spans="1:34" ht="19.2" customHeight="1">
      <c r="A85" s="687"/>
      <c r="B85" s="110" t="s">
        <v>101</v>
      </c>
      <c r="C85" s="122"/>
      <c r="D85" s="186" t="s">
        <v>161</v>
      </c>
      <c r="E85" s="43"/>
      <c r="F85" s="280">
        <v>61.09</v>
      </c>
      <c r="G85" s="44">
        <v>1908</v>
      </c>
      <c r="H85" s="84">
        <f t="shared" si="54"/>
        <v>116559.72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1300.909090909091</v>
      </c>
      <c r="O85" s="183">
        <f t="shared" si="56"/>
        <v>76.524064171123001</v>
      </c>
      <c r="P85" s="54">
        <f t="shared" si="57"/>
        <v>0</v>
      </c>
      <c r="Q85" s="88">
        <f t="shared" si="58"/>
        <v>-8.1818181818181728</v>
      </c>
      <c r="R85" s="185">
        <f t="shared" si="59"/>
        <v>0.90340909090909105</v>
      </c>
      <c r="S85" s="658"/>
      <c r="T85" s="50">
        <v>0.53680555555555554</v>
      </c>
      <c r="U85" s="50">
        <v>0.59791666666666665</v>
      </c>
      <c r="V85" s="331">
        <v>5</v>
      </c>
      <c r="W85" s="328">
        <f t="shared" si="60"/>
        <v>88</v>
      </c>
      <c r="X85" s="53"/>
      <c r="Y85" s="53"/>
      <c r="Z85" s="54"/>
      <c r="AA85" s="54"/>
      <c r="AB85" s="644"/>
      <c r="AC85" s="644"/>
      <c r="AD85" s="344"/>
      <c r="AE85" s="344"/>
      <c r="AF85" s="48">
        <f t="shared" si="61"/>
        <v>-139.09090909090901</v>
      </c>
      <c r="AG85" s="335">
        <f t="shared" si="62"/>
        <v>0.90340909090909094</v>
      </c>
      <c r="AH85" s="658"/>
    </row>
    <row r="86" spans="1:34" ht="19.2" customHeight="1">
      <c r="A86" s="687"/>
      <c r="B86" s="110" t="s">
        <v>105</v>
      </c>
      <c r="C86" s="97"/>
      <c r="D86" s="186" t="s">
        <v>177</v>
      </c>
      <c r="E86" s="43"/>
      <c r="F86" s="280">
        <v>51.44</v>
      </c>
      <c r="G86" s="44">
        <v>1004.4</v>
      </c>
      <c r="H86" s="84">
        <f t="shared" si="54"/>
        <v>51666.335999999996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1255.5000000000002</v>
      </c>
      <c r="O86" s="183">
        <f t="shared" si="56"/>
        <v>62.775000000000013</v>
      </c>
      <c r="P86" s="54">
        <f t="shared" si="57"/>
        <v>0</v>
      </c>
      <c r="Q86" s="88">
        <f t="shared" si="58"/>
        <v>-9.2249999999999872</v>
      </c>
      <c r="R86" s="185">
        <f t="shared" si="59"/>
        <v>0.87187500000000018</v>
      </c>
      <c r="S86" s="658"/>
      <c r="T86" s="50">
        <v>0.60277777777777775</v>
      </c>
      <c r="U86" s="50">
        <v>0.63611111111111107</v>
      </c>
      <c r="V86" s="331">
        <v>7</v>
      </c>
      <c r="W86" s="328">
        <f t="shared" si="60"/>
        <v>47.999999999999986</v>
      </c>
      <c r="X86" s="53"/>
      <c r="Y86" s="53"/>
      <c r="Z86" s="54"/>
      <c r="AA86" s="54"/>
      <c r="AB86" s="644"/>
      <c r="AC86" s="644"/>
      <c r="AD86" s="344"/>
      <c r="AE86" s="344"/>
      <c r="AF86" s="48">
        <f t="shared" si="61"/>
        <v>-184.49999999999977</v>
      </c>
      <c r="AG86" s="335">
        <f t="shared" si="62"/>
        <v>0.87187500000000018</v>
      </c>
      <c r="AH86" s="658"/>
    </row>
    <row r="87" spans="1:34" ht="19.2" customHeight="1">
      <c r="A87" s="687"/>
      <c r="B87" s="110" t="s">
        <v>105</v>
      </c>
      <c r="C87" s="97"/>
      <c r="D87" s="186" t="s">
        <v>75</v>
      </c>
      <c r="E87" s="43"/>
      <c r="F87" s="280">
        <v>56.43</v>
      </c>
      <c r="G87" s="44">
        <v>736</v>
      </c>
      <c r="H87" s="84">
        <f t="shared" si="54"/>
        <v>41532.480000000003</v>
      </c>
      <c r="I87" s="331"/>
      <c r="J87" s="87">
        <v>18</v>
      </c>
      <c r="K87" s="57">
        <v>1500</v>
      </c>
      <c r="L87" s="86">
        <v>83.333333333333329</v>
      </c>
      <c r="M87" s="334">
        <v>18</v>
      </c>
      <c r="N87" s="57">
        <f t="shared" si="55"/>
        <v>1226.6666666666656</v>
      </c>
      <c r="O87" s="183">
        <f t="shared" si="56"/>
        <v>68.148148148148096</v>
      </c>
      <c r="P87" s="54">
        <f t="shared" si="57"/>
        <v>0</v>
      </c>
      <c r="Q87" s="88">
        <f t="shared" si="58"/>
        <v>-15.185185185185233</v>
      </c>
      <c r="R87" s="185">
        <f t="shared" si="59"/>
        <v>0.81777777777777716</v>
      </c>
      <c r="S87" s="658"/>
      <c r="T87" s="50">
        <v>0.6513888888888888</v>
      </c>
      <c r="U87" s="50">
        <v>0.67638888888888882</v>
      </c>
      <c r="V87" s="331">
        <v>22</v>
      </c>
      <c r="W87" s="328">
        <f t="shared" si="60"/>
        <v>36.000000000000028</v>
      </c>
      <c r="X87" s="53">
        <v>0.64027777777777783</v>
      </c>
      <c r="Y87" s="53">
        <v>0.65</v>
      </c>
      <c r="Z87" s="54"/>
      <c r="AA87" s="54"/>
      <c r="AB87" s="644"/>
      <c r="AC87" s="644"/>
      <c r="AD87" s="344"/>
      <c r="AE87" s="344"/>
      <c r="AF87" s="48">
        <f t="shared" si="61"/>
        <v>-273.33333333333439</v>
      </c>
      <c r="AG87" s="335">
        <f t="shared" si="62"/>
        <v>0.81777777777777705</v>
      </c>
      <c r="AH87" s="658"/>
    </row>
    <row r="88" spans="1:34" ht="19.2" customHeight="1">
      <c r="A88" s="687"/>
      <c r="B88" s="110" t="s">
        <v>101</v>
      </c>
      <c r="C88" s="341"/>
      <c r="D88" s="186" t="s">
        <v>154</v>
      </c>
      <c r="E88" s="43"/>
      <c r="F88" s="280">
        <v>61.02</v>
      </c>
      <c r="G88" s="57">
        <v>436.5</v>
      </c>
      <c r="H88" s="84">
        <f t="shared" si="54"/>
        <v>26635.23</v>
      </c>
      <c r="I88" s="331">
        <v>1</v>
      </c>
      <c r="J88" s="87">
        <v>17</v>
      </c>
      <c r="K88" s="57">
        <v>1440</v>
      </c>
      <c r="L88" s="86">
        <v>84.705882352941174</v>
      </c>
      <c r="M88" s="334">
        <v>17</v>
      </c>
      <c r="N88" s="57">
        <f t="shared" si="55"/>
        <v>1247.1428571428617</v>
      </c>
      <c r="O88" s="183">
        <f t="shared" si="56"/>
        <v>73.361344537815398</v>
      </c>
      <c r="P88" s="54">
        <f t="shared" si="57"/>
        <v>0</v>
      </c>
      <c r="Q88" s="88">
        <f t="shared" si="58"/>
        <v>-11.344537815125776</v>
      </c>
      <c r="R88" s="185">
        <f t="shared" si="59"/>
        <v>0.86607142857143182</v>
      </c>
      <c r="S88" s="658"/>
      <c r="T88" s="50">
        <v>0.68055555555555547</v>
      </c>
      <c r="U88" s="50">
        <v>0.69513888888888875</v>
      </c>
      <c r="V88" s="331">
        <v>6</v>
      </c>
      <c r="W88" s="328">
        <f t="shared" si="60"/>
        <v>20.999999999999925</v>
      </c>
      <c r="X88" s="53"/>
      <c r="Y88" s="53"/>
      <c r="Z88" s="54"/>
      <c r="AA88" s="54"/>
      <c r="AB88" s="644"/>
      <c r="AC88" s="644"/>
      <c r="AD88" s="344"/>
      <c r="AE88" s="344"/>
      <c r="AF88" s="48">
        <f t="shared" si="61"/>
        <v>-192.85714285713834</v>
      </c>
      <c r="AG88" s="335">
        <f t="shared" si="62"/>
        <v>0.86607142857143171</v>
      </c>
      <c r="AH88" s="658"/>
    </row>
    <row r="89" spans="1:34" ht="19.2" customHeight="1">
      <c r="A89" s="687"/>
      <c r="B89" s="110" t="s">
        <v>102</v>
      </c>
      <c r="C89" s="341"/>
      <c r="D89" s="42" t="s">
        <v>187</v>
      </c>
      <c r="E89" s="43"/>
      <c r="F89" s="280">
        <v>53.27</v>
      </c>
      <c r="G89" s="114">
        <v>408.87</v>
      </c>
      <c r="H89" s="84">
        <f t="shared" si="54"/>
        <v>21780.5049</v>
      </c>
      <c r="I89" s="331">
        <v>1</v>
      </c>
      <c r="J89" s="87">
        <v>17</v>
      </c>
      <c r="K89" s="57">
        <v>1565</v>
      </c>
      <c r="L89" s="86">
        <v>92.058823529411768</v>
      </c>
      <c r="M89" s="334">
        <v>17</v>
      </c>
      <c r="N89" s="57">
        <f t="shared" si="55"/>
        <v>1226.6100000000042</v>
      </c>
      <c r="O89" s="183">
        <f t="shared" si="56"/>
        <v>72.15352941176495</v>
      </c>
      <c r="P89" s="54">
        <f t="shared" si="57"/>
        <v>0</v>
      </c>
      <c r="Q89" s="88">
        <f t="shared" si="58"/>
        <v>-19.905294117646818</v>
      </c>
      <c r="R89" s="185">
        <f t="shared" si="59"/>
        <v>0.78377635782747868</v>
      </c>
      <c r="S89" s="658"/>
      <c r="T89" s="50">
        <v>0.69999999999999984</v>
      </c>
      <c r="U89" s="50">
        <v>0.71388888888888868</v>
      </c>
      <c r="V89" s="331">
        <v>7</v>
      </c>
      <c r="W89" s="328">
        <f t="shared" si="60"/>
        <v>19.999999999999929</v>
      </c>
      <c r="X89" s="53"/>
      <c r="Y89" s="53"/>
      <c r="Z89" s="54"/>
      <c r="AA89" s="54"/>
      <c r="AB89" s="644"/>
      <c r="AC89" s="644"/>
      <c r="AD89" s="344">
        <v>1</v>
      </c>
      <c r="AE89" s="344"/>
      <c r="AF89" s="48">
        <f t="shared" si="61"/>
        <v>-338.38999999999578</v>
      </c>
      <c r="AG89" s="335">
        <f t="shared" si="62"/>
        <v>0.78377635782747879</v>
      </c>
      <c r="AH89" s="658"/>
    </row>
    <row r="90" spans="1:34" ht="19.2" customHeight="1">
      <c r="A90" s="687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658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644"/>
      <c r="AC90" s="644"/>
      <c r="AD90" s="344"/>
      <c r="AE90" s="344"/>
      <c r="AF90" s="48">
        <f t="shared" si="61"/>
        <v>0</v>
      </c>
      <c r="AG90" s="335" t="e">
        <f t="shared" si="62"/>
        <v>#DIV/0!</v>
      </c>
      <c r="AH90" s="658"/>
    </row>
    <row r="91" spans="1:34" ht="19.2" customHeight="1">
      <c r="A91" s="687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659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644"/>
      <c r="AC91" s="644"/>
      <c r="AD91" s="344"/>
      <c r="AE91" s="344"/>
      <c r="AF91" s="48">
        <f t="shared" si="61"/>
        <v>0</v>
      </c>
      <c r="AG91" s="335" t="e">
        <f t="shared" si="62"/>
        <v>#DIV/0!</v>
      </c>
      <c r="AH91" s="659"/>
    </row>
    <row r="92" spans="1:34" ht="19.2" customHeight="1">
      <c r="A92" s="687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659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644"/>
      <c r="AC92" s="644"/>
      <c r="AD92" s="344"/>
      <c r="AE92" s="344"/>
      <c r="AF92" s="48">
        <f t="shared" si="61"/>
        <v>0</v>
      </c>
      <c r="AG92" s="335" t="e">
        <f t="shared" si="62"/>
        <v>#DIV/0!</v>
      </c>
      <c r="AH92" s="659"/>
    </row>
    <row r="93" spans="1:34" ht="19.2" customHeight="1">
      <c r="A93" s="687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688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644"/>
      <c r="AC93" s="644"/>
      <c r="AD93" s="344"/>
      <c r="AE93" s="344"/>
      <c r="AF93" s="48">
        <f t="shared" si="61"/>
        <v>0</v>
      </c>
      <c r="AG93" s="335" t="e">
        <f t="shared" si="62"/>
        <v>#DIV/0!</v>
      </c>
      <c r="AH93" s="659"/>
    </row>
    <row r="94" spans="1:34" ht="19.2" customHeight="1">
      <c r="A94" s="687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688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644"/>
      <c r="AC94" s="644"/>
      <c r="AD94" s="344"/>
      <c r="AE94" s="344"/>
      <c r="AF94" s="48">
        <f t="shared" si="61"/>
        <v>0</v>
      </c>
      <c r="AG94" s="335" t="e">
        <f t="shared" si="62"/>
        <v>#DIV/0!</v>
      </c>
      <c r="AH94" s="659"/>
    </row>
    <row r="95" spans="1:34" ht="19.2" customHeight="1">
      <c r="A95" s="687"/>
      <c r="B95" s="197">
        <v>0</v>
      </c>
      <c r="C95" s="100" t="s">
        <v>234</v>
      </c>
      <c r="D95" s="673" t="s">
        <v>221</v>
      </c>
      <c r="E95" s="673"/>
      <c r="F95" s="274"/>
      <c r="G95" s="70"/>
      <c r="H95" s="198"/>
      <c r="I95" s="103"/>
      <c r="J95" s="199">
        <v>17.571428571428573</v>
      </c>
      <c r="K95" s="199">
        <v>1484.2857142857142</v>
      </c>
      <c r="L95" s="200">
        <v>84.79551820728291</v>
      </c>
      <c r="M95" s="199">
        <f t="shared" ref="M95:O95" si="63">AVERAGE(M83:M94)</f>
        <v>17.571428571428573</v>
      </c>
      <c r="N95" s="199">
        <f t="shared" si="63"/>
        <v>1268.2007640220966</v>
      </c>
      <c r="O95" s="200">
        <f t="shared" si="63"/>
        <v>72.444808403416218</v>
      </c>
      <c r="P95" s="201">
        <f>M95-J95</f>
        <v>0</v>
      </c>
      <c r="Q95" s="202">
        <f t="shared" ref="Q95:Q102" si="64">O95-L95</f>
        <v>-12.350709803866692</v>
      </c>
      <c r="R95" s="203">
        <f>O95/L95</f>
        <v>0.85434713927126027</v>
      </c>
      <c r="S95" s="65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44"/>
      <c r="AC95" s="644"/>
      <c r="AD95" s="107">
        <f>SUM(AD83:AD94)</f>
        <v>1</v>
      </c>
      <c r="AE95" s="107">
        <f>SUM(AE83:AE94)</f>
        <v>0</v>
      </c>
      <c r="AF95" s="65">
        <f t="shared" si="61"/>
        <v>-216.08495026361766</v>
      </c>
      <c r="AG95" s="336">
        <f t="shared" si="62"/>
        <v>0.85441822407648471</v>
      </c>
      <c r="AH95" s="659"/>
    </row>
    <row r="96" spans="1:34" ht="19.2" customHeight="1">
      <c r="A96" s="689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1091</v>
      </c>
      <c r="H96" s="45">
        <f t="shared" ref="H96:H105" si="65">F96*G96</f>
        <v>32140.86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6">G96/W96*60</f>
        <v>1090.9999999999995</v>
      </c>
      <c r="O96" s="47">
        <f t="shared" ref="O96:O102" si="67">N96/M96</f>
        <v>68.187499999999972</v>
      </c>
      <c r="P96" s="48">
        <f t="shared" ref="P96:P102" si="68">M96-J96</f>
        <v>0</v>
      </c>
      <c r="Q96" s="49">
        <f t="shared" si="64"/>
        <v>-18.375000000000028</v>
      </c>
      <c r="R96" s="335">
        <f t="shared" ref="R96:R102" si="69">O96/L96</f>
        <v>0.78772563176895272</v>
      </c>
      <c r="S96" s="658">
        <f>R108</f>
        <v>0.8493057803495272</v>
      </c>
      <c r="T96" s="89">
        <v>0.33333333333333331</v>
      </c>
      <c r="U96" s="89">
        <v>0.375</v>
      </c>
      <c r="V96" s="34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644"/>
      <c r="AC96" s="644"/>
      <c r="AD96" s="344"/>
      <c r="AE96" s="344"/>
      <c r="AF96" s="54">
        <f t="shared" si="61"/>
        <v>-294.00000000000045</v>
      </c>
      <c r="AG96" s="338">
        <f t="shared" si="62"/>
        <v>0.78772563176895272</v>
      </c>
      <c r="AH96" s="667">
        <f>AG108</f>
        <v>0.85069893100230332</v>
      </c>
    </row>
    <row r="97" spans="1:34" s="212" customFormat="1" ht="19.2" customHeight="1">
      <c r="A97" s="689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2713</v>
      </c>
      <c r="H97" s="207">
        <f t="shared" si="65"/>
        <v>78983.975535168182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1242.5954198473282</v>
      </c>
      <c r="O97" s="47">
        <f t="shared" si="67"/>
        <v>62.12977099236641</v>
      </c>
      <c r="P97" s="48">
        <f t="shared" si="68"/>
        <v>0</v>
      </c>
      <c r="Q97" s="49">
        <f t="shared" si="64"/>
        <v>-7.1202290076335899</v>
      </c>
      <c r="R97" s="335">
        <f t="shared" si="69"/>
        <v>0.8971808085540276</v>
      </c>
      <c r="S97" s="658"/>
      <c r="T97" s="208">
        <v>0.39027777777777778</v>
      </c>
      <c r="U97" s="208">
        <v>0.48125000000000001</v>
      </c>
      <c r="V97" s="209">
        <v>22</v>
      </c>
      <c r="W97" s="90">
        <f t="shared" si="70"/>
        <v>131</v>
      </c>
      <c r="X97" s="53">
        <v>0.37916666666666665</v>
      </c>
      <c r="Y97" s="53">
        <v>0.3888888888888889</v>
      </c>
      <c r="Z97" s="54"/>
      <c r="AA97" s="54"/>
      <c r="AB97" s="644"/>
      <c r="AC97" s="644"/>
      <c r="AD97" s="209"/>
      <c r="AE97" s="209"/>
      <c r="AF97" s="210">
        <f t="shared" si="61"/>
        <v>-142.40458015267177</v>
      </c>
      <c r="AG97" s="211">
        <f t="shared" si="62"/>
        <v>0.8971808085540276</v>
      </c>
      <c r="AH97" s="667"/>
    </row>
    <row r="98" spans="1:34" s="215" customFormat="1" ht="19.2" customHeight="1">
      <c r="A98" s="689"/>
      <c r="B98" s="331" t="s">
        <v>101</v>
      </c>
      <c r="C98" s="55"/>
      <c r="D98" s="42" t="s">
        <v>56</v>
      </c>
      <c r="E98" s="83"/>
      <c r="F98" s="284">
        <v>71.55</v>
      </c>
      <c r="G98" s="57">
        <v>616</v>
      </c>
      <c r="H98" s="207">
        <f t="shared" si="65"/>
        <v>44074.799999999996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1192.2580645161272</v>
      </c>
      <c r="O98" s="47">
        <f t="shared" si="67"/>
        <v>66.236559139784845</v>
      </c>
      <c r="P98" s="48">
        <f t="shared" si="68"/>
        <v>0</v>
      </c>
      <c r="Q98" s="49">
        <f t="shared" si="64"/>
        <v>-10.707885304659598</v>
      </c>
      <c r="R98" s="335">
        <f t="shared" si="69"/>
        <v>0.86083614766507377</v>
      </c>
      <c r="S98" s="658"/>
      <c r="T98" s="89">
        <v>0.5215277777777777</v>
      </c>
      <c r="U98" s="89">
        <v>0.54305555555555551</v>
      </c>
      <c r="V98" s="344">
        <v>5</v>
      </c>
      <c r="W98" s="90">
        <f t="shared" si="70"/>
        <v>31.00000000000005</v>
      </c>
      <c r="X98" s="213"/>
      <c r="Y98" s="213"/>
      <c r="Z98" s="214"/>
      <c r="AA98" s="214"/>
      <c r="AB98" s="644"/>
      <c r="AC98" s="644"/>
      <c r="AD98" s="344"/>
      <c r="AE98" s="344"/>
      <c r="AF98" s="54">
        <f t="shared" si="61"/>
        <v>-192.74193548387279</v>
      </c>
      <c r="AG98" s="338">
        <f t="shared" si="62"/>
        <v>0.86083614766507377</v>
      </c>
      <c r="AH98" s="667"/>
    </row>
    <row r="99" spans="1:34" ht="19.2" customHeight="1">
      <c r="A99" s="689"/>
      <c r="B99" s="331" t="s">
        <v>101</v>
      </c>
      <c r="C99" s="81"/>
      <c r="D99" s="82" t="s">
        <v>58</v>
      </c>
      <c r="E99" s="83"/>
      <c r="F99" s="284">
        <v>59.54</v>
      </c>
      <c r="G99" s="57">
        <v>1213</v>
      </c>
      <c r="H99" s="207">
        <f t="shared" si="65"/>
        <v>72222.02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6"/>
        <v>1173.8709677419367</v>
      </c>
      <c r="O99" s="47">
        <f t="shared" si="67"/>
        <v>65.215053763440935</v>
      </c>
      <c r="P99" s="48">
        <f t="shared" si="68"/>
        <v>0</v>
      </c>
      <c r="Q99" s="49">
        <f t="shared" si="64"/>
        <v>-11.729390681003508</v>
      </c>
      <c r="R99" s="335">
        <f t="shared" si="69"/>
        <v>0.84756026551764396</v>
      </c>
      <c r="S99" s="658"/>
      <c r="T99" s="89">
        <v>0.54722222222222217</v>
      </c>
      <c r="U99" s="89">
        <v>0.59027777777777768</v>
      </c>
      <c r="V99" s="344">
        <v>6</v>
      </c>
      <c r="W99" s="90">
        <f t="shared" si="70"/>
        <v>61.999999999999943</v>
      </c>
      <c r="X99" s="180"/>
      <c r="Y99" s="180"/>
      <c r="Z99" s="124"/>
      <c r="AA99" s="124"/>
      <c r="AB99" s="644"/>
      <c r="AC99" s="644"/>
      <c r="AD99" s="344"/>
      <c r="AE99" s="344"/>
      <c r="AF99" s="210">
        <f t="shared" si="61"/>
        <v>-211.12903225806326</v>
      </c>
      <c r="AG99" s="211">
        <f t="shared" si="62"/>
        <v>0.84756026551764385</v>
      </c>
      <c r="AH99" s="667"/>
    </row>
    <row r="100" spans="1:34" s="215" customFormat="1" ht="19.2" customHeight="1">
      <c r="A100" s="689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1773</v>
      </c>
      <c r="H100" s="207">
        <f t="shared" si="65"/>
        <v>85813.2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6"/>
        <v>2171.020408163266</v>
      </c>
      <c r="O100" s="47">
        <f t="shared" si="67"/>
        <v>127.7070828331333</v>
      </c>
      <c r="P100" s="48">
        <f t="shared" si="68"/>
        <v>0</v>
      </c>
      <c r="Q100" s="49">
        <f t="shared" si="64"/>
        <v>-23.528211284513773</v>
      </c>
      <c r="R100" s="335">
        <f t="shared" si="69"/>
        <v>0.84442645202771915</v>
      </c>
      <c r="S100" s="658"/>
      <c r="T100" s="208">
        <v>0.59583333333333321</v>
      </c>
      <c r="U100" s="208">
        <v>0.62986111111111098</v>
      </c>
      <c r="V100" s="209">
        <v>8</v>
      </c>
      <c r="W100" s="90">
        <f t="shared" si="70"/>
        <v>48.999999999999986</v>
      </c>
      <c r="X100" s="216"/>
      <c r="Y100" s="216"/>
      <c r="Z100" s="214"/>
      <c r="AA100" s="214"/>
      <c r="AB100" s="644"/>
      <c r="AC100" s="644"/>
      <c r="AD100" s="344"/>
      <c r="AE100" s="344"/>
      <c r="AF100" s="54">
        <f t="shared" si="61"/>
        <v>-399.97959183673402</v>
      </c>
      <c r="AG100" s="338">
        <f t="shared" si="62"/>
        <v>0.84442645202771915</v>
      </c>
      <c r="AH100" s="667"/>
    </row>
    <row r="101" spans="1:34" s="215" customFormat="1" ht="19.2" customHeight="1">
      <c r="A101" s="689"/>
      <c r="B101" s="331" t="s">
        <v>100</v>
      </c>
      <c r="C101" s="55"/>
      <c r="D101" s="82" t="s">
        <v>59</v>
      </c>
      <c r="E101" s="83"/>
      <c r="F101" s="284">
        <v>36.729999999999997</v>
      </c>
      <c r="G101" s="57">
        <v>2051</v>
      </c>
      <c r="H101" s="207">
        <f t="shared" si="65"/>
        <v>75333.23</v>
      </c>
      <c r="I101" s="344"/>
      <c r="J101" s="46">
        <v>18</v>
      </c>
      <c r="K101" s="44">
        <v>2400</v>
      </c>
      <c r="L101" s="47">
        <v>133.33333333333334</v>
      </c>
      <c r="M101" s="87">
        <v>18</v>
      </c>
      <c r="N101" s="44">
        <f t="shared" si="66"/>
        <v>2051.0000000000018</v>
      </c>
      <c r="O101" s="47">
        <f t="shared" si="67"/>
        <v>113.94444444444454</v>
      </c>
      <c r="P101" s="48">
        <f t="shared" si="68"/>
        <v>0</v>
      </c>
      <c r="Q101" s="49">
        <f t="shared" si="64"/>
        <v>-19.3888888888888</v>
      </c>
      <c r="R101" s="335">
        <f t="shared" si="69"/>
        <v>0.85458333333333403</v>
      </c>
      <c r="S101" s="658"/>
      <c r="T101" s="208">
        <v>0.64513888888888871</v>
      </c>
      <c r="U101" s="89">
        <v>0.68680555555555534</v>
      </c>
      <c r="V101" s="209">
        <v>22</v>
      </c>
      <c r="W101" s="90">
        <f t="shared" si="70"/>
        <v>59.999999999999943</v>
      </c>
      <c r="X101" s="217">
        <v>0.63472222222222219</v>
      </c>
      <c r="Y101" s="217">
        <v>0.64444444444444449</v>
      </c>
      <c r="Z101" s="214"/>
      <c r="AA101" s="214"/>
      <c r="AB101" s="644"/>
      <c r="AC101" s="644"/>
      <c r="AD101" s="344"/>
      <c r="AE101" s="344"/>
      <c r="AF101" s="210">
        <f t="shared" si="61"/>
        <v>-348.99999999999818</v>
      </c>
      <c r="AG101" s="211">
        <f t="shared" si="62"/>
        <v>0.85458333333333414</v>
      </c>
      <c r="AH101" s="667"/>
    </row>
    <row r="102" spans="1:34" s="215" customFormat="1" ht="19.2" customHeight="1">
      <c r="A102" s="689"/>
      <c r="B102" s="331" t="s">
        <v>103</v>
      </c>
      <c r="C102" s="175"/>
      <c r="D102" s="176" t="s">
        <v>60</v>
      </c>
      <c r="E102" s="177"/>
      <c r="F102" s="284">
        <v>43.14</v>
      </c>
      <c r="G102" s="57">
        <v>151.20000000000002</v>
      </c>
      <c r="H102" s="207">
        <f t="shared" si="65"/>
        <v>6522.7680000000009</v>
      </c>
      <c r="I102" s="331">
        <v>1</v>
      </c>
      <c r="J102" s="46">
        <v>17</v>
      </c>
      <c r="K102" s="44">
        <v>1500</v>
      </c>
      <c r="L102" s="47">
        <v>88.235294117647058</v>
      </c>
      <c r="M102" s="87">
        <v>17</v>
      </c>
      <c r="N102" s="44">
        <f t="shared" si="66"/>
        <v>1296.0000000000048</v>
      </c>
      <c r="O102" s="47">
        <f t="shared" si="67"/>
        <v>76.235294117647342</v>
      </c>
      <c r="P102" s="48">
        <f t="shared" si="68"/>
        <v>0</v>
      </c>
      <c r="Q102" s="49">
        <f t="shared" si="64"/>
        <v>-11.999999999999716</v>
      </c>
      <c r="R102" s="335">
        <f t="shared" si="69"/>
        <v>0.86400000000000321</v>
      </c>
      <c r="S102" s="658"/>
      <c r="T102" s="208">
        <v>0.69166666666666643</v>
      </c>
      <c r="U102" s="208">
        <v>0.69652777777777752</v>
      </c>
      <c r="V102" s="209">
        <v>7</v>
      </c>
      <c r="W102" s="90">
        <f t="shared" si="70"/>
        <v>6.9999999999999751</v>
      </c>
      <c r="X102" s="217"/>
      <c r="Y102" s="217"/>
      <c r="Z102" s="214"/>
      <c r="AA102" s="214"/>
      <c r="AB102" s="644"/>
      <c r="AC102" s="644"/>
      <c r="AD102" s="344"/>
      <c r="AE102" s="344"/>
      <c r="AF102" s="54">
        <f t="shared" si="61"/>
        <v>-203.99999999999523</v>
      </c>
      <c r="AG102" s="338">
        <f t="shared" si="62"/>
        <v>0.86400000000000321</v>
      </c>
      <c r="AH102" s="667"/>
    </row>
    <row r="103" spans="1:34" s="215" customFormat="1" ht="19.2" customHeight="1">
      <c r="A103" s="689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658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644"/>
      <c r="AC103" s="644"/>
      <c r="AD103" s="344"/>
      <c r="AE103" s="344"/>
      <c r="AF103" s="54">
        <f t="shared" si="61"/>
        <v>0</v>
      </c>
      <c r="AG103" s="338" t="e">
        <f t="shared" si="62"/>
        <v>#DIV/0!</v>
      </c>
      <c r="AH103" s="667"/>
    </row>
    <row r="104" spans="1:34" s="215" customFormat="1" ht="19.2" customHeight="1">
      <c r="A104" s="689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659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644"/>
      <c r="AC104" s="644"/>
      <c r="AD104" s="344"/>
      <c r="AE104" s="344"/>
      <c r="AF104" s="210">
        <f t="shared" si="61"/>
        <v>0</v>
      </c>
      <c r="AG104" s="211" t="e">
        <f t="shared" si="62"/>
        <v>#DIV/0!</v>
      </c>
      <c r="AH104" s="667"/>
    </row>
    <row r="105" spans="1:34" s="215" customFormat="1" ht="19.2" customHeight="1">
      <c r="A105" s="689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659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644"/>
      <c r="AC105" s="644"/>
      <c r="AD105" s="344"/>
      <c r="AE105" s="344"/>
      <c r="AF105" s="54">
        <f t="shared" si="61"/>
        <v>0</v>
      </c>
      <c r="AG105" s="338" t="e">
        <f t="shared" si="62"/>
        <v>#DIV/0!</v>
      </c>
      <c r="AH105" s="667"/>
    </row>
    <row r="106" spans="1:34" s="215" customFormat="1" ht="19.2" customHeight="1">
      <c r="A106" s="68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688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644"/>
      <c r="AC106" s="644"/>
      <c r="AD106" s="344"/>
      <c r="AE106" s="344"/>
      <c r="AF106" s="54">
        <f t="shared" si="61"/>
        <v>0</v>
      </c>
      <c r="AG106" s="338" t="e">
        <f t="shared" si="62"/>
        <v>#DIV/0!</v>
      </c>
      <c r="AH106" s="667"/>
    </row>
    <row r="107" spans="1:34" s="215" customFormat="1" ht="19.2" customHeight="1">
      <c r="A107" s="68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688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644"/>
      <c r="AC107" s="644"/>
      <c r="AD107" s="344"/>
      <c r="AE107" s="344"/>
      <c r="AF107" s="214"/>
      <c r="AG107" s="338"/>
      <c r="AH107" s="667"/>
    </row>
    <row r="108" spans="1:34" ht="19.2" customHeight="1">
      <c r="A108" s="689"/>
      <c r="B108" s="110">
        <v>0</v>
      </c>
      <c r="C108" s="100" t="s">
        <v>236</v>
      </c>
      <c r="D108" s="673" t="s">
        <v>221</v>
      </c>
      <c r="E108" s="673"/>
      <c r="F108" s="285"/>
      <c r="G108" s="101"/>
      <c r="H108" s="102"/>
      <c r="I108" s="103"/>
      <c r="J108" s="101">
        <v>17.714285714285715</v>
      </c>
      <c r="K108" s="101">
        <v>1715.8571428571429</v>
      </c>
      <c r="L108" s="104">
        <v>97.500758636788063</v>
      </c>
      <c r="M108" s="101">
        <f t="shared" ref="M108:O108" si="71">AVERAGE(M96:M107)</f>
        <v>17.714285714285715</v>
      </c>
      <c r="N108" s="101">
        <f t="shared" si="71"/>
        <v>1459.6778371812379</v>
      </c>
      <c r="O108" s="104">
        <f t="shared" si="71"/>
        <v>82.807957898688187</v>
      </c>
      <c r="P108" s="54">
        <f t="shared" ref="P108:P118" si="72">M108-J108</f>
        <v>0</v>
      </c>
      <c r="Q108" s="88">
        <f t="shared" ref="Q108:Q118" si="73">O108-L108</f>
        <v>-14.692800738099876</v>
      </c>
      <c r="R108" s="105">
        <f t="shared" ref="R108:R118" si="74">O108/L108</f>
        <v>0.8493057803495272</v>
      </c>
      <c r="S108" s="65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44"/>
      <c r="AC108" s="644"/>
      <c r="AD108" s="107">
        <f>SUM(AD96:AD107)</f>
        <v>0</v>
      </c>
      <c r="AE108" s="107">
        <f>SUM(AE96:AE107)</f>
        <v>0</v>
      </c>
      <c r="AF108" s="54">
        <f t="shared" si="61"/>
        <v>-256.17930567590497</v>
      </c>
      <c r="AG108" s="338">
        <f t="shared" si="62"/>
        <v>0.85069893100230332</v>
      </c>
      <c r="AH108" s="667"/>
    </row>
    <row r="109" spans="1:34" ht="19.2" customHeight="1">
      <c r="A109" s="690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1459</v>
      </c>
      <c r="H109" s="45">
        <f t="shared" ref="H109:H119" si="75">F109*G109</f>
        <v>43719.654934437538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8" si="76">G109/W109*60</f>
        <v>1215.8333333333323</v>
      </c>
      <c r="O109" s="47">
        <f t="shared" ref="O109:O118" si="77">N109/M109</f>
        <v>63.991228070175389</v>
      </c>
      <c r="P109" s="48">
        <f t="shared" si="72"/>
        <v>1</v>
      </c>
      <c r="Q109" s="49">
        <f t="shared" si="73"/>
        <v>-2.6754385964912828</v>
      </c>
      <c r="R109" s="335">
        <f t="shared" si="74"/>
        <v>0.95986842105263082</v>
      </c>
      <c r="S109" s="693">
        <f>R121</f>
        <v>0.8821667115637003</v>
      </c>
      <c r="T109" s="223">
        <v>0.5</v>
      </c>
      <c r="U109" s="223">
        <v>0.55000000000000004</v>
      </c>
      <c r="V109" s="224">
        <v>5</v>
      </c>
      <c r="W109" s="328">
        <f t="shared" si="70"/>
        <v>72.000000000000057</v>
      </c>
      <c r="X109" s="53"/>
      <c r="Y109" s="53"/>
      <c r="Z109" s="54"/>
      <c r="AA109" s="54"/>
      <c r="AB109" s="644"/>
      <c r="AC109" s="644"/>
      <c r="AD109" s="344"/>
      <c r="AE109" s="344"/>
      <c r="AF109" s="48">
        <f t="shared" si="61"/>
        <v>15.833333333332348</v>
      </c>
      <c r="AG109" s="125">
        <f t="shared" si="62"/>
        <v>1.0131944444444436</v>
      </c>
      <c r="AH109" s="667">
        <f>AG121</f>
        <v>0.87640155932066799</v>
      </c>
    </row>
    <row r="110" spans="1:34" ht="19.2" customHeight="1">
      <c r="A110" s="691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126</v>
      </c>
      <c r="H110" s="45">
        <f t="shared" si="75"/>
        <v>9746.0999999999985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6"/>
        <v>1080.0000000000039</v>
      </c>
      <c r="O110" s="47">
        <f t="shared" si="77"/>
        <v>56.842105263158096</v>
      </c>
      <c r="P110" s="48">
        <f t="shared" si="72"/>
        <v>0</v>
      </c>
      <c r="Q110" s="49">
        <f t="shared" si="73"/>
        <v>-18.947368421052424</v>
      </c>
      <c r="R110" s="335">
        <f t="shared" si="74"/>
        <v>0.75000000000000266</v>
      </c>
      <c r="S110" s="694"/>
      <c r="T110" s="223">
        <v>0.55555555555555558</v>
      </c>
      <c r="U110" s="223">
        <v>0.56041666666666667</v>
      </c>
      <c r="V110" s="224">
        <v>8</v>
      </c>
      <c r="W110" s="328">
        <f t="shared" si="70"/>
        <v>6.9999999999999751</v>
      </c>
      <c r="X110" s="188"/>
      <c r="Y110" s="188"/>
      <c r="Z110" s="54"/>
      <c r="AA110" s="54"/>
      <c r="AB110" s="644"/>
      <c r="AC110" s="644"/>
      <c r="AD110" s="344"/>
      <c r="AE110" s="344"/>
      <c r="AF110" s="48">
        <f t="shared" si="61"/>
        <v>-359.99999999999613</v>
      </c>
      <c r="AG110" s="125">
        <f t="shared" si="62"/>
        <v>0.75000000000000266</v>
      </c>
      <c r="AH110" s="667"/>
    </row>
    <row r="111" spans="1:34" ht="19.2" customHeight="1">
      <c r="A111" s="691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471</v>
      </c>
      <c r="H111" s="45">
        <f t="shared" si="75"/>
        <v>36427.14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6"/>
        <v>1130.3999999999969</v>
      </c>
      <c r="O111" s="47">
        <f t="shared" si="77"/>
        <v>62.799999999999827</v>
      </c>
      <c r="P111" s="48">
        <f t="shared" si="72"/>
        <v>0</v>
      </c>
      <c r="Q111" s="49">
        <f t="shared" si="73"/>
        <v>-17.200000000000173</v>
      </c>
      <c r="R111" s="335">
        <f t="shared" si="74"/>
        <v>0.78499999999999781</v>
      </c>
      <c r="S111" s="694"/>
      <c r="T111" s="223">
        <v>0.56458333333333333</v>
      </c>
      <c r="U111" s="223">
        <v>0.58194444444444449</v>
      </c>
      <c r="V111" s="224">
        <v>6</v>
      </c>
      <c r="W111" s="328">
        <f t="shared" si="70"/>
        <v>25.000000000000071</v>
      </c>
      <c r="X111" s="53"/>
      <c r="Y111" s="53"/>
      <c r="Z111" s="54"/>
      <c r="AA111" s="54"/>
      <c r="AB111" s="644"/>
      <c r="AC111" s="644"/>
      <c r="AD111" s="344"/>
      <c r="AE111" s="344"/>
      <c r="AF111" s="48">
        <f t="shared" si="61"/>
        <v>-309.60000000000309</v>
      </c>
      <c r="AG111" s="125">
        <f t="shared" si="62"/>
        <v>0.78499999999999781</v>
      </c>
      <c r="AH111" s="667"/>
    </row>
    <row r="112" spans="1:34" ht="19.2" customHeight="1">
      <c r="A112" s="691"/>
      <c r="B112" s="331" t="s">
        <v>104</v>
      </c>
      <c r="C112" s="175"/>
      <c r="D112" s="176" t="s">
        <v>89</v>
      </c>
      <c r="E112" s="83"/>
      <c r="F112" s="273">
        <v>35.83</v>
      </c>
      <c r="G112" s="57">
        <v>1829.2</v>
      </c>
      <c r="H112" s="45">
        <f t="shared" si="75"/>
        <v>65540.236000000004</v>
      </c>
      <c r="I112" s="344">
        <v>1</v>
      </c>
      <c r="J112" s="46">
        <v>11</v>
      </c>
      <c r="K112" s="44">
        <v>2250</v>
      </c>
      <c r="L112" s="47">
        <v>204.54545454545453</v>
      </c>
      <c r="M112" s="329">
        <v>11</v>
      </c>
      <c r="N112" s="44">
        <f t="shared" si="76"/>
        <v>2195.0400000000004</v>
      </c>
      <c r="O112" s="47">
        <f t="shared" si="77"/>
        <v>199.54909090909095</v>
      </c>
      <c r="P112" s="48">
        <f t="shared" si="72"/>
        <v>0</v>
      </c>
      <c r="Q112" s="49">
        <f t="shared" si="73"/>
        <v>-4.9963636363635828</v>
      </c>
      <c r="R112" s="335">
        <f t="shared" si="74"/>
        <v>0.97557333333333363</v>
      </c>
      <c r="S112" s="694"/>
      <c r="T112" s="223">
        <v>0.59722222222222221</v>
      </c>
      <c r="U112" s="223">
        <v>0.63194444444444442</v>
      </c>
      <c r="V112" s="224">
        <v>22</v>
      </c>
      <c r="W112" s="328">
        <f t="shared" si="70"/>
        <v>49.999999999999986</v>
      </c>
      <c r="X112" s="213">
        <v>0.58611111111111114</v>
      </c>
      <c r="Y112" s="213">
        <v>0.59583333333333333</v>
      </c>
      <c r="Z112" s="54"/>
      <c r="AA112" s="54"/>
      <c r="AB112" s="644"/>
      <c r="AC112" s="644"/>
      <c r="AD112" s="344">
        <v>1</v>
      </c>
      <c r="AE112" s="344">
        <v>1</v>
      </c>
      <c r="AF112" s="48">
        <f t="shared" si="61"/>
        <v>-54.959999999999582</v>
      </c>
      <c r="AG112" s="125">
        <f t="shared" si="62"/>
        <v>0.97557333333333351</v>
      </c>
      <c r="AH112" s="667"/>
    </row>
    <row r="113" spans="1:34" s="215" customFormat="1" ht="19.2" customHeight="1">
      <c r="A113" s="691"/>
      <c r="B113" s="331" t="s">
        <v>105</v>
      </c>
      <c r="C113" s="175"/>
      <c r="D113" s="176" t="s">
        <v>172</v>
      </c>
      <c r="E113" s="83"/>
      <c r="F113" s="273">
        <v>54.09</v>
      </c>
      <c r="G113" s="57">
        <v>451</v>
      </c>
      <c r="H113" s="45">
        <f t="shared" si="75"/>
        <v>24394.59</v>
      </c>
      <c r="I113" s="344"/>
      <c r="J113" s="46">
        <v>16</v>
      </c>
      <c r="K113" s="44">
        <v>1440</v>
      </c>
      <c r="L113" s="47">
        <v>90</v>
      </c>
      <c r="M113" s="334">
        <v>16</v>
      </c>
      <c r="N113" s="44">
        <f t="shared" si="76"/>
        <v>1127.4999999999964</v>
      </c>
      <c r="O113" s="47">
        <f t="shared" si="77"/>
        <v>70.468749999999773</v>
      </c>
      <c r="P113" s="48">
        <f t="shared" si="72"/>
        <v>0</v>
      </c>
      <c r="Q113" s="49">
        <f t="shared" si="73"/>
        <v>-19.531250000000227</v>
      </c>
      <c r="R113" s="335">
        <f t="shared" si="74"/>
        <v>0.78298611111110861</v>
      </c>
      <c r="S113" s="694"/>
      <c r="T113" s="223">
        <v>0.70833333333333337</v>
      </c>
      <c r="U113" s="223">
        <v>0.72500000000000009</v>
      </c>
      <c r="V113" s="224">
        <v>5</v>
      </c>
      <c r="W113" s="328">
        <f t="shared" si="70"/>
        <v>24.000000000000075</v>
      </c>
      <c r="X113" s="213"/>
      <c r="Y113" s="213"/>
      <c r="Z113" s="214"/>
      <c r="AA113" s="214"/>
      <c r="AB113" s="644"/>
      <c r="AC113" s="644"/>
      <c r="AD113" s="218"/>
      <c r="AE113" s="218"/>
      <c r="AF113" s="48">
        <f t="shared" si="61"/>
        <v>-312.50000000000364</v>
      </c>
      <c r="AG113" s="125">
        <f t="shared" si="62"/>
        <v>0.78298611111110861</v>
      </c>
      <c r="AH113" s="667"/>
    </row>
    <row r="114" spans="1:34" s="215" customFormat="1" ht="19.2" customHeight="1">
      <c r="A114" s="691"/>
      <c r="B114" s="331" t="s">
        <v>105</v>
      </c>
      <c r="C114" s="175"/>
      <c r="D114" s="176" t="s">
        <v>76</v>
      </c>
      <c r="E114" s="43"/>
      <c r="F114" s="273">
        <v>55.56</v>
      </c>
      <c r="G114" s="44">
        <v>1187</v>
      </c>
      <c r="H114" s="45">
        <f t="shared" si="75"/>
        <v>65949.72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6"/>
        <v>1318.8888888888896</v>
      </c>
      <c r="O114" s="47">
        <f t="shared" si="77"/>
        <v>82.4305555555556</v>
      </c>
      <c r="P114" s="48">
        <f t="shared" si="72"/>
        <v>0</v>
      </c>
      <c r="Q114" s="49">
        <f t="shared" si="73"/>
        <v>-7.5694444444444002</v>
      </c>
      <c r="R114" s="335">
        <f t="shared" si="74"/>
        <v>0.91589506172839552</v>
      </c>
      <c r="S114" s="694"/>
      <c r="T114" s="223">
        <v>0.72916666666666674</v>
      </c>
      <c r="U114" s="223">
        <v>0.76666666666666672</v>
      </c>
      <c r="V114" s="224">
        <v>6</v>
      </c>
      <c r="W114" s="328">
        <f t="shared" si="70"/>
        <v>53.999999999999972</v>
      </c>
      <c r="X114" s="213"/>
      <c r="Y114" s="213"/>
      <c r="Z114" s="214"/>
      <c r="AA114" s="214"/>
      <c r="AB114" s="644"/>
      <c r="AC114" s="644"/>
      <c r="AD114" s="218"/>
      <c r="AE114" s="218"/>
      <c r="AF114" s="48">
        <f t="shared" si="61"/>
        <v>-121.1111111111104</v>
      </c>
      <c r="AG114" s="125">
        <f t="shared" si="62"/>
        <v>0.91589506172839552</v>
      </c>
      <c r="AH114" s="667"/>
    </row>
    <row r="115" spans="1:34" s="215" customFormat="1" ht="19.2" customHeight="1">
      <c r="A115" s="691"/>
      <c r="B115" s="331" t="s">
        <v>105</v>
      </c>
      <c r="C115" s="175"/>
      <c r="D115" s="82" t="s">
        <v>162</v>
      </c>
      <c r="E115" s="83"/>
      <c r="F115" s="273">
        <v>51.06</v>
      </c>
      <c r="G115" s="226">
        <v>1669</v>
      </c>
      <c r="H115" s="45">
        <f t="shared" si="75"/>
        <v>85219.14</v>
      </c>
      <c r="I115" s="344"/>
      <c r="J115" s="46">
        <v>16</v>
      </c>
      <c r="K115" s="44">
        <v>1500</v>
      </c>
      <c r="L115" s="47">
        <v>93.75</v>
      </c>
      <c r="M115" s="334">
        <v>16</v>
      </c>
      <c r="N115" s="44">
        <f t="shared" si="76"/>
        <v>1335.1999999999989</v>
      </c>
      <c r="O115" s="47">
        <f t="shared" si="77"/>
        <v>83.449999999999932</v>
      </c>
      <c r="P115" s="48">
        <f t="shared" si="72"/>
        <v>0</v>
      </c>
      <c r="Q115" s="49">
        <f t="shared" si="73"/>
        <v>-10.300000000000068</v>
      </c>
      <c r="R115" s="335">
        <f t="shared" si="74"/>
        <v>0.89013333333333255</v>
      </c>
      <c r="S115" s="694"/>
      <c r="T115" s="223">
        <v>0.77083333333333337</v>
      </c>
      <c r="U115" s="223">
        <v>0.82291666666666674</v>
      </c>
      <c r="V115" s="224">
        <v>6</v>
      </c>
      <c r="W115" s="328">
        <f t="shared" si="70"/>
        <v>75.000000000000057</v>
      </c>
      <c r="X115" s="213"/>
      <c r="Y115" s="213"/>
      <c r="Z115" s="214"/>
      <c r="AA115" s="214"/>
      <c r="AB115" s="644"/>
      <c r="AC115" s="644"/>
      <c r="AD115" s="218"/>
      <c r="AE115" s="218"/>
      <c r="AF115" s="48">
        <f t="shared" si="61"/>
        <v>-164.80000000000109</v>
      </c>
      <c r="AG115" s="125">
        <f t="shared" si="62"/>
        <v>0.89013333333333255</v>
      </c>
      <c r="AH115" s="667"/>
    </row>
    <row r="116" spans="1:34" s="215" customFormat="1" ht="19.2" customHeight="1">
      <c r="A116" s="691"/>
      <c r="B116" s="331" t="s">
        <v>105</v>
      </c>
      <c r="C116" s="55"/>
      <c r="D116" s="82" t="s">
        <v>184</v>
      </c>
      <c r="E116" s="83"/>
      <c r="F116" s="273">
        <v>54.09</v>
      </c>
      <c r="G116" s="226">
        <v>1592</v>
      </c>
      <c r="H116" s="45">
        <f t="shared" si="75"/>
        <v>86111.28</v>
      </c>
      <c r="I116" s="344"/>
      <c r="J116" s="46">
        <v>19</v>
      </c>
      <c r="K116" s="44">
        <v>1440</v>
      </c>
      <c r="L116" s="47">
        <v>75.78947368421052</v>
      </c>
      <c r="M116" s="334">
        <v>19</v>
      </c>
      <c r="N116" s="44">
        <f t="shared" si="76"/>
        <v>1326.6666666666656</v>
      </c>
      <c r="O116" s="47">
        <f t="shared" si="77"/>
        <v>69.82456140350871</v>
      </c>
      <c r="P116" s="48">
        <f t="shared" si="72"/>
        <v>0</v>
      </c>
      <c r="Q116" s="49">
        <f t="shared" si="73"/>
        <v>-5.9649122807018102</v>
      </c>
      <c r="R116" s="335">
        <f t="shared" si="74"/>
        <v>0.9212962962962955</v>
      </c>
      <c r="S116" s="694"/>
      <c r="T116" s="223">
        <v>0.83819444444444446</v>
      </c>
      <c r="U116" s="223">
        <v>0.88819444444444451</v>
      </c>
      <c r="V116" s="224">
        <v>22</v>
      </c>
      <c r="W116" s="328">
        <f t="shared" si="70"/>
        <v>72.000000000000057</v>
      </c>
      <c r="X116" s="213">
        <v>0.82777777777777783</v>
      </c>
      <c r="Y116" s="213">
        <v>0.83750000000000002</v>
      </c>
      <c r="Z116" s="214"/>
      <c r="AA116" s="214"/>
      <c r="AB116" s="644"/>
      <c r="AC116" s="644"/>
      <c r="AD116" s="218"/>
      <c r="AE116" s="218"/>
      <c r="AF116" s="48">
        <f t="shared" si="61"/>
        <v>-113.33333333333439</v>
      </c>
      <c r="AG116" s="125">
        <f t="shared" si="62"/>
        <v>0.92129629629629561</v>
      </c>
      <c r="AH116" s="667"/>
    </row>
    <row r="117" spans="1:34" s="215" customFormat="1" ht="19.2" customHeight="1">
      <c r="A117" s="691"/>
      <c r="B117" s="331" t="s">
        <v>105</v>
      </c>
      <c r="C117" s="55"/>
      <c r="D117" s="82" t="s">
        <v>186</v>
      </c>
      <c r="E117" s="83"/>
      <c r="F117" s="273">
        <v>57.3</v>
      </c>
      <c r="G117" s="226">
        <v>1019</v>
      </c>
      <c r="H117" s="45">
        <f t="shared" si="75"/>
        <v>58388.7</v>
      </c>
      <c r="I117" s="344"/>
      <c r="J117" s="46">
        <v>17</v>
      </c>
      <c r="K117" s="44">
        <v>1440</v>
      </c>
      <c r="L117" s="47">
        <v>84.705882352941174</v>
      </c>
      <c r="M117" s="334">
        <v>17</v>
      </c>
      <c r="N117" s="44">
        <f t="shared" si="76"/>
        <v>1300.8510638297876</v>
      </c>
      <c r="O117" s="47">
        <f t="shared" si="77"/>
        <v>76.520650813516909</v>
      </c>
      <c r="P117" s="48">
        <f t="shared" si="72"/>
        <v>0</v>
      </c>
      <c r="Q117" s="49">
        <f t="shared" si="73"/>
        <v>-8.1852315394242652</v>
      </c>
      <c r="R117" s="335">
        <f t="shared" si="74"/>
        <v>0.90336879432624129</v>
      </c>
      <c r="S117" s="694"/>
      <c r="T117" s="223">
        <v>0.89236111111111116</v>
      </c>
      <c r="U117" s="223">
        <v>0.92500000000000004</v>
      </c>
      <c r="V117" s="224">
        <v>6</v>
      </c>
      <c r="W117" s="328">
        <f t="shared" si="70"/>
        <v>46.999999999999993</v>
      </c>
      <c r="X117" s="213"/>
      <c r="Y117" s="213"/>
      <c r="Z117" s="214"/>
      <c r="AA117" s="214"/>
      <c r="AB117" s="644"/>
      <c r="AC117" s="644"/>
      <c r="AD117" s="218"/>
      <c r="AE117" s="218"/>
      <c r="AF117" s="48">
        <f t="shared" si="61"/>
        <v>-139.14893617021244</v>
      </c>
      <c r="AG117" s="125">
        <f t="shared" si="62"/>
        <v>0.9033687943262414</v>
      </c>
      <c r="AH117" s="667"/>
    </row>
    <row r="118" spans="1:34" s="215" customFormat="1" ht="19.2" customHeight="1">
      <c r="A118" s="691"/>
      <c r="B118" s="331" t="s">
        <v>105</v>
      </c>
      <c r="C118" s="163"/>
      <c r="D118" s="176" t="s">
        <v>182</v>
      </c>
      <c r="E118" s="43"/>
      <c r="F118" s="273">
        <v>54.5</v>
      </c>
      <c r="G118" s="44">
        <v>1180</v>
      </c>
      <c r="H118" s="45">
        <f t="shared" si="75"/>
        <v>64310</v>
      </c>
      <c r="I118" s="344"/>
      <c r="J118" s="46">
        <v>21</v>
      </c>
      <c r="K118" s="44">
        <v>1440</v>
      </c>
      <c r="L118" s="47">
        <v>68.571428571428569</v>
      </c>
      <c r="M118" s="334">
        <v>21</v>
      </c>
      <c r="N118" s="44">
        <f t="shared" si="76"/>
        <v>1141.9354838709687</v>
      </c>
      <c r="O118" s="47">
        <f t="shared" si="77"/>
        <v>54.377880184331843</v>
      </c>
      <c r="P118" s="48">
        <f t="shared" si="72"/>
        <v>0</v>
      </c>
      <c r="Q118" s="49">
        <f t="shared" si="73"/>
        <v>-14.193548387096726</v>
      </c>
      <c r="R118" s="335">
        <f t="shared" si="74"/>
        <v>0.79301075268817278</v>
      </c>
      <c r="S118" s="694"/>
      <c r="T118" s="223">
        <v>0.92986111111111114</v>
      </c>
      <c r="U118" s="223">
        <v>0.97291666666666665</v>
      </c>
      <c r="V118" s="224">
        <v>7</v>
      </c>
      <c r="W118" s="328">
        <f t="shared" si="70"/>
        <v>61.999999999999943</v>
      </c>
      <c r="X118" s="213"/>
      <c r="Y118" s="213"/>
      <c r="Z118" s="214"/>
      <c r="AA118" s="214"/>
      <c r="AB118" s="644"/>
      <c r="AC118" s="644"/>
      <c r="AD118" s="218"/>
      <c r="AE118" s="218"/>
      <c r="AF118" s="48">
        <f t="shared" si="61"/>
        <v>-298.06451612903129</v>
      </c>
      <c r="AG118" s="125">
        <f t="shared" si="62"/>
        <v>0.79301075268817267</v>
      </c>
      <c r="AH118" s="667"/>
    </row>
    <row r="119" spans="1:34" s="215" customFormat="1" ht="19.2" customHeight="1">
      <c r="A119" s="691"/>
      <c r="B119" s="331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344"/>
      <c r="J119" s="178"/>
      <c r="K119" s="228"/>
      <c r="L119" s="47"/>
      <c r="M119" s="334"/>
      <c r="N119" s="179"/>
      <c r="O119" s="221"/>
      <c r="P119" s="165"/>
      <c r="Q119" s="49"/>
      <c r="R119" s="335"/>
      <c r="S119" s="694"/>
      <c r="T119" s="223"/>
      <c r="U119" s="223"/>
      <c r="V119" s="224"/>
      <c r="W119" s="328">
        <f t="shared" si="70"/>
        <v>0</v>
      </c>
      <c r="X119" s="213"/>
      <c r="Y119" s="213"/>
      <c r="Z119" s="214"/>
      <c r="AA119" s="214"/>
      <c r="AB119" s="644"/>
      <c r="AC119" s="644"/>
      <c r="AD119" s="218"/>
      <c r="AE119" s="218"/>
      <c r="AF119" s="48">
        <f t="shared" si="61"/>
        <v>0</v>
      </c>
      <c r="AG119" s="125" t="e">
        <f t="shared" si="62"/>
        <v>#DIV/0!</v>
      </c>
      <c r="AH119" s="667"/>
    </row>
    <row r="120" spans="1:34" s="215" customFormat="1" ht="19.2" customHeight="1">
      <c r="A120" s="691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694"/>
      <c r="T120" s="223"/>
      <c r="U120" s="223"/>
      <c r="V120" s="224"/>
      <c r="W120" s="328">
        <f t="shared" si="70"/>
        <v>0</v>
      </c>
      <c r="X120" s="213"/>
      <c r="Y120" s="213"/>
      <c r="Z120" s="214"/>
      <c r="AA120" s="214"/>
      <c r="AB120" s="644"/>
      <c r="AC120" s="644"/>
      <c r="AD120" s="218"/>
      <c r="AE120" s="218"/>
      <c r="AF120" s="48">
        <f t="shared" si="61"/>
        <v>0</v>
      </c>
      <c r="AG120" s="125" t="e">
        <f t="shared" si="62"/>
        <v>#DIV/0!</v>
      </c>
      <c r="AH120" s="667"/>
    </row>
    <row r="121" spans="1:34" ht="19.2" customHeight="1">
      <c r="A121" s="692"/>
      <c r="B121" s="121">
        <v>0</v>
      </c>
      <c r="C121" s="100" t="s">
        <v>238</v>
      </c>
      <c r="D121" s="229" t="s">
        <v>239</v>
      </c>
      <c r="E121" s="230"/>
      <c r="F121" s="282"/>
      <c r="G121" s="231"/>
      <c r="H121" s="232"/>
      <c r="I121" s="233"/>
      <c r="J121" s="199">
        <v>17.100000000000001</v>
      </c>
      <c r="K121" s="199">
        <v>1503</v>
      </c>
      <c r="L121" s="200">
        <v>92.981837950491212</v>
      </c>
      <c r="M121" s="199">
        <f t="shared" ref="M121:O121" si="78">AVERAGE(M109:M120)</f>
        <v>17.2</v>
      </c>
      <c r="N121" s="199">
        <f t="shared" si="78"/>
        <v>1317.231543658964</v>
      </c>
      <c r="O121" s="200">
        <f t="shared" si="78"/>
        <v>82.025482219933707</v>
      </c>
      <c r="P121" s="48">
        <f t="shared" ref="P121:P130" si="79">M121-J121</f>
        <v>9.9999999999997868E-2</v>
      </c>
      <c r="Q121" s="49">
        <f t="shared" ref="Q121:Q130" si="80">O121-L121</f>
        <v>-10.956355730557505</v>
      </c>
      <c r="R121" s="172">
        <f t="shared" ref="R121:R130" si="81">O121/L121</f>
        <v>0.8821667115637003</v>
      </c>
      <c r="S121" s="672"/>
      <c r="T121" s="50"/>
      <c r="U121" s="50"/>
      <c r="V121" s="44"/>
      <c r="W121" s="32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44"/>
      <c r="AC121" s="644"/>
      <c r="AD121" s="107">
        <f>SUM(AD109:AD120)</f>
        <v>1</v>
      </c>
      <c r="AE121" s="107">
        <f>SUM(AE109:AE120)</f>
        <v>1</v>
      </c>
      <c r="AF121" s="48">
        <f>N121-K121</f>
        <v>-185.76845634103597</v>
      </c>
      <c r="AG121" s="125">
        <f>N121/K121</f>
        <v>0.87640155932066799</v>
      </c>
      <c r="AH121" s="667"/>
    </row>
    <row r="122" spans="1:34" ht="19.2" customHeight="1">
      <c r="A122" s="695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509</v>
      </c>
      <c r="H122" s="45">
        <f t="shared" ref="H122:H132" si="82">F122*G122</f>
        <v>32535.280000000002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0" si="83">G122/W122*60</f>
        <v>1090.7142857142833</v>
      </c>
      <c r="O122" s="234">
        <f t="shared" ref="O122:O130" si="84">N122/M122</f>
        <v>57.406015037593853</v>
      </c>
      <c r="P122" s="108">
        <f t="shared" si="79"/>
        <v>0</v>
      </c>
      <c r="Q122" s="182">
        <f t="shared" si="80"/>
        <v>-18.383458646616667</v>
      </c>
      <c r="R122" s="109">
        <f t="shared" si="81"/>
        <v>0.7574404761904745</v>
      </c>
      <c r="S122" s="658">
        <f>R134</f>
        <v>0.88289189757580444</v>
      </c>
      <c r="T122" s="50">
        <v>0.5</v>
      </c>
      <c r="U122" s="50">
        <v>0.51944444444444449</v>
      </c>
      <c r="V122" s="224">
        <v>5</v>
      </c>
      <c r="W122" s="328">
        <f t="shared" si="70"/>
        <v>28.00000000000006</v>
      </c>
      <c r="X122" s="53"/>
      <c r="Y122" s="53"/>
      <c r="Z122" s="54"/>
      <c r="AA122" s="54"/>
      <c r="AB122" s="644"/>
      <c r="AC122" s="644"/>
      <c r="AD122" s="344"/>
      <c r="AE122" s="344"/>
      <c r="AF122" s="48">
        <f t="shared" si="61"/>
        <v>-349.28571428571672</v>
      </c>
      <c r="AG122" s="335">
        <f t="shared" si="62"/>
        <v>0.7574404761904745</v>
      </c>
      <c r="AH122" s="672">
        <f>AG134</f>
        <v>0.86578576090350357</v>
      </c>
    </row>
    <row r="123" spans="1:34" ht="19.2" customHeight="1">
      <c r="A123" s="69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1379</v>
      </c>
      <c r="H123" s="45">
        <f t="shared" si="82"/>
        <v>80905.930000000008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3"/>
        <v>1313.3333333333346</v>
      </c>
      <c r="O123" s="86">
        <f t="shared" si="84"/>
        <v>69.122807017543934</v>
      </c>
      <c r="P123" s="54">
        <f t="shared" si="79"/>
        <v>0</v>
      </c>
      <c r="Q123" s="88">
        <f t="shared" si="80"/>
        <v>-6.6666666666665861</v>
      </c>
      <c r="R123" s="338">
        <f t="shared" si="81"/>
        <v>0.91203703703703809</v>
      </c>
      <c r="S123" s="658"/>
      <c r="T123" s="50">
        <v>0.52361111111111114</v>
      </c>
      <c r="U123" s="50">
        <v>0.56736111111111109</v>
      </c>
      <c r="V123" s="224">
        <v>6</v>
      </c>
      <c r="W123" s="328">
        <f t="shared" si="70"/>
        <v>62.999999999999936</v>
      </c>
      <c r="X123" s="53"/>
      <c r="Y123" s="53"/>
      <c r="Z123" s="54"/>
      <c r="AA123" s="54"/>
      <c r="AB123" s="644"/>
      <c r="AC123" s="644"/>
      <c r="AD123" s="344"/>
      <c r="AE123" s="344"/>
      <c r="AF123" s="48">
        <f t="shared" si="61"/>
        <v>-126.66666666666538</v>
      </c>
      <c r="AG123" s="335">
        <f t="shared" si="62"/>
        <v>0.91203703703703798</v>
      </c>
      <c r="AH123" s="658"/>
    </row>
    <row r="124" spans="1:34" ht="19.2" customHeight="1">
      <c r="A124" s="69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1475</v>
      </c>
      <c r="H124" s="45">
        <f t="shared" si="82"/>
        <v>87792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3"/>
        <v>1282.6086956521726</v>
      </c>
      <c r="O124" s="234">
        <f t="shared" si="84"/>
        <v>61.076604554865362</v>
      </c>
      <c r="P124" s="108">
        <f t="shared" si="79"/>
        <v>0</v>
      </c>
      <c r="Q124" s="182">
        <f t="shared" si="80"/>
        <v>-4.8757763975155868</v>
      </c>
      <c r="R124" s="109">
        <f t="shared" si="81"/>
        <v>0.9260712603986806</v>
      </c>
      <c r="S124" s="696"/>
      <c r="T124" s="50">
        <v>0.57222222222222219</v>
      </c>
      <c r="U124" s="50">
        <v>0.62013888888888891</v>
      </c>
      <c r="V124" s="224">
        <v>7</v>
      </c>
      <c r="W124" s="328">
        <f t="shared" si="70"/>
        <v>69.000000000000071</v>
      </c>
      <c r="X124" s="188"/>
      <c r="Y124" s="188"/>
      <c r="Z124" s="54"/>
      <c r="AA124" s="54"/>
      <c r="AB124" s="644"/>
      <c r="AC124" s="644"/>
      <c r="AD124" s="344"/>
      <c r="AE124" s="344"/>
      <c r="AF124" s="108">
        <f t="shared" si="61"/>
        <v>-102.39130434782737</v>
      </c>
      <c r="AG124" s="109">
        <f t="shared" si="62"/>
        <v>0.9260712603986806</v>
      </c>
      <c r="AH124" s="658"/>
    </row>
    <row r="125" spans="1:34" ht="19.2" customHeight="1">
      <c r="A125" s="69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1383</v>
      </c>
      <c r="H125" s="45">
        <f t="shared" si="82"/>
        <v>78540.569999999992</v>
      </c>
      <c r="I125" s="331"/>
      <c r="J125" s="46">
        <v>18</v>
      </c>
      <c r="K125" s="44">
        <v>1636</v>
      </c>
      <c r="L125" s="47">
        <v>90.888888888888886</v>
      </c>
      <c r="M125" s="329">
        <v>18</v>
      </c>
      <c r="N125" s="174">
        <f t="shared" si="83"/>
        <v>1406.4406779661028</v>
      </c>
      <c r="O125" s="234">
        <f t="shared" si="84"/>
        <v>78.135593220339047</v>
      </c>
      <c r="P125" s="108">
        <f t="shared" si="79"/>
        <v>0</v>
      </c>
      <c r="Q125" s="182">
        <f t="shared" si="80"/>
        <v>-12.753295668549839</v>
      </c>
      <c r="R125" s="109">
        <f t="shared" si="81"/>
        <v>0.85968256599395043</v>
      </c>
      <c r="S125" s="696"/>
      <c r="T125" s="50">
        <v>0.70833333333333337</v>
      </c>
      <c r="U125" s="50">
        <v>0.74930555555555556</v>
      </c>
      <c r="V125" s="224">
        <v>5</v>
      </c>
      <c r="W125" s="328">
        <f t="shared" si="70"/>
        <v>58.99999999999995</v>
      </c>
      <c r="X125" s="64"/>
      <c r="Y125" s="64"/>
      <c r="Z125" s="54"/>
      <c r="AA125" s="54"/>
      <c r="AB125" s="644"/>
      <c r="AC125" s="644"/>
      <c r="AD125" s="344"/>
      <c r="AE125" s="344"/>
      <c r="AF125" s="48">
        <f t="shared" si="61"/>
        <v>-229.55932203389716</v>
      </c>
      <c r="AG125" s="335">
        <f t="shared" si="62"/>
        <v>0.85968256599395043</v>
      </c>
      <c r="AH125" s="659"/>
    </row>
    <row r="126" spans="1:34" ht="19.2" customHeight="1">
      <c r="A126" s="695"/>
      <c r="B126" s="130" t="s">
        <v>105</v>
      </c>
      <c r="C126" s="344"/>
      <c r="D126" s="321" t="s">
        <v>80</v>
      </c>
      <c r="E126" s="177"/>
      <c r="F126" s="273">
        <v>56.87</v>
      </c>
      <c r="G126" s="57">
        <v>1081</v>
      </c>
      <c r="H126" s="45">
        <f t="shared" si="82"/>
        <v>61476.469999999994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3"/>
        <v>1441.3333333333333</v>
      </c>
      <c r="O126" s="86">
        <f t="shared" si="84"/>
        <v>80.074074074074076</v>
      </c>
      <c r="P126" s="54">
        <f t="shared" si="79"/>
        <v>0</v>
      </c>
      <c r="Q126" s="88">
        <f t="shared" si="80"/>
        <v>-10.81481481481481</v>
      </c>
      <c r="R126" s="338">
        <f t="shared" si="81"/>
        <v>0.88101059494702527</v>
      </c>
      <c r="S126" s="696"/>
      <c r="T126" s="50">
        <v>0.75416666666666665</v>
      </c>
      <c r="U126" s="50">
        <v>0.78541666666666665</v>
      </c>
      <c r="V126" s="224">
        <v>7</v>
      </c>
      <c r="W126" s="328">
        <f t="shared" si="70"/>
        <v>45</v>
      </c>
      <c r="X126" s="64"/>
      <c r="Y126" s="64"/>
      <c r="Z126" s="54"/>
      <c r="AA126" s="54"/>
      <c r="AB126" s="644"/>
      <c r="AC126" s="644"/>
      <c r="AD126" s="344"/>
      <c r="AE126" s="344"/>
      <c r="AF126" s="108">
        <f t="shared" si="61"/>
        <v>-194.66666666666674</v>
      </c>
      <c r="AG126" s="109">
        <f t="shared" si="62"/>
        <v>0.88101059494702527</v>
      </c>
      <c r="AH126" s="659"/>
    </row>
    <row r="127" spans="1:34" ht="19.2" customHeight="1">
      <c r="A127" s="695"/>
      <c r="B127" s="130" t="s">
        <v>105</v>
      </c>
      <c r="C127" s="220"/>
      <c r="D127" s="322" t="s">
        <v>177</v>
      </c>
      <c r="E127" s="83"/>
      <c r="F127" s="273">
        <v>51.44</v>
      </c>
      <c r="G127" s="206">
        <v>111.60000000000001</v>
      </c>
      <c r="H127" s="45">
        <f t="shared" si="82"/>
        <v>5740.7040000000006</v>
      </c>
      <c r="I127" s="218"/>
      <c r="J127" s="46">
        <v>20</v>
      </c>
      <c r="K127" s="44">
        <v>1440</v>
      </c>
      <c r="L127" s="47">
        <v>72</v>
      </c>
      <c r="M127" s="329">
        <v>21</v>
      </c>
      <c r="N127" s="57">
        <f t="shared" si="83"/>
        <v>1116.0000000000041</v>
      </c>
      <c r="O127" s="86">
        <f t="shared" si="84"/>
        <v>53.142857142857338</v>
      </c>
      <c r="P127" s="54">
        <f t="shared" si="79"/>
        <v>1</v>
      </c>
      <c r="Q127" s="88">
        <f t="shared" si="80"/>
        <v>-18.857142857142662</v>
      </c>
      <c r="R127" s="338">
        <f t="shared" si="81"/>
        <v>0.7380952380952408</v>
      </c>
      <c r="S127" s="696"/>
      <c r="T127" s="50">
        <v>0.79027777777777775</v>
      </c>
      <c r="U127" s="50">
        <v>0.7944444444444444</v>
      </c>
      <c r="V127" s="331">
        <v>7</v>
      </c>
      <c r="W127" s="328">
        <f t="shared" si="70"/>
        <v>5.9999999999999787</v>
      </c>
      <c r="X127" s="64"/>
      <c r="Y127" s="64"/>
      <c r="Z127" s="54"/>
      <c r="AA127" s="54"/>
      <c r="AB127" s="644"/>
      <c r="AC127" s="644"/>
      <c r="AD127" s="344"/>
      <c r="AE127" s="344"/>
      <c r="AF127" s="108">
        <f t="shared" si="61"/>
        <v>-323.99999999999591</v>
      </c>
      <c r="AG127" s="109">
        <f t="shared" si="62"/>
        <v>0.7750000000000028</v>
      </c>
      <c r="AH127" s="659"/>
    </row>
    <row r="128" spans="1:34" ht="19.2" customHeight="1">
      <c r="A128" s="69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1387</v>
      </c>
      <c r="H128" s="45">
        <f t="shared" si="82"/>
        <v>66021.2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1300.3125000000016</v>
      </c>
      <c r="O128" s="86">
        <f t="shared" si="84"/>
        <v>68.437500000000085</v>
      </c>
      <c r="P128" s="54">
        <f t="shared" si="79"/>
        <v>0</v>
      </c>
      <c r="Q128" s="88">
        <f t="shared" si="80"/>
        <v>-7.3519736842104351</v>
      </c>
      <c r="R128" s="338">
        <f t="shared" si="81"/>
        <v>0.90299479166666785</v>
      </c>
      <c r="S128" s="696"/>
      <c r="T128" s="50">
        <v>0.80972222222222212</v>
      </c>
      <c r="U128" s="50">
        <v>0.85416666666666652</v>
      </c>
      <c r="V128" s="331">
        <v>22</v>
      </c>
      <c r="W128" s="328">
        <f t="shared" si="70"/>
        <v>63.999999999999929</v>
      </c>
      <c r="X128" s="64">
        <v>0.79861111111111116</v>
      </c>
      <c r="Y128" s="64">
        <v>0.80902777777777779</v>
      </c>
      <c r="Z128" s="54"/>
      <c r="AA128" s="54"/>
      <c r="AB128" s="644"/>
      <c r="AC128" s="644"/>
      <c r="AD128" s="344"/>
      <c r="AE128" s="344"/>
      <c r="AF128" s="48">
        <f t="shared" si="61"/>
        <v>-139.68749999999841</v>
      </c>
      <c r="AG128" s="335">
        <f t="shared" si="62"/>
        <v>0.90299479166666774</v>
      </c>
      <c r="AH128" s="659"/>
    </row>
    <row r="129" spans="1:34" ht="19.2" customHeight="1">
      <c r="A129" s="69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1264</v>
      </c>
      <c r="H129" s="45">
        <f t="shared" si="82"/>
        <v>64046.880000000005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1378.9090909090919</v>
      </c>
      <c r="O129" s="86">
        <f t="shared" si="84"/>
        <v>76.606060606060666</v>
      </c>
      <c r="P129" s="54">
        <f t="shared" si="79"/>
        <v>0</v>
      </c>
      <c r="Q129" s="88">
        <f t="shared" si="80"/>
        <v>-6.7272727272726627</v>
      </c>
      <c r="R129" s="338">
        <f t="shared" si="81"/>
        <v>0.91927272727272802</v>
      </c>
      <c r="S129" s="696"/>
      <c r="T129" s="50">
        <v>0.85902777777777761</v>
      </c>
      <c r="U129" s="50">
        <v>0.89722222222222203</v>
      </c>
      <c r="V129" s="331">
        <v>7</v>
      </c>
      <c r="W129" s="328">
        <f t="shared" si="70"/>
        <v>54.999999999999964</v>
      </c>
      <c r="X129" s="64"/>
      <c r="Y129" s="64"/>
      <c r="Z129" s="54"/>
      <c r="AA129" s="54"/>
      <c r="AB129" s="644"/>
      <c r="AC129" s="644"/>
      <c r="AD129" s="344"/>
      <c r="AE129" s="344"/>
      <c r="AF129" s="108">
        <f t="shared" si="61"/>
        <v>-121.0909090909081</v>
      </c>
      <c r="AG129" s="109">
        <f t="shared" si="62"/>
        <v>0.91927272727272791</v>
      </c>
      <c r="AH129" s="659"/>
    </row>
    <row r="130" spans="1:34" ht="19.2" customHeight="1">
      <c r="A130" s="69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903</v>
      </c>
      <c r="H130" s="45">
        <f t="shared" si="82"/>
        <v>52527.51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3"/>
        <v>1389.2307692307686</v>
      </c>
      <c r="O130" s="86">
        <f t="shared" si="84"/>
        <v>86.826923076923038</v>
      </c>
      <c r="P130" s="54">
        <f t="shared" si="79"/>
        <v>0</v>
      </c>
      <c r="Q130" s="88">
        <f t="shared" si="80"/>
        <v>-15.423076923076962</v>
      </c>
      <c r="R130" s="338">
        <f t="shared" si="81"/>
        <v>0.84916306187699797</v>
      </c>
      <c r="S130" s="696"/>
      <c r="T130" s="50">
        <v>0.90138888888888868</v>
      </c>
      <c r="U130" s="50">
        <v>0.92847222222222203</v>
      </c>
      <c r="V130" s="331">
        <v>6</v>
      </c>
      <c r="W130" s="328">
        <f t="shared" si="70"/>
        <v>39.000000000000021</v>
      </c>
      <c r="X130" s="64"/>
      <c r="Y130" s="64"/>
      <c r="Z130" s="54"/>
      <c r="AA130" s="54"/>
      <c r="AB130" s="644"/>
      <c r="AC130" s="644"/>
      <c r="AD130" s="344"/>
      <c r="AE130" s="344"/>
      <c r="AF130" s="108">
        <f t="shared" si="61"/>
        <v>-246.7692307692314</v>
      </c>
      <c r="AG130" s="109">
        <f t="shared" si="62"/>
        <v>0.84916306187699797</v>
      </c>
      <c r="AH130" s="659"/>
    </row>
    <row r="131" spans="1:34" ht="19.2" customHeight="1">
      <c r="A131" s="695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1187</v>
      </c>
      <c r="H131" s="45">
        <f t="shared" si="82"/>
        <v>68015.099999999991</v>
      </c>
      <c r="I131" s="218"/>
      <c r="J131" s="46">
        <v>14</v>
      </c>
      <c r="K131" s="44">
        <v>1772</v>
      </c>
      <c r="L131" s="47">
        <v>121.166666666667</v>
      </c>
      <c r="M131" s="87">
        <v>15</v>
      </c>
      <c r="N131" s="57">
        <f t="shared" ref="N131" si="85">G131/W131*60</f>
        <v>1318.8888888888896</v>
      </c>
      <c r="O131" s="86">
        <f t="shared" ref="O131" si="86">N131/M131</f>
        <v>87.925925925925966</v>
      </c>
      <c r="P131" s="54">
        <f t="shared" ref="P131" si="87">M131-J131</f>
        <v>1</v>
      </c>
      <c r="Q131" s="88">
        <f t="shared" ref="Q131" si="88">O131-L131</f>
        <v>-33.240740740741032</v>
      </c>
      <c r="R131" s="345">
        <f t="shared" ref="R131" si="89">O131/L131</f>
        <v>0.72566101176830033</v>
      </c>
      <c r="S131" s="696"/>
      <c r="T131" s="50">
        <v>0.93333333333333313</v>
      </c>
      <c r="U131" s="50">
        <v>0.9708333333333331</v>
      </c>
      <c r="V131" s="331">
        <v>7</v>
      </c>
      <c r="W131" s="328">
        <f t="shared" si="70"/>
        <v>53.999999999999972</v>
      </c>
      <c r="X131" s="64"/>
      <c r="Y131" s="64"/>
      <c r="Z131" s="54"/>
      <c r="AA131" s="54"/>
      <c r="AB131" s="644"/>
      <c r="AC131" s="644"/>
      <c r="AD131" s="344"/>
      <c r="AE131" s="344"/>
      <c r="AF131" s="48">
        <f t="shared" si="61"/>
        <v>-453.1111111111104</v>
      </c>
      <c r="AG131" s="335">
        <f t="shared" si="62"/>
        <v>0.74429395535490384</v>
      </c>
      <c r="AH131" s="659"/>
    </row>
    <row r="132" spans="1:34" ht="19.2" customHeight="1">
      <c r="A132" s="69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696"/>
      <c r="T132" s="50"/>
      <c r="U132" s="50"/>
      <c r="V132" s="331"/>
      <c r="W132" s="328">
        <f t="shared" si="70"/>
        <v>0</v>
      </c>
      <c r="X132" s="64"/>
      <c r="Y132" s="64"/>
      <c r="Z132" s="54"/>
      <c r="AA132" s="54"/>
      <c r="AB132" s="644"/>
      <c r="AC132" s="644"/>
      <c r="AD132" s="344"/>
      <c r="AE132" s="344"/>
      <c r="AF132" s="65"/>
      <c r="AG132" s="336"/>
      <c r="AH132" s="659"/>
    </row>
    <row r="133" spans="1:34" ht="19.2" customHeight="1">
      <c r="A133" s="69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696"/>
      <c r="T133" s="50"/>
      <c r="U133" s="50"/>
      <c r="V133" s="331"/>
      <c r="W133" s="236">
        <f t="shared" si="70"/>
        <v>0</v>
      </c>
      <c r="X133" s="64"/>
      <c r="Y133" s="64"/>
      <c r="Z133" s="54"/>
      <c r="AA133" s="54"/>
      <c r="AB133" s="644"/>
      <c r="AC133" s="644"/>
      <c r="AD133" s="344"/>
      <c r="AE133" s="344"/>
      <c r="AF133" s="65"/>
      <c r="AG133" s="336"/>
      <c r="AH133" s="659"/>
    </row>
    <row r="134" spans="1:34" ht="19.2" customHeight="1">
      <c r="A134" s="695"/>
      <c r="B134" s="168">
        <v>0</v>
      </c>
      <c r="C134" s="100" t="s">
        <v>241</v>
      </c>
      <c r="D134" s="673" t="s">
        <v>221</v>
      </c>
      <c r="E134" s="673"/>
      <c r="F134" s="283"/>
      <c r="G134" s="101"/>
      <c r="H134" s="102"/>
      <c r="I134" s="238"/>
      <c r="J134" s="239">
        <v>18.666666666666668</v>
      </c>
      <c r="K134" s="239">
        <v>1505.8888888888889</v>
      </c>
      <c r="L134" s="240">
        <v>81.409101457347077</v>
      </c>
      <c r="M134" s="239">
        <f t="shared" ref="M134:O134" si="90">AVERAGE(M122:M133)</f>
        <v>18.399999999999999</v>
      </c>
      <c r="N134" s="239">
        <f t="shared" si="90"/>
        <v>1303.7771575027982</v>
      </c>
      <c r="O134" s="240">
        <f t="shared" si="90"/>
        <v>71.875436065618345</v>
      </c>
      <c r="P134" s="51">
        <f t="shared" ref="P134:P143" si="91">M134-J134</f>
        <v>-0.26666666666666927</v>
      </c>
      <c r="Q134" s="139">
        <f t="shared" ref="Q134:Q143" si="92">O134-L134</f>
        <v>-9.5336653917287322</v>
      </c>
      <c r="R134" s="241">
        <f t="shared" ref="R134:R143" si="93">O134/L134</f>
        <v>0.88289189757580444</v>
      </c>
      <c r="S134" s="658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644"/>
      <c r="AC134" s="644"/>
      <c r="AD134" s="107">
        <f>SUM(AD122:AD133)</f>
        <v>0</v>
      </c>
      <c r="AE134" s="107">
        <f>SUM(AE122:AE133)</f>
        <v>0</v>
      </c>
      <c r="AF134" s="48">
        <f t="shared" si="61"/>
        <v>-202.1117313860907</v>
      </c>
      <c r="AG134" s="335">
        <f t="shared" si="62"/>
        <v>0.86578576090350357</v>
      </c>
      <c r="AH134" s="659"/>
    </row>
    <row r="135" spans="1:34" ht="19.2" customHeight="1">
      <c r="A135" s="697" t="s">
        <v>242</v>
      </c>
      <c r="B135" s="331" t="s">
        <v>105</v>
      </c>
      <c r="C135" s="344"/>
      <c r="D135" s="82" t="s">
        <v>74</v>
      </c>
      <c r="E135" s="83"/>
      <c r="F135" s="273">
        <v>57.734999999999999</v>
      </c>
      <c r="G135" s="57">
        <v>1549</v>
      </c>
      <c r="H135" s="242">
        <f t="shared" ref="H135:H146" si="94">F135*G135</f>
        <v>89431.514999999999</v>
      </c>
      <c r="I135" s="344"/>
      <c r="J135" s="46">
        <v>16</v>
      </c>
      <c r="K135" s="57">
        <v>1565</v>
      </c>
      <c r="L135" s="86">
        <v>97.8125</v>
      </c>
      <c r="M135" s="225">
        <v>16</v>
      </c>
      <c r="N135" s="57">
        <f t="shared" ref="N135:N143" si="95">G135/W135*60</f>
        <v>1366.7647058823511</v>
      </c>
      <c r="O135" s="115">
        <f t="shared" ref="O135:O143" si="96">N135/M135</f>
        <v>85.422794117646944</v>
      </c>
      <c r="P135" s="54">
        <f t="shared" si="91"/>
        <v>0</v>
      </c>
      <c r="Q135" s="88">
        <f t="shared" si="92"/>
        <v>-12.389705882353056</v>
      </c>
      <c r="R135" s="338">
        <f t="shared" si="93"/>
        <v>0.87333208043600707</v>
      </c>
      <c r="S135" s="694">
        <f>R147</f>
        <v>0.89973074598647906</v>
      </c>
      <c r="T135" s="243">
        <v>0.5</v>
      </c>
      <c r="U135" s="50">
        <v>0.54722222222222228</v>
      </c>
      <c r="V135" s="142">
        <v>5</v>
      </c>
      <c r="W135" s="244">
        <f t="shared" ref="W135:W147" si="97">(U135-T135)*24*60</f>
        <v>68.000000000000085</v>
      </c>
      <c r="X135" s="53"/>
      <c r="Y135" s="53"/>
      <c r="Z135" s="54"/>
      <c r="AA135" s="54"/>
      <c r="AB135" s="644"/>
      <c r="AC135" s="644"/>
      <c r="AD135" s="344"/>
      <c r="AE135" s="344"/>
      <c r="AF135" s="116">
        <f t="shared" si="61"/>
        <v>-198.23529411764889</v>
      </c>
      <c r="AG135" s="120">
        <f t="shared" si="62"/>
        <v>0.87333208043600707</v>
      </c>
      <c r="AH135" s="667">
        <f>AG147</f>
        <v>0.89948043047952786</v>
      </c>
    </row>
    <row r="136" spans="1:34" ht="19.2" customHeight="1">
      <c r="A136" s="698"/>
      <c r="B136" s="331" t="s">
        <v>105</v>
      </c>
      <c r="C136" s="344"/>
      <c r="D136" s="82" t="s">
        <v>160</v>
      </c>
      <c r="E136" s="83"/>
      <c r="F136" s="273">
        <v>53.27</v>
      </c>
      <c r="G136" s="57">
        <v>1099</v>
      </c>
      <c r="H136" s="84">
        <f t="shared" si="94"/>
        <v>58543.73</v>
      </c>
      <c r="I136" s="344"/>
      <c r="J136" s="46">
        <v>16</v>
      </c>
      <c r="K136" s="57">
        <v>1500</v>
      </c>
      <c r="L136" s="86">
        <v>93.75</v>
      </c>
      <c r="M136" s="334">
        <v>16</v>
      </c>
      <c r="N136" s="57">
        <f t="shared" si="95"/>
        <v>1373.7500000000005</v>
      </c>
      <c r="O136" s="86">
        <f t="shared" si="96"/>
        <v>85.859375000000028</v>
      </c>
      <c r="P136" s="54">
        <f t="shared" si="91"/>
        <v>0</v>
      </c>
      <c r="Q136" s="88">
        <f t="shared" si="92"/>
        <v>-7.8906249999999716</v>
      </c>
      <c r="R136" s="338">
        <f t="shared" si="93"/>
        <v>0.91583333333333361</v>
      </c>
      <c r="S136" s="694"/>
      <c r="T136" s="243">
        <v>0.55277777777777781</v>
      </c>
      <c r="U136" s="50">
        <v>0.58611111111111114</v>
      </c>
      <c r="V136" s="142">
        <v>8</v>
      </c>
      <c r="W136" s="244">
        <f t="shared" si="97"/>
        <v>47.999999999999986</v>
      </c>
      <c r="X136" s="53"/>
      <c r="Y136" s="53"/>
      <c r="Z136" s="54"/>
      <c r="AA136" s="54"/>
      <c r="AB136" s="644"/>
      <c r="AC136" s="644"/>
      <c r="AD136" s="344"/>
      <c r="AE136" s="344"/>
      <c r="AF136" s="48">
        <f t="shared" si="61"/>
        <v>-126.24999999999955</v>
      </c>
      <c r="AG136" s="125">
        <f t="shared" si="62"/>
        <v>0.91583333333333361</v>
      </c>
      <c r="AH136" s="667"/>
    </row>
    <row r="137" spans="1:34" ht="19.2" customHeight="1">
      <c r="A137" s="698"/>
      <c r="B137" s="331" t="s">
        <v>105</v>
      </c>
      <c r="C137" s="344"/>
      <c r="D137" s="82" t="s">
        <v>146</v>
      </c>
      <c r="E137" s="83"/>
      <c r="F137" s="273">
        <v>50.67</v>
      </c>
      <c r="G137" s="206">
        <v>1073</v>
      </c>
      <c r="H137" s="84">
        <f t="shared" si="94"/>
        <v>54368.91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5"/>
        <v>1369.7872340425533</v>
      </c>
      <c r="O137" s="86">
        <f t="shared" si="96"/>
        <v>76.099290780141857</v>
      </c>
      <c r="P137" s="54">
        <f t="shared" si="91"/>
        <v>0</v>
      </c>
      <c r="Q137" s="88">
        <f t="shared" si="92"/>
        <v>-7.2340425531914718</v>
      </c>
      <c r="R137" s="338">
        <f t="shared" si="93"/>
        <v>0.91319148936170236</v>
      </c>
      <c r="S137" s="694"/>
      <c r="T137" s="50">
        <v>0.6020833333333333</v>
      </c>
      <c r="U137" s="50">
        <v>0.63472222222222219</v>
      </c>
      <c r="V137" s="246">
        <v>23</v>
      </c>
      <c r="W137" s="244">
        <f t="shared" si="97"/>
        <v>46.999999999999993</v>
      </c>
      <c r="X137" s="53">
        <v>0.59027777777777779</v>
      </c>
      <c r="Y137" s="53">
        <v>0.60069444444444442</v>
      </c>
      <c r="Z137" s="54"/>
      <c r="AA137" s="54"/>
      <c r="AB137" s="644"/>
      <c r="AC137" s="644"/>
      <c r="AD137" s="344"/>
      <c r="AE137" s="344"/>
      <c r="AF137" s="48">
        <f t="shared" si="61"/>
        <v>-130.21276595744666</v>
      </c>
      <c r="AG137" s="125">
        <f t="shared" si="62"/>
        <v>0.91319148936170225</v>
      </c>
      <c r="AH137" s="667"/>
    </row>
    <row r="138" spans="1:34" ht="19.2" customHeight="1">
      <c r="A138" s="698"/>
      <c r="B138" s="331" t="s">
        <v>105</v>
      </c>
      <c r="C138" s="220"/>
      <c r="D138" s="82" t="s">
        <v>115</v>
      </c>
      <c r="E138" s="83"/>
      <c r="F138" s="273">
        <v>54.09</v>
      </c>
      <c r="G138" s="57">
        <v>627.6</v>
      </c>
      <c r="H138" s="84">
        <f t="shared" si="94"/>
        <v>33946.884000000005</v>
      </c>
      <c r="I138" s="344">
        <v>1</v>
      </c>
      <c r="J138" s="87">
        <v>16</v>
      </c>
      <c r="K138" s="57">
        <v>1500</v>
      </c>
      <c r="L138" s="86">
        <v>93.75</v>
      </c>
      <c r="M138" s="225">
        <v>17</v>
      </c>
      <c r="N138" s="57">
        <f t="shared" si="95"/>
        <v>1344.8571428571402</v>
      </c>
      <c r="O138" s="86">
        <f t="shared" si="96"/>
        <v>79.109243697478831</v>
      </c>
      <c r="P138" s="54">
        <f t="shared" si="91"/>
        <v>1</v>
      </c>
      <c r="Q138" s="88">
        <f t="shared" si="92"/>
        <v>-14.640756302521169</v>
      </c>
      <c r="R138" s="343">
        <f t="shared" si="93"/>
        <v>0.84383193277310753</v>
      </c>
      <c r="S138" s="694"/>
      <c r="T138" s="50">
        <v>0.63888888888888884</v>
      </c>
      <c r="U138" s="50">
        <v>0.65833333333333333</v>
      </c>
      <c r="V138" s="246">
        <v>6</v>
      </c>
      <c r="W138" s="244">
        <f t="shared" si="97"/>
        <v>28.00000000000006</v>
      </c>
      <c r="X138" s="53"/>
      <c r="Y138" s="53"/>
      <c r="Z138" s="54"/>
      <c r="AA138" s="54"/>
      <c r="AB138" s="644"/>
      <c r="AC138" s="644"/>
      <c r="AD138" s="344"/>
      <c r="AE138" s="344"/>
      <c r="AF138" s="48">
        <f t="shared" si="61"/>
        <v>-155.14285714285984</v>
      </c>
      <c r="AG138" s="125">
        <f t="shared" si="62"/>
        <v>0.8965714285714268</v>
      </c>
      <c r="AH138" s="667"/>
    </row>
    <row r="139" spans="1:34" ht="19.2" customHeight="1">
      <c r="A139" s="698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1480</v>
      </c>
      <c r="H139" s="84">
        <f t="shared" si="94"/>
        <v>75450.399999999994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5"/>
        <v>1325.3731343283566</v>
      </c>
      <c r="O139" s="86">
        <f t="shared" si="96"/>
        <v>66.268656716417837</v>
      </c>
      <c r="P139" s="54">
        <f t="shared" si="91"/>
        <v>0</v>
      </c>
      <c r="Q139" s="88">
        <f t="shared" si="92"/>
        <v>-5.7313432835821629</v>
      </c>
      <c r="R139" s="338">
        <f t="shared" si="93"/>
        <v>0.92039800995024779</v>
      </c>
      <c r="S139" s="694"/>
      <c r="T139" s="50">
        <v>0.70833333333333337</v>
      </c>
      <c r="U139" s="50">
        <v>0.7548611111111112</v>
      </c>
      <c r="V139" s="247">
        <v>5</v>
      </c>
      <c r="W139" s="244">
        <f t="shared" si="97"/>
        <v>67.000000000000085</v>
      </c>
      <c r="X139" s="53"/>
      <c r="Y139" s="53"/>
      <c r="Z139" s="54"/>
      <c r="AA139" s="54"/>
      <c r="AB139" s="644"/>
      <c r="AC139" s="644"/>
      <c r="AD139" s="344"/>
      <c r="AE139" s="344"/>
      <c r="AF139" s="48">
        <f t="shared" si="61"/>
        <v>-114.62686567164337</v>
      </c>
      <c r="AG139" s="125">
        <f t="shared" si="62"/>
        <v>0.92039800995024768</v>
      </c>
      <c r="AH139" s="667"/>
    </row>
    <row r="140" spans="1:34" ht="19.2" customHeight="1">
      <c r="A140" s="699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960</v>
      </c>
      <c r="H140" s="84">
        <f t="shared" si="94"/>
        <v>48643.200000000004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5"/>
        <v>1339.5348837209301</v>
      </c>
      <c r="O140" s="86">
        <f t="shared" si="96"/>
        <v>78.79616963064295</v>
      </c>
      <c r="P140" s="54">
        <f t="shared" si="91"/>
        <v>0</v>
      </c>
      <c r="Q140" s="88">
        <f t="shared" si="92"/>
        <v>-9.4391244870041078</v>
      </c>
      <c r="R140" s="338">
        <f t="shared" si="93"/>
        <v>0.89302325581395348</v>
      </c>
      <c r="S140" s="701"/>
      <c r="T140" s="63">
        <v>0.7597222222222223</v>
      </c>
      <c r="U140" s="249">
        <v>0.78958333333333341</v>
      </c>
      <c r="V140" s="250">
        <v>7</v>
      </c>
      <c r="W140" s="244">
        <f t="shared" si="97"/>
        <v>43.000000000000007</v>
      </c>
      <c r="X140" s="53"/>
      <c r="Y140" s="53"/>
      <c r="Z140" s="54"/>
      <c r="AA140" s="54"/>
      <c r="AB140" s="644"/>
      <c r="AC140" s="644"/>
      <c r="AD140" s="344"/>
      <c r="AE140" s="344"/>
      <c r="AF140" s="48">
        <f t="shared" si="61"/>
        <v>-160.46511627906989</v>
      </c>
      <c r="AG140" s="125">
        <f t="shared" si="62"/>
        <v>0.89302325581395336</v>
      </c>
      <c r="AH140" s="667"/>
    </row>
    <row r="141" spans="1:34" ht="19.2" customHeight="1">
      <c r="A141" s="699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1710</v>
      </c>
      <c r="H141" s="84">
        <f t="shared" si="94"/>
        <v>87073.2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5"/>
        <v>1298.7341772151892</v>
      </c>
      <c r="O141" s="86">
        <f t="shared" si="96"/>
        <v>68.354430379746802</v>
      </c>
      <c r="P141" s="54">
        <f t="shared" si="91"/>
        <v>0</v>
      </c>
      <c r="Q141" s="88">
        <f t="shared" si="92"/>
        <v>-7.4350433044637185</v>
      </c>
      <c r="R141" s="338">
        <f t="shared" si="93"/>
        <v>0.90189873417721478</v>
      </c>
      <c r="S141" s="701"/>
      <c r="T141" s="63">
        <v>0.79444444444444451</v>
      </c>
      <c r="U141" s="249">
        <v>0.84930555555555565</v>
      </c>
      <c r="V141" s="55">
        <v>7</v>
      </c>
      <c r="W141" s="244">
        <f t="shared" si="97"/>
        <v>79.000000000000043</v>
      </c>
      <c r="X141" s="53"/>
      <c r="Y141" s="53"/>
      <c r="Z141" s="54"/>
      <c r="AA141" s="54"/>
      <c r="AB141" s="644"/>
      <c r="AC141" s="644"/>
      <c r="AD141" s="344"/>
      <c r="AE141" s="344"/>
      <c r="AF141" s="48">
        <f t="shared" si="61"/>
        <v>-141.26582278481078</v>
      </c>
      <c r="AG141" s="125">
        <f t="shared" si="62"/>
        <v>0.90189873417721478</v>
      </c>
      <c r="AH141" s="667"/>
    </row>
    <row r="142" spans="1:34" ht="19.2" customHeight="1">
      <c r="A142" s="699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1041</v>
      </c>
      <c r="H142" s="84">
        <f t="shared" si="94"/>
        <v>58743.63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f t="shared" si="95"/>
        <v>1357.8260869565217</v>
      </c>
      <c r="O142" s="86">
        <f t="shared" si="96"/>
        <v>79.872122762148337</v>
      </c>
      <c r="P142" s="54">
        <f t="shared" si="91"/>
        <v>1</v>
      </c>
      <c r="Q142" s="88">
        <f t="shared" si="92"/>
        <v>-13.877877237851663</v>
      </c>
      <c r="R142" s="436">
        <f t="shared" si="93"/>
        <v>0.8519693094629156</v>
      </c>
      <c r="S142" s="701"/>
      <c r="T142" s="63">
        <v>0.86458333333333337</v>
      </c>
      <c r="U142" s="249">
        <v>0.89652777777777781</v>
      </c>
      <c r="V142" s="55">
        <v>22</v>
      </c>
      <c r="W142" s="244">
        <f t="shared" si="97"/>
        <v>46</v>
      </c>
      <c r="X142" s="53">
        <v>0.85416666666666663</v>
      </c>
      <c r="Y142" s="53">
        <v>0.86388888888888893</v>
      </c>
      <c r="Z142" s="54"/>
      <c r="AA142" s="54"/>
      <c r="AB142" s="644"/>
      <c r="AC142" s="644"/>
      <c r="AD142" s="344"/>
      <c r="AE142" s="344"/>
      <c r="AF142" s="48">
        <f t="shared" si="61"/>
        <v>-142.17391304347825</v>
      </c>
      <c r="AG142" s="125">
        <f t="shared" si="62"/>
        <v>0.90521739130434786</v>
      </c>
      <c r="AH142" s="667"/>
    </row>
    <row r="143" spans="1:34" ht="19.2" customHeight="1">
      <c r="A143" s="699"/>
      <c r="B143" s="331" t="s">
        <v>105</v>
      </c>
      <c r="C143" s="252"/>
      <c r="D143" s="82" t="s">
        <v>85</v>
      </c>
      <c r="E143" s="83"/>
      <c r="F143" s="273">
        <v>50.67</v>
      </c>
      <c r="G143" s="57">
        <v>829</v>
      </c>
      <c r="H143" s="84">
        <f t="shared" si="94"/>
        <v>42005.43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5"/>
        <v>1308.9473684210516</v>
      </c>
      <c r="O143" s="86">
        <f t="shared" si="96"/>
        <v>76.996904024767744</v>
      </c>
      <c r="P143" s="54">
        <f t="shared" si="91"/>
        <v>0</v>
      </c>
      <c r="Q143" s="88">
        <f t="shared" si="92"/>
        <v>-7.7089783281734299</v>
      </c>
      <c r="R143" s="436">
        <f t="shared" si="93"/>
        <v>0.90899122807017474</v>
      </c>
      <c r="S143" s="701"/>
      <c r="T143" s="63">
        <v>0.90138888888888891</v>
      </c>
      <c r="U143" s="249">
        <v>0.92777777777777781</v>
      </c>
      <c r="V143" s="55">
        <v>7</v>
      </c>
      <c r="W143" s="244">
        <f t="shared" si="97"/>
        <v>38.000000000000028</v>
      </c>
      <c r="X143" s="53"/>
      <c r="Y143" s="53"/>
      <c r="Z143" s="54"/>
      <c r="AA143" s="54"/>
      <c r="AB143" s="644"/>
      <c r="AC143" s="644"/>
      <c r="AD143" s="344"/>
      <c r="AE143" s="344"/>
      <c r="AF143" s="48">
        <f t="shared" si="61"/>
        <v>-131.05263157894842</v>
      </c>
      <c r="AG143" s="125">
        <f t="shared" si="62"/>
        <v>0.90899122807017474</v>
      </c>
      <c r="AH143" s="667"/>
    </row>
    <row r="144" spans="1:34" ht="19.2" customHeight="1">
      <c r="A144" s="699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1141</v>
      </c>
      <c r="H144" s="84">
        <f t="shared" si="94"/>
        <v>57609.090000000004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f t="shared" ref="N144" si="98">G144/W144*60</f>
        <v>1291.698113207548</v>
      </c>
      <c r="O144" s="86">
        <f t="shared" ref="O144" si="99">N144/M144</f>
        <v>86.113207547169864</v>
      </c>
      <c r="P144" s="54">
        <f t="shared" ref="P144" si="100">M144-J144</f>
        <v>1</v>
      </c>
      <c r="Q144" s="88">
        <f t="shared" ref="Q144" si="101">O144-L144</f>
        <v>-16.743935309972997</v>
      </c>
      <c r="R144" s="436">
        <f>O144/L144</f>
        <v>0.83721174004192922</v>
      </c>
      <c r="S144" s="701"/>
      <c r="T144" s="63">
        <v>0.93194444444444446</v>
      </c>
      <c r="U144" s="249">
        <v>0.96875</v>
      </c>
      <c r="V144" s="55">
        <v>6</v>
      </c>
      <c r="W144" s="244">
        <f t="shared" si="97"/>
        <v>52.999999999999972</v>
      </c>
      <c r="X144" s="53"/>
      <c r="Y144" s="53"/>
      <c r="Z144" s="54"/>
      <c r="AA144" s="54"/>
      <c r="AB144" s="644"/>
      <c r="AC144" s="644"/>
      <c r="AD144" s="344"/>
      <c r="AE144" s="344"/>
      <c r="AF144" s="48">
        <f t="shared" si="61"/>
        <v>-148.30188679245202</v>
      </c>
      <c r="AG144" s="125">
        <f t="shared" si="62"/>
        <v>0.89701257861635275</v>
      </c>
      <c r="AH144" s="667"/>
    </row>
    <row r="145" spans="1:34" ht="19.2" customHeight="1">
      <c r="A145" s="699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436"/>
      <c r="S145" s="701"/>
      <c r="T145" s="63"/>
      <c r="U145" s="249"/>
      <c r="V145" s="55"/>
      <c r="W145" s="244">
        <f t="shared" si="97"/>
        <v>0</v>
      </c>
      <c r="X145" s="53"/>
      <c r="Y145" s="53"/>
      <c r="Z145" s="54"/>
      <c r="AA145" s="54"/>
      <c r="AB145" s="644"/>
      <c r="AC145" s="644"/>
      <c r="AD145" s="344"/>
      <c r="AE145" s="344"/>
      <c r="AF145" s="48">
        <f t="shared" si="61"/>
        <v>0</v>
      </c>
      <c r="AG145" s="125" t="e">
        <f t="shared" si="62"/>
        <v>#DIV/0!</v>
      </c>
      <c r="AH145" s="667"/>
    </row>
    <row r="146" spans="1:34" ht="19.2" customHeight="1">
      <c r="A146" s="699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4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436"/>
      <c r="S146" s="701"/>
      <c r="T146" s="63"/>
      <c r="U146" s="249"/>
      <c r="V146" s="55"/>
      <c r="W146" s="244">
        <f t="shared" si="97"/>
        <v>0</v>
      </c>
      <c r="X146" s="53"/>
      <c r="Y146" s="53"/>
      <c r="Z146" s="54"/>
      <c r="AA146" s="54"/>
      <c r="AB146" s="644"/>
      <c r="AC146" s="644"/>
      <c r="AD146" s="344"/>
      <c r="AE146" s="344"/>
      <c r="AF146" s="54"/>
      <c r="AG146" s="338"/>
      <c r="AH146" s="667"/>
    </row>
    <row r="147" spans="1:34" ht="19.2" customHeight="1">
      <c r="A147" s="700"/>
      <c r="B147" s="254">
        <v>0</v>
      </c>
      <c r="C147" s="100" t="s">
        <v>243</v>
      </c>
      <c r="D147" s="673" t="s">
        <v>221</v>
      </c>
      <c r="E147" s="673"/>
      <c r="F147" s="28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39">
        <f t="shared" ref="M147:O147" si="102">AVERAGE(M135:M146)</f>
        <v>17.2</v>
      </c>
      <c r="N147" s="239">
        <f t="shared" si="102"/>
        <v>1337.7272846631645</v>
      </c>
      <c r="O147" s="240">
        <f t="shared" si="102"/>
        <v>78.289219465616128</v>
      </c>
      <c r="P147" s="51">
        <f t="shared" ref="P147:P153" si="103">M147-J147</f>
        <v>-2.2222222222222143E-2</v>
      </c>
      <c r="Q147" s="139">
        <f t="shared" ref="Q147:Q153" si="104">O147-L147</f>
        <v>-8.7248342552874334</v>
      </c>
      <c r="R147" s="255">
        <f t="shared" ref="R147:R153" si="105">O147/L147</f>
        <v>0.89973074598647906</v>
      </c>
      <c r="S147" s="702"/>
      <c r="T147" s="63"/>
      <c r="U147" s="63"/>
      <c r="V147" s="55"/>
      <c r="W147" s="328">
        <f t="shared" si="9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44"/>
      <c r="AC147" s="644"/>
      <c r="AD147" s="107">
        <f>SUM(AD135:AD146)</f>
        <v>0</v>
      </c>
      <c r="AE147" s="107">
        <f>SUM(AE135:AE146)</f>
        <v>0</v>
      </c>
      <c r="AF147" s="201">
        <f t="shared" si="61"/>
        <v>-149.49493755905769</v>
      </c>
      <c r="AG147" s="256">
        <f t="shared" si="62"/>
        <v>0.89948043047952786</v>
      </c>
      <c r="AH147" s="667"/>
    </row>
    <row r="148" spans="1:34" ht="19.2" customHeight="1">
      <c r="A148" s="704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2216</v>
      </c>
      <c r="H148" s="84">
        <f t="shared" ref="H148:H172" si="106">F148*G148</f>
        <v>81814.720000000001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107">G148/W148*60</f>
        <v>1546.0465116279083</v>
      </c>
      <c r="O148" s="47">
        <f t="shared" ref="O148:O153" si="108">N148/M148</f>
        <v>128.8372093023257</v>
      </c>
      <c r="P148" s="48">
        <f t="shared" si="103"/>
        <v>0</v>
      </c>
      <c r="Q148" s="49">
        <f t="shared" si="104"/>
        <v>-37.829457364340954</v>
      </c>
      <c r="R148" s="335">
        <f t="shared" si="105"/>
        <v>0.77302325581395426</v>
      </c>
      <c r="S148" s="705">
        <f>R160</f>
        <v>0.85575435715421078</v>
      </c>
      <c r="T148" s="243">
        <v>0.45833333333333331</v>
      </c>
      <c r="U148" s="50">
        <v>0.51805555555555549</v>
      </c>
      <c r="V148" s="331">
        <v>5</v>
      </c>
      <c r="W148" s="328">
        <f>(U148-T148)*24*60</f>
        <v>85.999999999999929</v>
      </c>
      <c r="X148" s="53"/>
      <c r="Y148" s="53"/>
      <c r="Z148" s="54"/>
      <c r="AA148" s="54"/>
      <c r="AB148" s="644"/>
      <c r="AC148" s="644"/>
      <c r="AD148" s="344"/>
      <c r="AE148" s="344"/>
      <c r="AF148" s="48">
        <f t="shared" si="61"/>
        <v>-453.95348837209167</v>
      </c>
      <c r="AG148" s="125">
        <f t="shared" si="62"/>
        <v>0.77302325581395415</v>
      </c>
      <c r="AH148" s="667">
        <f>AG160</f>
        <v>0.84136372909016877</v>
      </c>
    </row>
    <row r="149" spans="1:34" ht="19.2" customHeight="1">
      <c r="A149" s="704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689.84999999999991</v>
      </c>
      <c r="H149" s="84">
        <f t="shared" si="106"/>
        <v>18281.024999999998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7"/>
        <v>1532.9999999999961</v>
      </c>
      <c r="O149" s="47">
        <f t="shared" si="108"/>
        <v>127.74999999999967</v>
      </c>
      <c r="P149" s="48">
        <f t="shared" si="103"/>
        <v>0</v>
      </c>
      <c r="Q149" s="49">
        <f t="shared" si="104"/>
        <v>-38.916666666666984</v>
      </c>
      <c r="R149" s="335">
        <f t="shared" si="105"/>
        <v>0.76649999999999807</v>
      </c>
      <c r="S149" s="706"/>
      <c r="T149" s="243">
        <v>0.5215277777777777</v>
      </c>
      <c r="U149" s="50">
        <v>0.54027777777777775</v>
      </c>
      <c r="V149" s="331">
        <v>5</v>
      </c>
      <c r="W149" s="328">
        <f t="shared" ref="W149:W159" si="109">(U149-T149)*24*60</f>
        <v>27.000000000000064</v>
      </c>
      <c r="X149" s="53"/>
      <c r="Y149" s="53"/>
      <c r="Z149" s="54"/>
      <c r="AA149" s="54"/>
      <c r="AB149" s="644"/>
      <c r="AC149" s="644"/>
      <c r="AD149" s="344"/>
      <c r="AE149" s="344"/>
      <c r="AF149" s="48">
        <f t="shared" si="61"/>
        <v>-467.00000000000387</v>
      </c>
      <c r="AG149" s="125">
        <f t="shared" si="62"/>
        <v>0.76649999999999807</v>
      </c>
      <c r="AH149" s="708"/>
    </row>
    <row r="150" spans="1:34" ht="19.2" customHeight="1">
      <c r="A150" s="704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6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7"/>
        <v>1230.0000000000043</v>
      </c>
      <c r="O150" s="47">
        <f t="shared" si="108"/>
        <v>102.50000000000036</v>
      </c>
      <c r="P150" s="48">
        <f t="shared" si="103"/>
        <v>0</v>
      </c>
      <c r="Q150" s="49">
        <f t="shared" si="104"/>
        <v>-22.499999999999645</v>
      </c>
      <c r="R150" s="335">
        <f t="shared" si="105"/>
        <v>0.82000000000000284</v>
      </c>
      <c r="S150" s="706"/>
      <c r="T150" s="243">
        <v>0.70833333333333337</v>
      </c>
      <c r="U150" s="50">
        <v>0.71250000000000002</v>
      </c>
      <c r="V150" s="331">
        <v>5</v>
      </c>
      <c r="W150" s="328">
        <f t="shared" si="109"/>
        <v>5.9999999999999787</v>
      </c>
      <c r="X150" s="213"/>
      <c r="Y150" s="213"/>
      <c r="Z150" s="214"/>
      <c r="AA150" s="214"/>
      <c r="AB150" s="644"/>
      <c r="AC150" s="644"/>
      <c r="AD150" s="344"/>
      <c r="AE150" s="344"/>
      <c r="AF150" s="48">
        <f t="shared" si="61"/>
        <v>-269.99999999999568</v>
      </c>
      <c r="AG150" s="125">
        <f t="shared" si="62"/>
        <v>0.82000000000000284</v>
      </c>
      <c r="AH150" s="708"/>
    </row>
    <row r="151" spans="1:34" s="215" customFormat="1" ht="19.2" customHeight="1">
      <c r="A151" s="704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1190</v>
      </c>
      <c r="H151" s="84">
        <f t="shared" si="106"/>
        <v>33998.300000000003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7"/>
        <v>1400.0000000000005</v>
      </c>
      <c r="O151" s="47">
        <f t="shared" si="108"/>
        <v>116.6666666666667</v>
      </c>
      <c r="P151" s="48">
        <f t="shared" si="103"/>
        <v>0</v>
      </c>
      <c r="Q151" s="49">
        <f t="shared" si="104"/>
        <v>-8.3333333333333002</v>
      </c>
      <c r="R151" s="335">
        <f t="shared" si="105"/>
        <v>0.93333333333333357</v>
      </c>
      <c r="S151" s="706"/>
      <c r="T151" s="243">
        <v>0.71597222222222223</v>
      </c>
      <c r="U151" s="50">
        <v>0.75138888888888888</v>
      </c>
      <c r="V151" s="331">
        <v>5</v>
      </c>
      <c r="W151" s="328">
        <f t="shared" si="109"/>
        <v>50.999999999999979</v>
      </c>
      <c r="X151" s="213"/>
      <c r="Y151" s="213"/>
      <c r="Z151" s="214"/>
      <c r="AA151" s="214"/>
      <c r="AB151" s="644"/>
      <c r="AC151" s="644"/>
      <c r="AD151" s="218"/>
      <c r="AE151" s="218"/>
      <c r="AF151" s="48">
        <f t="shared" si="61"/>
        <v>-99.999999999999545</v>
      </c>
      <c r="AG151" s="125">
        <f t="shared" si="62"/>
        <v>0.93333333333333368</v>
      </c>
      <c r="AH151" s="708"/>
    </row>
    <row r="152" spans="1:34" s="215" customFormat="1" ht="19.2" customHeight="1">
      <c r="A152" s="704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388</v>
      </c>
      <c r="H152" s="84">
        <f t="shared" si="106"/>
        <v>7340.9600000000009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7"/>
        <v>1940.000000000007</v>
      </c>
      <c r="O152" s="47">
        <f t="shared" si="108"/>
        <v>388.00000000000142</v>
      </c>
      <c r="P152" s="48">
        <f t="shared" si="103"/>
        <v>0</v>
      </c>
      <c r="Q152" s="49">
        <f t="shared" si="104"/>
        <v>-51.999999999998579</v>
      </c>
      <c r="R152" s="335">
        <f t="shared" si="105"/>
        <v>0.88181818181818505</v>
      </c>
      <c r="S152" s="706"/>
      <c r="T152" s="258">
        <v>0.75486111111111109</v>
      </c>
      <c r="U152" s="63">
        <v>0.7631944444444444</v>
      </c>
      <c r="V152" s="332">
        <v>5</v>
      </c>
      <c r="W152" s="328">
        <f t="shared" si="109"/>
        <v>11.999999999999957</v>
      </c>
      <c r="X152" s="216"/>
      <c r="Y152" s="216"/>
      <c r="Z152" s="214"/>
      <c r="AA152" s="214"/>
      <c r="AB152" s="644"/>
      <c r="AC152" s="644"/>
      <c r="AD152" s="218"/>
      <c r="AE152" s="218"/>
      <c r="AF152" s="48">
        <f t="shared" si="61"/>
        <v>-259.99999999999295</v>
      </c>
      <c r="AG152" s="125">
        <f t="shared" si="62"/>
        <v>0.88181818181818505</v>
      </c>
      <c r="AH152" s="708"/>
    </row>
    <row r="153" spans="1:34" s="215" customFormat="1" ht="19.2" customHeight="1">
      <c r="A153" s="704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259</v>
      </c>
      <c r="H153" s="84">
        <f t="shared" si="106"/>
        <v>4586.8900000000003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7"/>
        <v>1942.5000000000068</v>
      </c>
      <c r="O153" s="47">
        <f t="shared" si="108"/>
        <v>388.50000000000136</v>
      </c>
      <c r="P153" s="48">
        <f t="shared" si="103"/>
        <v>0</v>
      </c>
      <c r="Q153" s="49">
        <f t="shared" si="104"/>
        <v>-51.499999999998636</v>
      </c>
      <c r="R153" s="335">
        <f t="shared" si="105"/>
        <v>0.88295454545454855</v>
      </c>
      <c r="S153" s="706"/>
      <c r="T153" s="258">
        <v>0.76666666666666661</v>
      </c>
      <c r="U153" s="63">
        <v>0.77222222222222214</v>
      </c>
      <c r="V153" s="332">
        <v>5</v>
      </c>
      <c r="W153" s="328">
        <f t="shared" si="109"/>
        <v>7.9999999999999716</v>
      </c>
      <c r="X153" s="216"/>
      <c r="Y153" s="216"/>
      <c r="Z153" s="214"/>
      <c r="AA153" s="214"/>
      <c r="AB153" s="644"/>
      <c r="AC153" s="644"/>
      <c r="AD153" s="218"/>
      <c r="AE153" s="218"/>
      <c r="AF153" s="48">
        <f t="shared" si="61"/>
        <v>-257.49999999999318</v>
      </c>
      <c r="AG153" s="125">
        <f t="shared" si="62"/>
        <v>0.88295454545454855</v>
      </c>
      <c r="AH153" s="708"/>
    </row>
    <row r="154" spans="1:34" s="215" customFormat="1" ht="19.2" customHeight="1">
      <c r="A154" s="704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106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706"/>
      <c r="T154" s="258"/>
      <c r="U154" s="63"/>
      <c r="V154" s="332"/>
      <c r="W154" s="328">
        <f t="shared" si="109"/>
        <v>0</v>
      </c>
      <c r="X154" s="216"/>
      <c r="Y154" s="216"/>
      <c r="Z154" s="214"/>
      <c r="AA154" s="214"/>
      <c r="AB154" s="644"/>
      <c r="AC154" s="644"/>
      <c r="AD154" s="218"/>
      <c r="AE154" s="218"/>
      <c r="AF154" s="48">
        <f t="shared" si="61"/>
        <v>0</v>
      </c>
      <c r="AG154" s="125" t="e">
        <f t="shared" si="62"/>
        <v>#DIV/0!</v>
      </c>
      <c r="AH154" s="708"/>
    </row>
    <row r="155" spans="1:34" s="215" customFormat="1" ht="19.2" customHeight="1">
      <c r="A155" s="704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106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706"/>
      <c r="T155" s="258"/>
      <c r="U155" s="63"/>
      <c r="V155" s="332"/>
      <c r="W155" s="328">
        <f t="shared" si="109"/>
        <v>0</v>
      </c>
      <c r="X155" s="216"/>
      <c r="Y155" s="216"/>
      <c r="Z155" s="214"/>
      <c r="AA155" s="214"/>
      <c r="AB155" s="644"/>
      <c r="AC155" s="644"/>
      <c r="AD155" s="218"/>
      <c r="AE155" s="218"/>
      <c r="AF155" s="48">
        <f t="shared" si="61"/>
        <v>0</v>
      </c>
      <c r="AG155" s="125" t="e">
        <f t="shared" si="62"/>
        <v>#DIV/0!</v>
      </c>
      <c r="AH155" s="708"/>
    </row>
    <row r="156" spans="1:34" s="215" customFormat="1" ht="19.2" customHeight="1">
      <c r="A156" s="70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6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706"/>
      <c r="T156" s="258"/>
      <c r="U156" s="63"/>
      <c r="V156" s="332"/>
      <c r="W156" s="262">
        <f t="shared" si="109"/>
        <v>0</v>
      </c>
      <c r="X156" s="216"/>
      <c r="Y156" s="216"/>
      <c r="Z156" s="214"/>
      <c r="AA156" s="214"/>
      <c r="AB156" s="644"/>
      <c r="AC156" s="644"/>
      <c r="AD156" s="218"/>
      <c r="AE156" s="218"/>
      <c r="AF156" s="261"/>
      <c r="AG156" s="129"/>
      <c r="AH156" s="708"/>
    </row>
    <row r="157" spans="1:34" s="215" customFormat="1" ht="19.2" customHeight="1">
      <c r="A157" s="70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6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706"/>
      <c r="T157" s="258"/>
      <c r="U157" s="63"/>
      <c r="V157" s="332"/>
      <c r="W157" s="262">
        <f t="shared" si="109"/>
        <v>0</v>
      </c>
      <c r="X157" s="216"/>
      <c r="Y157" s="216"/>
      <c r="Z157" s="214"/>
      <c r="AA157" s="214"/>
      <c r="AB157" s="644"/>
      <c r="AC157" s="644"/>
      <c r="AD157" s="218"/>
      <c r="AE157" s="218"/>
      <c r="AF157" s="261"/>
      <c r="AG157" s="129"/>
      <c r="AH157" s="708"/>
    </row>
    <row r="158" spans="1:34" s="215" customFormat="1" ht="19.2" customHeight="1">
      <c r="A158" s="70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6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706"/>
      <c r="T158" s="258"/>
      <c r="U158" s="63"/>
      <c r="V158" s="332"/>
      <c r="W158" s="262">
        <f t="shared" si="109"/>
        <v>0</v>
      </c>
      <c r="X158" s="216"/>
      <c r="Y158" s="216"/>
      <c r="Z158" s="214"/>
      <c r="AA158" s="214"/>
      <c r="AB158" s="644"/>
      <c r="AC158" s="644"/>
      <c r="AD158" s="218"/>
      <c r="AE158" s="218"/>
      <c r="AF158" s="261"/>
      <c r="AG158" s="129"/>
      <c r="AH158" s="708"/>
    </row>
    <row r="159" spans="1:34" s="215" customFormat="1" ht="19.2" customHeight="1">
      <c r="A159" s="70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6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706"/>
      <c r="T159" s="258"/>
      <c r="U159" s="63"/>
      <c r="V159" s="332"/>
      <c r="W159" s="263">
        <f t="shared" si="109"/>
        <v>0</v>
      </c>
      <c r="X159" s="216"/>
      <c r="Y159" s="216"/>
      <c r="Z159" s="214"/>
      <c r="AA159" s="214"/>
      <c r="AB159" s="644"/>
      <c r="AC159" s="644"/>
      <c r="AD159" s="218"/>
      <c r="AE159" s="218"/>
      <c r="AF159" s="261"/>
      <c r="AG159" s="129"/>
      <c r="AH159" s="708"/>
    </row>
    <row r="160" spans="1:34" ht="19.2" customHeight="1">
      <c r="A160" s="704"/>
      <c r="B160" s="264">
        <v>0</v>
      </c>
      <c r="C160" s="265" t="s">
        <v>245</v>
      </c>
      <c r="D160" s="703" t="s">
        <v>221</v>
      </c>
      <c r="E160" s="664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10">AVERAGE(M148:M159)</f>
        <v>9.6666666666666661</v>
      </c>
      <c r="N160" s="266">
        <f t="shared" si="110"/>
        <v>1598.5910852713207</v>
      </c>
      <c r="O160" s="267">
        <f t="shared" si="110"/>
        <v>208.70897932816584</v>
      </c>
      <c r="P160" s="65">
        <f t="shared" ref="P160:P163" si="111">M160-J160</f>
        <v>0</v>
      </c>
      <c r="Q160" s="74">
        <f t="shared" ref="Q160:Q163" si="112">O160-L160</f>
        <v>-35.179909560723047</v>
      </c>
      <c r="R160" s="268">
        <f>O160/L160</f>
        <v>0.85575435715421078</v>
      </c>
      <c r="S160" s="70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644"/>
      <c r="AC160" s="644"/>
      <c r="AD160" s="79">
        <f>SUM(AD148:AD159)</f>
        <v>0</v>
      </c>
      <c r="AE160" s="79">
        <f>SUM(AE148:AE159)</f>
        <v>0</v>
      </c>
      <c r="AF160" s="65">
        <f t="shared" si="61"/>
        <v>-301.40891472867929</v>
      </c>
      <c r="AG160" s="129">
        <f t="shared" si="62"/>
        <v>0.84136372909016877</v>
      </c>
      <c r="AH160" s="708"/>
    </row>
    <row r="161" spans="1:36" ht="19.2" customHeight="1">
      <c r="A161" s="66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3085</v>
      </c>
      <c r="H161" s="84">
        <f t="shared" ref="H161:H170" si="113">F161*G161</f>
        <v>92951.05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14">G161/W161*60</f>
        <v>1194.1935483870966</v>
      </c>
      <c r="O161" s="86">
        <f t="shared" ref="O161:O164" si="115">N161/M161</f>
        <v>66.344086021505362</v>
      </c>
      <c r="P161" s="54">
        <f t="shared" si="111"/>
        <v>0</v>
      </c>
      <c r="Q161" s="88">
        <f t="shared" si="112"/>
        <v>-0.32258064516130958</v>
      </c>
      <c r="R161" s="338">
        <f t="shared" ref="R161:R163" si="116">O161/L161</f>
        <v>0.99516129032258038</v>
      </c>
      <c r="S161" s="667">
        <f>R173</f>
        <v>0.92725527126265239</v>
      </c>
      <c r="T161" s="89">
        <v>0.16666666666666666</v>
      </c>
      <c r="U161" s="89">
        <v>0.27430555555555558</v>
      </c>
      <c r="V161" s="344">
        <v>5</v>
      </c>
      <c r="W161" s="90">
        <f t="shared" ref="W161:W172" si="117">(U161-T161)*24*60</f>
        <v>155.00000000000003</v>
      </c>
      <c r="X161" s="96"/>
      <c r="Y161" s="96"/>
      <c r="Z161" s="54"/>
      <c r="AA161" s="54"/>
      <c r="AB161" s="644"/>
      <c r="AC161" s="644"/>
      <c r="AD161" s="344"/>
      <c r="AE161" s="344"/>
      <c r="AF161" s="54">
        <f t="shared" si="61"/>
        <v>-5.8064516129034018</v>
      </c>
      <c r="AG161" s="338">
        <f t="shared" si="62"/>
        <v>0.99516129032258049</v>
      </c>
      <c r="AH161" s="667">
        <f>AG173</f>
        <v>0.93379916600772772</v>
      </c>
    </row>
    <row r="162" spans="1:36" ht="19.2" customHeight="1">
      <c r="A162" s="66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1511</v>
      </c>
      <c r="H162" s="84">
        <f t="shared" si="113"/>
        <v>53383.63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14"/>
        <v>2014.6666666666665</v>
      </c>
      <c r="O162" s="86">
        <f t="shared" si="115"/>
        <v>167.88888888888889</v>
      </c>
      <c r="P162" s="54">
        <f t="shared" si="111"/>
        <v>0</v>
      </c>
      <c r="Q162" s="88">
        <f t="shared" si="112"/>
        <v>-8.6111111111111143</v>
      </c>
      <c r="R162" s="338">
        <f t="shared" si="116"/>
        <v>0.95121183506452622</v>
      </c>
      <c r="S162" s="667"/>
      <c r="T162" s="89">
        <v>0.28958333333333336</v>
      </c>
      <c r="U162" s="89">
        <v>0.32083333333333336</v>
      </c>
      <c r="V162" s="344">
        <v>22</v>
      </c>
      <c r="W162" s="90">
        <f t="shared" si="117"/>
        <v>45</v>
      </c>
      <c r="X162" s="96">
        <v>0.27916666666666667</v>
      </c>
      <c r="Y162" s="96">
        <v>0.28888888888888892</v>
      </c>
      <c r="Z162" s="54"/>
      <c r="AA162" s="54"/>
      <c r="AB162" s="644"/>
      <c r="AC162" s="644"/>
      <c r="AD162" s="344"/>
      <c r="AE162" s="344"/>
      <c r="AF162" s="54">
        <f t="shared" si="61"/>
        <v>-103.33333333333348</v>
      </c>
      <c r="AG162" s="338">
        <f t="shared" si="62"/>
        <v>0.95121183506452622</v>
      </c>
      <c r="AH162" s="667"/>
    </row>
    <row r="163" spans="1:36" ht="19.2" customHeight="1">
      <c r="A163" s="66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2743.7999999999997</v>
      </c>
      <c r="H163" s="84">
        <f t="shared" si="113"/>
        <v>98310.353999999992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4"/>
        <v>2195.0400000000004</v>
      </c>
      <c r="O163" s="86">
        <f t="shared" si="115"/>
        <v>199.54909090909095</v>
      </c>
      <c r="P163" s="54">
        <f t="shared" si="111"/>
        <v>0</v>
      </c>
      <c r="Q163" s="88">
        <f t="shared" si="112"/>
        <v>-4.9963636363635828</v>
      </c>
      <c r="R163" s="338">
        <f t="shared" si="116"/>
        <v>0.97557333333333363</v>
      </c>
      <c r="S163" s="667"/>
      <c r="T163" s="89">
        <v>0.32569444444444445</v>
      </c>
      <c r="U163" s="89">
        <v>0.37777777777777777</v>
      </c>
      <c r="V163" s="344">
        <v>7</v>
      </c>
      <c r="W163" s="90">
        <f t="shared" si="117"/>
        <v>74.999999999999972</v>
      </c>
      <c r="X163" s="96"/>
      <c r="Y163" s="96"/>
      <c r="Z163" s="54"/>
      <c r="AA163" s="54"/>
      <c r="AB163" s="644"/>
      <c r="AC163" s="644"/>
      <c r="AD163" s="344"/>
      <c r="AE163" s="344"/>
      <c r="AF163" s="54">
        <f t="shared" si="61"/>
        <v>-54.959999999999582</v>
      </c>
      <c r="AG163" s="338">
        <f t="shared" si="62"/>
        <v>0.97557333333333351</v>
      </c>
      <c r="AH163" s="667"/>
    </row>
    <row r="164" spans="1:36" ht="19.2" customHeight="1">
      <c r="A164" s="66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6707</v>
      </c>
      <c r="H164" s="84">
        <f t="shared" si="113"/>
        <v>244201.86999999997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4"/>
        <v>2381.1834319526624</v>
      </c>
      <c r="O164" s="86">
        <f t="shared" si="115"/>
        <v>238.11834319526625</v>
      </c>
      <c r="P164" s="54">
        <f>M164-J164</f>
        <v>0</v>
      </c>
      <c r="Q164" s="88">
        <f>O164-L164</f>
        <v>-38.781656804733728</v>
      </c>
      <c r="R164" s="338">
        <f>O164/L164</f>
        <v>0.85994345682653039</v>
      </c>
      <c r="S164" s="667"/>
      <c r="T164" s="89">
        <v>0.4194444444444444</v>
      </c>
      <c r="U164" s="89">
        <v>0.53680555555555554</v>
      </c>
      <c r="V164" s="344">
        <v>8</v>
      </c>
      <c r="W164" s="90">
        <f t="shared" si="117"/>
        <v>169.00000000000003</v>
      </c>
      <c r="X164" s="96"/>
      <c r="Y164" s="96"/>
      <c r="Z164" s="54"/>
      <c r="AA164" s="54"/>
      <c r="AB164" s="644"/>
      <c r="AC164" s="644"/>
      <c r="AD164" s="344">
        <v>1</v>
      </c>
      <c r="AE164" s="344"/>
      <c r="AF164" s="54">
        <f>N164-K164</f>
        <v>-387.81656804733757</v>
      </c>
      <c r="AG164" s="338">
        <f>N164/K164</f>
        <v>0.85994345682653028</v>
      </c>
      <c r="AH164" s="667"/>
    </row>
    <row r="165" spans="1:36" ht="19.2" customHeight="1">
      <c r="A165" s="66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13"/>
        <v>0</v>
      </c>
      <c r="I165" s="344"/>
      <c r="J165" s="87"/>
      <c r="K165" s="57"/>
      <c r="L165" s="86"/>
      <c r="M165" s="87"/>
      <c r="N165" s="57"/>
      <c r="O165" s="86"/>
      <c r="P165" s="54"/>
      <c r="Q165" s="88"/>
      <c r="R165" s="338"/>
      <c r="S165" s="667"/>
      <c r="T165" s="89"/>
      <c r="U165" s="89"/>
      <c r="V165" s="344"/>
      <c r="W165" s="90">
        <f t="shared" si="117"/>
        <v>0</v>
      </c>
      <c r="X165" s="96"/>
      <c r="Y165" s="96"/>
      <c r="Z165" s="54"/>
      <c r="AA165" s="54"/>
      <c r="AB165" s="644"/>
      <c r="AC165" s="644"/>
      <c r="AD165" s="344"/>
      <c r="AE165" s="344"/>
      <c r="AF165" s="54">
        <f>N165-K165</f>
        <v>0</v>
      </c>
      <c r="AG165" s="338" t="e">
        <f>N165/K165</f>
        <v>#DIV/0!</v>
      </c>
      <c r="AH165" s="667"/>
    </row>
    <row r="166" spans="1:36" ht="19.2" customHeight="1">
      <c r="A166" s="66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3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667"/>
      <c r="T166" s="89"/>
      <c r="U166" s="89"/>
      <c r="V166" s="344"/>
      <c r="W166" s="90">
        <f t="shared" si="117"/>
        <v>0</v>
      </c>
      <c r="X166" s="96"/>
      <c r="Y166" s="96"/>
      <c r="Z166" s="54"/>
      <c r="AA166" s="54"/>
      <c r="AB166" s="644"/>
      <c r="AC166" s="644"/>
      <c r="AD166" s="344"/>
      <c r="AE166" s="344"/>
      <c r="AF166" s="54">
        <f>N166-K166</f>
        <v>0</v>
      </c>
      <c r="AG166" s="338" t="e">
        <f>N166/K166</f>
        <v>#DIV/0!</v>
      </c>
      <c r="AH166" s="667"/>
    </row>
    <row r="167" spans="1:36" ht="19.2" customHeight="1">
      <c r="A167" s="66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3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667"/>
      <c r="T167" s="89"/>
      <c r="U167" s="89"/>
      <c r="V167" s="344" t="s">
        <v>15</v>
      </c>
      <c r="W167" s="90">
        <f t="shared" si="117"/>
        <v>0</v>
      </c>
      <c r="X167" s="96"/>
      <c r="Y167" s="96"/>
      <c r="Z167" s="54"/>
      <c r="AA167" s="54"/>
      <c r="AB167" s="644"/>
      <c r="AC167" s="644"/>
      <c r="AD167" s="344"/>
      <c r="AE167" s="344"/>
      <c r="AF167" s="54">
        <f t="shared" si="61"/>
        <v>0</v>
      </c>
      <c r="AG167" s="338" t="e">
        <f t="shared" si="62"/>
        <v>#DIV/0!</v>
      </c>
      <c r="AH167" s="667"/>
    </row>
    <row r="168" spans="1:36" ht="19.2" customHeight="1">
      <c r="A168" s="66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3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667"/>
      <c r="T168" s="89"/>
      <c r="U168" s="89"/>
      <c r="V168" s="344"/>
      <c r="W168" s="90">
        <f t="shared" si="117"/>
        <v>0</v>
      </c>
      <c r="X168" s="96"/>
      <c r="Y168" s="96"/>
      <c r="Z168" s="54"/>
      <c r="AA168" s="54"/>
      <c r="AB168" s="644"/>
      <c r="AC168" s="644"/>
      <c r="AD168" s="344"/>
      <c r="AE168" s="344"/>
      <c r="AF168" s="54">
        <f t="shared" si="61"/>
        <v>0</v>
      </c>
      <c r="AG168" s="338" t="e">
        <f t="shared" si="62"/>
        <v>#DIV/0!</v>
      </c>
      <c r="AH168" s="667"/>
    </row>
    <row r="169" spans="1:36" ht="19.2" customHeight="1">
      <c r="A169" s="66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3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667"/>
      <c r="T169" s="89"/>
      <c r="U169" s="89"/>
      <c r="V169" s="344"/>
      <c r="W169" s="90">
        <f t="shared" si="117"/>
        <v>0</v>
      </c>
      <c r="X169" s="96"/>
      <c r="Y169" s="96"/>
      <c r="Z169" s="54"/>
      <c r="AA169" s="54"/>
      <c r="AB169" s="644"/>
      <c r="AC169" s="644"/>
      <c r="AD169" s="344"/>
      <c r="AE169" s="344"/>
      <c r="AF169" s="54">
        <f t="shared" si="61"/>
        <v>0</v>
      </c>
      <c r="AG169" s="338" t="e">
        <f t="shared" si="62"/>
        <v>#DIV/0!</v>
      </c>
      <c r="AH169" s="667"/>
    </row>
    <row r="170" spans="1:36" ht="19.2" customHeight="1">
      <c r="A170" s="66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3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667"/>
      <c r="T170" s="89"/>
      <c r="U170" s="89"/>
      <c r="V170" s="344"/>
      <c r="W170" s="90">
        <f t="shared" si="117"/>
        <v>0</v>
      </c>
      <c r="X170" s="96"/>
      <c r="Y170" s="96"/>
      <c r="Z170" s="54"/>
      <c r="AA170" s="54"/>
      <c r="AB170" s="644"/>
      <c r="AC170" s="644"/>
      <c r="AD170" s="344"/>
      <c r="AE170" s="344"/>
      <c r="AF170" s="54">
        <f t="shared" si="61"/>
        <v>0</v>
      </c>
      <c r="AG170" s="338" t="e">
        <f t="shared" si="62"/>
        <v>#DIV/0!</v>
      </c>
      <c r="AH170" s="667"/>
    </row>
    <row r="171" spans="1:36" ht="19.2" customHeight="1">
      <c r="A171" s="66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6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667"/>
      <c r="T171" s="89"/>
      <c r="U171" s="89"/>
      <c r="V171" s="344"/>
      <c r="W171" s="90">
        <f t="shared" si="117"/>
        <v>0</v>
      </c>
      <c r="X171" s="96"/>
      <c r="Y171" s="96"/>
      <c r="Z171" s="54"/>
      <c r="AA171" s="54"/>
      <c r="AB171" s="644"/>
      <c r="AC171" s="644"/>
      <c r="AD171" s="344"/>
      <c r="AE171" s="344"/>
      <c r="AF171" s="54"/>
      <c r="AG171" s="338"/>
      <c r="AH171" s="667"/>
    </row>
    <row r="172" spans="1:36" ht="19.2" customHeight="1">
      <c r="A172" s="66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6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667"/>
      <c r="T172" s="89"/>
      <c r="U172" s="89"/>
      <c r="V172" s="344"/>
      <c r="W172" s="90">
        <f t="shared" si="117"/>
        <v>0</v>
      </c>
      <c r="X172" s="96"/>
      <c r="Y172" s="96"/>
      <c r="Z172" s="54"/>
      <c r="AA172" s="54"/>
      <c r="AB172" s="644"/>
      <c r="AC172" s="644"/>
      <c r="AD172" s="344"/>
      <c r="AE172" s="344"/>
      <c r="AF172" s="54"/>
      <c r="AG172" s="338"/>
      <c r="AH172" s="667"/>
    </row>
    <row r="173" spans="1:36" ht="19.2" customHeight="1">
      <c r="A173" s="666"/>
      <c r="B173" s="121">
        <v>0</v>
      </c>
      <c r="C173" s="100" t="s">
        <v>247</v>
      </c>
      <c r="D173" s="673" t="s">
        <v>221</v>
      </c>
      <c r="E173" s="673"/>
      <c r="F173" s="27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18">AVERAGE(M161:M172)</f>
        <v>12.75</v>
      </c>
      <c r="N173" s="101">
        <f t="shared" si="118"/>
        <v>1946.2709117516065</v>
      </c>
      <c r="O173" s="104">
        <f t="shared" si="118"/>
        <v>167.97510225368785</v>
      </c>
      <c r="P173" s="54">
        <f>M173-J173</f>
        <v>0</v>
      </c>
      <c r="Q173" s="88">
        <f>O173-L173</f>
        <v>-13.177928049342455</v>
      </c>
      <c r="R173" s="105">
        <f>O173/L173</f>
        <v>0.92725527126265239</v>
      </c>
      <c r="S173" s="66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07"/>
      <c r="AC173" s="707"/>
      <c r="AD173" s="107">
        <f>SUM(AD161:AD172)</f>
        <v>1</v>
      </c>
      <c r="AE173" s="107">
        <f>SUM(AE161:AE172)</f>
        <v>0</v>
      </c>
      <c r="AF173" s="54">
        <f t="shared" si="61"/>
        <v>-137.97908824839351</v>
      </c>
      <c r="AG173" s="338">
        <f t="shared" si="62"/>
        <v>0.93379916600772772</v>
      </c>
      <c r="AH173" s="66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4" sqref="D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2" t="s">
        <v>0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1"/>
      <c r="O1" s="1"/>
    </row>
    <row r="2" spans="2:17" ht="27.75" customHeight="1">
      <c r="B2" s="502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4"/>
      <c r="N2" s="1"/>
      <c r="O2" s="1"/>
    </row>
    <row r="3" spans="2:17" ht="46.5" customHeight="1">
      <c r="B3" s="505" t="s">
        <v>1</v>
      </c>
      <c r="C3" s="506"/>
      <c r="D3" s="507" t="s">
        <v>190</v>
      </c>
      <c r="E3" s="508"/>
      <c r="F3" s="505" t="s">
        <v>2</v>
      </c>
      <c r="G3" s="506"/>
      <c r="H3" s="509">
        <v>264034.84999999998</v>
      </c>
      <c r="I3" s="510"/>
      <c r="J3" s="505" t="s">
        <v>3</v>
      </c>
      <c r="K3" s="506"/>
      <c r="L3" s="500">
        <v>8772194.1975385491</v>
      </c>
      <c r="M3" s="501"/>
      <c r="N3" s="289"/>
      <c r="O3" s="289"/>
      <c r="P3" s="289"/>
      <c r="Q3" s="289"/>
    </row>
    <row r="4" spans="2:17" ht="24" customHeight="1">
      <c r="B4" s="505" t="s">
        <v>107</v>
      </c>
      <c r="C4" s="506"/>
      <c r="D4" s="522" t="s">
        <v>107</v>
      </c>
      <c r="E4" s="523"/>
      <c r="F4" s="498" t="s">
        <v>108</v>
      </c>
      <c r="G4" s="499"/>
      <c r="H4" s="498" t="s">
        <v>109</v>
      </c>
      <c r="I4" s="499"/>
      <c r="J4" s="498" t="s">
        <v>110</v>
      </c>
      <c r="K4" s="499"/>
      <c r="L4" s="500" t="s">
        <v>111</v>
      </c>
      <c r="M4" s="501"/>
      <c r="N4" s="514" t="s">
        <v>4</v>
      </c>
      <c r="O4" s="515"/>
      <c r="P4" s="515" t="s">
        <v>5</v>
      </c>
      <c r="Q4" s="515"/>
    </row>
    <row r="5" spans="2:17" ht="24" customHeight="1">
      <c r="B5" s="516" t="s">
        <v>35</v>
      </c>
      <c r="C5" s="517"/>
      <c r="D5" s="522" t="s">
        <v>112</v>
      </c>
      <c r="E5" s="523"/>
      <c r="F5" s="522" t="s">
        <v>6</v>
      </c>
      <c r="G5" s="523"/>
      <c r="H5" s="524" t="s">
        <v>7</v>
      </c>
      <c r="I5" s="525"/>
      <c r="J5" s="526" t="s">
        <v>8</v>
      </c>
      <c r="K5" s="527"/>
      <c r="L5" s="528" t="s">
        <v>9</v>
      </c>
      <c r="M5" s="52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518"/>
      <c r="C6" s="519"/>
      <c r="D6" s="505" t="s">
        <v>10</v>
      </c>
      <c r="E6" s="506"/>
      <c r="F6" s="530">
        <f>AVERAGE(D13:O13,P13:Q13,D30:E30,G30:H30,K30:M30)</f>
        <v>362.35211072762701</v>
      </c>
      <c r="G6" s="531"/>
      <c r="H6" s="543">
        <f>AVERAGE(D13:P13,Q13)</f>
        <v>147.45673752001196</v>
      </c>
      <c r="I6" s="544"/>
      <c r="J6" s="543">
        <f>AVERAGE(D30:E30,G30:H30)</f>
        <v>711.25</v>
      </c>
      <c r="K6" s="544"/>
      <c r="L6" s="545">
        <f>AVERAGE(K30:M30)</f>
        <v>900</v>
      </c>
      <c r="M6" s="546"/>
      <c r="N6" s="547">
        <v>0</v>
      </c>
      <c r="O6" s="534">
        <v>0</v>
      </c>
      <c r="P6" s="511">
        <v>8</v>
      </c>
      <c r="Q6" s="534">
        <v>6</v>
      </c>
    </row>
    <row r="7" spans="2:17" s="5" customFormat="1" ht="39.6" customHeight="1">
      <c r="B7" s="518"/>
      <c r="C7" s="519"/>
      <c r="D7" s="535" t="s">
        <v>11</v>
      </c>
      <c r="E7" s="536"/>
      <c r="F7" s="537">
        <f>AVERAGE(D14:O14,P14:Q14,D31:E31,K31:M31,G31:H31)</f>
        <v>332.5855552650176</v>
      </c>
      <c r="G7" s="538"/>
      <c r="H7" s="539">
        <f>AVERAGE(D14:P14,Q14)</f>
        <v>131.63036916741751</v>
      </c>
      <c r="I7" s="540"/>
      <c r="J7" s="539">
        <f>AVERAGE(D31:E31,G31:H31)</f>
        <v>702.54251911934057</v>
      </c>
      <c r="K7" s="540"/>
      <c r="L7" s="541">
        <f>AVERAGE(K31:M31)</f>
        <v>777.10047191472142</v>
      </c>
      <c r="M7" s="542"/>
      <c r="N7" s="547"/>
      <c r="O7" s="534"/>
      <c r="P7" s="511"/>
      <c r="Q7" s="534"/>
    </row>
    <row r="8" spans="2:17" s="5" customFormat="1" ht="39.6" customHeight="1">
      <c r="B8" s="520"/>
      <c r="C8" s="521"/>
      <c r="D8" s="535" t="s">
        <v>12</v>
      </c>
      <c r="E8" s="536"/>
      <c r="F8" s="512">
        <f>AVERAGE(D15:O15,P15:Q15,D32:E32,G32:H32,K32:M32)</f>
        <v>0.89704537515479932</v>
      </c>
      <c r="G8" s="513"/>
      <c r="H8" s="512">
        <f>AVERAGE(D15:O15,P15:Q15)</f>
        <v>0.89017448528610965</v>
      </c>
      <c r="I8" s="513"/>
      <c r="J8" s="512">
        <f>AVERAGE(D32:E32,G32:H32)</f>
        <v>0.94629379446571071</v>
      </c>
      <c r="K8" s="513"/>
      <c r="L8" s="512">
        <f>AVERAGE(K32:M32)</f>
        <v>0.86344496879413501</v>
      </c>
      <c r="M8" s="513"/>
      <c r="N8" s="547"/>
      <c r="O8" s="534"/>
      <c r="P8" s="511"/>
      <c r="Q8" s="53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548" t="s">
        <v>116</v>
      </c>
      <c r="C10" s="549"/>
      <c r="D10" s="550" t="s">
        <v>117</v>
      </c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2"/>
    </row>
    <row r="11" spans="2:17" ht="17.25" customHeight="1">
      <c r="B11" s="553" t="s">
        <v>118</v>
      </c>
      <c r="C11" s="51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554"/>
      <c r="C12" s="52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555" t="s">
        <v>35</v>
      </c>
      <c r="C13" s="14" t="s">
        <v>132</v>
      </c>
      <c r="D13" s="19">
        <v>135.41778816789875</v>
      </c>
      <c r="E13" s="19">
        <v>116.28191434468523</v>
      </c>
      <c r="F13" s="19">
        <v>139.69153535233255</v>
      </c>
      <c r="G13" s="19">
        <v>314.44047619047615</v>
      </c>
      <c r="H13" s="19">
        <v>228.57142857142858</v>
      </c>
      <c r="I13" s="19">
        <v>86.315746474028217</v>
      </c>
      <c r="J13" s="19">
        <v>112.44789915966385</v>
      </c>
      <c r="K13" s="19">
        <v>90.753891468868261</v>
      </c>
      <c r="L13" s="19">
        <v>90.037151960526572</v>
      </c>
      <c r="M13" s="19">
        <v>82.117726915327538</v>
      </c>
      <c r="N13" s="19">
        <v>88.59836263452749</v>
      </c>
      <c r="O13" s="19">
        <v>243.88888888888889</v>
      </c>
      <c r="P13" s="19">
        <v>185.83151515151513</v>
      </c>
      <c r="Q13" s="21">
        <v>150</v>
      </c>
    </row>
    <row r="14" spans="2:17" ht="39.9" customHeight="1">
      <c r="B14" s="556"/>
      <c r="C14" s="14" t="s">
        <v>133</v>
      </c>
      <c r="D14" s="19">
        <v>127.44131339004376</v>
      </c>
      <c r="E14" s="19">
        <v>98.812779259601029</v>
      </c>
      <c r="F14" s="19">
        <v>123.20431958255408</v>
      </c>
      <c r="G14" s="19">
        <v>279.9336865179107</v>
      </c>
      <c r="H14" s="19">
        <v>221.40207729488938</v>
      </c>
      <c r="I14" s="19">
        <v>78.26104009593395</v>
      </c>
      <c r="J14" s="19">
        <v>93.235907674415785</v>
      </c>
      <c r="K14" s="19">
        <v>76.921487846959835</v>
      </c>
      <c r="L14" s="19">
        <v>80.419412357727936</v>
      </c>
      <c r="M14" s="19">
        <v>73.636264653952637</v>
      </c>
      <c r="N14" s="19">
        <v>78.830715079974112</v>
      </c>
      <c r="O14" s="19">
        <v>201.66795634920683</v>
      </c>
      <c r="P14" s="19">
        <v>170.8572467022133</v>
      </c>
      <c r="Q14" s="9">
        <v>138.20096153846163</v>
      </c>
    </row>
    <row r="15" spans="2:17" ht="39.9" customHeight="1">
      <c r="B15" s="557"/>
      <c r="C15" s="290" t="s">
        <v>134</v>
      </c>
      <c r="D15" s="10">
        <f t="shared" ref="D15:Q15" si="0">D14/D13</f>
        <v>0.94109728946417814</v>
      </c>
      <c r="E15" s="10">
        <f t="shared" si="0"/>
        <v>0.84976911342118233</v>
      </c>
      <c r="F15" s="10">
        <f t="shared" si="0"/>
        <v>0.88197412442927114</v>
      </c>
      <c r="G15" s="10">
        <f t="shared" si="0"/>
        <v>0.89025970800380505</v>
      </c>
      <c r="H15" s="10">
        <f t="shared" si="0"/>
        <v>0.96863408816514096</v>
      </c>
      <c r="I15" s="10">
        <f t="shared" si="0"/>
        <v>0.90668323327867106</v>
      </c>
      <c r="J15" s="10">
        <f t="shared" si="0"/>
        <v>0.82914761744041909</v>
      </c>
      <c r="K15" s="10">
        <f t="shared" si="0"/>
        <v>0.84758335540186258</v>
      </c>
      <c r="L15" s="10">
        <f t="shared" si="0"/>
        <v>0.8931803217519011</v>
      </c>
      <c r="M15" s="10">
        <f t="shared" si="0"/>
        <v>0.8967158178876502</v>
      </c>
      <c r="N15" s="10">
        <f t="shared" si="0"/>
        <v>0.8897536335423557</v>
      </c>
      <c r="O15" s="10">
        <f t="shared" si="0"/>
        <v>0.82688455906280711</v>
      </c>
      <c r="P15" s="292">
        <f t="shared" si="0"/>
        <v>0.91942018856654761</v>
      </c>
      <c r="Q15" s="11">
        <f t="shared" si="0"/>
        <v>0.92133974358974413</v>
      </c>
    </row>
    <row r="16" spans="2:17" ht="22.8" customHeight="1">
      <c r="B16" s="558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0.4548611111111111</v>
      </c>
    </row>
    <row r="17" spans="2:23" ht="22.8" customHeight="1">
      <c r="B17" s="559"/>
      <c r="C17" s="290" t="s">
        <v>36</v>
      </c>
      <c r="D17" s="12">
        <v>0.65347222222222212</v>
      </c>
      <c r="E17" s="12">
        <v>0.62569444444444433</v>
      </c>
      <c r="F17" s="12">
        <v>0.57291666666666674</v>
      </c>
      <c r="G17" s="12">
        <v>0.6611111111111112</v>
      </c>
      <c r="H17" s="12">
        <v>0.66874999999999996</v>
      </c>
      <c r="I17" s="12">
        <v>0.71180555555555558</v>
      </c>
      <c r="J17" s="12">
        <v>0.8159722222222221</v>
      </c>
      <c r="K17" s="12">
        <v>0.73749999999999993</v>
      </c>
      <c r="L17" s="12">
        <v>0.99166666666666647</v>
      </c>
      <c r="M17" s="12">
        <v>0.99097222222222192</v>
      </c>
      <c r="N17" s="12">
        <v>0.98472222222222217</v>
      </c>
      <c r="O17" s="22">
        <v>0.77986111111111101</v>
      </c>
      <c r="P17" s="12">
        <v>0.6513888888888888</v>
      </c>
      <c r="Q17" s="293">
        <v>0.63888888888888895</v>
      </c>
    </row>
    <row r="18" spans="2:23" ht="22.8" customHeight="1">
      <c r="B18" s="53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53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532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 t="s">
        <v>15</v>
      </c>
      <c r="J20" s="295">
        <v>2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533"/>
      <c r="C21" s="294" t="s">
        <v>139</v>
      </c>
      <c r="D21" s="295" t="s">
        <v>15</v>
      </c>
      <c r="E21" s="295">
        <v>1</v>
      </c>
      <c r="F21" s="295">
        <v>1</v>
      </c>
      <c r="G21" s="295" t="s">
        <v>15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560" t="s">
        <v>140</v>
      </c>
      <c r="C22" s="506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560" t="s">
        <v>141</v>
      </c>
      <c r="C23" s="50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0" t="s">
        <v>142</v>
      </c>
      <c r="C24" s="50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1" t="s">
        <v>143</v>
      </c>
      <c r="C25" s="56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548"/>
      <c r="C27" s="573"/>
      <c r="D27" s="565" t="s">
        <v>144</v>
      </c>
      <c r="E27" s="566"/>
      <c r="F27" s="566"/>
      <c r="G27" s="566"/>
      <c r="H27" s="567"/>
      <c r="I27" s="568" t="s">
        <v>145</v>
      </c>
      <c r="J27" s="569"/>
      <c r="K27" s="569"/>
      <c r="L27" s="569"/>
      <c r="M27" s="570"/>
      <c r="N27" s="289"/>
      <c r="O27" s="289"/>
      <c r="P27" s="289"/>
      <c r="Q27" s="289"/>
    </row>
    <row r="28" spans="2:23" ht="17.25" customHeight="1">
      <c r="B28" s="553" t="s">
        <v>118</v>
      </c>
      <c r="C28" s="571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554"/>
      <c r="C29" s="57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555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556"/>
      <c r="C31" s="303" t="s">
        <v>133</v>
      </c>
      <c r="D31" s="305">
        <v>168.57291208791213</v>
      </c>
      <c r="E31" s="8">
        <v>829.88440860215144</v>
      </c>
      <c r="F31" s="8">
        <v>0</v>
      </c>
      <c r="G31" s="8">
        <v>883.08617740954469</v>
      </c>
      <c r="H31" s="306">
        <v>928.62657837775373</v>
      </c>
      <c r="I31" s="305">
        <v>0</v>
      </c>
      <c r="J31" s="8">
        <v>0</v>
      </c>
      <c r="K31" s="8">
        <v>637.5396825396848</v>
      </c>
      <c r="L31" s="8">
        <v>763.51088434995904</v>
      </c>
      <c r="M31" s="306">
        <v>930.25084885452031</v>
      </c>
      <c r="N31" s="289"/>
      <c r="O31" s="289"/>
      <c r="P31" s="289"/>
      <c r="Q31" s="289"/>
    </row>
    <row r="32" spans="2:23" ht="39.9" customHeight="1">
      <c r="B32" s="557"/>
      <c r="C32" s="324" t="s">
        <v>134</v>
      </c>
      <c r="D32" s="307">
        <f t="shared" ref="D32:M32" si="1">D31/D30</f>
        <v>0.7662405094905097</v>
      </c>
      <c r="E32" s="10">
        <f t="shared" si="1"/>
        <v>1.0059204952753351</v>
      </c>
      <c r="F32" s="10">
        <f t="shared" si="1"/>
        <v>0</v>
      </c>
      <c r="G32" s="10">
        <f t="shared" si="1"/>
        <v>0.98120686378838295</v>
      </c>
      <c r="H32" s="10">
        <f t="shared" si="1"/>
        <v>1.0318073093086153</v>
      </c>
      <c r="I32" s="305">
        <f t="shared" si="1"/>
        <v>0</v>
      </c>
      <c r="J32" s="10">
        <f t="shared" si="1"/>
        <v>0</v>
      </c>
      <c r="K32" s="10">
        <f t="shared" si="1"/>
        <v>0.70837742504409418</v>
      </c>
      <c r="L32" s="10">
        <f t="shared" si="1"/>
        <v>0.84834542705551008</v>
      </c>
      <c r="M32" s="11">
        <f t="shared" si="1"/>
        <v>1.0336120542828005</v>
      </c>
      <c r="N32" s="289"/>
      <c r="O32" s="289"/>
      <c r="P32" s="289"/>
      <c r="Q32" s="289"/>
    </row>
    <row r="33" spans="2:17" ht="25.8" customHeight="1">
      <c r="B33" s="558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2567.9999999999682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559"/>
      <c r="C34" s="324" t="s">
        <v>36</v>
      </c>
      <c r="D34" s="308">
        <v>0.41319444444444442</v>
      </c>
      <c r="E34" s="12">
        <v>0.35625000000000001</v>
      </c>
      <c r="F34" s="12">
        <v>0</v>
      </c>
      <c r="G34" s="12">
        <v>1066.1538461538435</v>
      </c>
      <c r="H34" s="293">
        <v>0.49583333333333335</v>
      </c>
      <c r="I34" s="23">
        <v>0</v>
      </c>
      <c r="J34" s="12">
        <v>0</v>
      </c>
      <c r="K34" s="12">
        <v>0.80555555555555547</v>
      </c>
      <c r="L34" s="12">
        <v>46237.076388888891</v>
      </c>
      <c r="M34" s="13">
        <v>46237.020833333336</v>
      </c>
      <c r="N34" s="289"/>
      <c r="O34" s="289"/>
      <c r="P34" s="289"/>
      <c r="Q34" s="289"/>
    </row>
    <row r="35" spans="2:17" ht="25.8" customHeight="1">
      <c r="B35" s="560" t="s">
        <v>140</v>
      </c>
      <c r="C35" s="56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560" t="s">
        <v>141</v>
      </c>
      <c r="C36" s="56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560" t="s">
        <v>142</v>
      </c>
      <c r="C37" s="56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561" t="s">
        <v>143</v>
      </c>
      <c r="C38" s="56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82900</v>
      </c>
      <c r="F1" s="351" t="s">
        <v>3</v>
      </c>
      <c r="G1" s="352">
        <f>SUM(H5:H124)</f>
        <v>1541017.7927272725</v>
      </c>
      <c r="H1" s="353" t="s">
        <v>258</v>
      </c>
      <c r="I1" s="354">
        <f>+J16+J64+J24+J38+J51+J81+J100+J91+J57+J124+J111</f>
        <v>44.002380952380953</v>
      </c>
      <c r="J1" s="615" t="s">
        <v>259</v>
      </c>
      <c r="K1" s="616"/>
      <c r="L1" s="617"/>
      <c r="M1" s="615" t="s">
        <v>260</v>
      </c>
      <c r="N1" s="616"/>
      <c r="O1" s="616"/>
      <c r="P1" s="616"/>
      <c r="Q1" s="616"/>
      <c r="R1" s="617"/>
    </row>
    <row r="2" spans="1:18" ht="26.25" customHeight="1" thickBot="1">
      <c r="A2" s="621" t="s">
        <v>346</v>
      </c>
      <c r="B2" s="622"/>
      <c r="C2" s="356"/>
      <c r="D2" s="357" t="s">
        <v>262</v>
      </c>
      <c r="E2" s="358">
        <f>AVERAGE(L16,L24,L38,L51,L100,L111,L91)</f>
        <v>507.5417698236339</v>
      </c>
      <c r="F2" s="359" t="s">
        <v>40</v>
      </c>
      <c r="G2" s="360">
        <f>G1/E1</f>
        <v>18.588875666191466</v>
      </c>
      <c r="H2" s="361" t="s">
        <v>263</v>
      </c>
      <c r="I2" s="362">
        <f>COUNT(I5:I124)</f>
        <v>0</v>
      </c>
      <c r="J2" s="618"/>
      <c r="K2" s="619"/>
      <c r="L2" s="620"/>
      <c r="M2" s="618"/>
      <c r="N2" s="619"/>
      <c r="O2" s="619"/>
      <c r="P2" s="619"/>
      <c r="Q2" s="619"/>
      <c r="R2" s="620"/>
    </row>
    <row r="3" spans="1:18" ht="23.25" customHeight="1">
      <c r="A3" s="623" t="s">
        <v>264</v>
      </c>
      <c r="B3" s="625" t="s">
        <v>265</v>
      </c>
      <c r="C3" s="363"/>
      <c r="D3" s="626" t="s">
        <v>266</v>
      </c>
      <c r="E3" s="626"/>
      <c r="F3" s="627" t="s">
        <v>43</v>
      </c>
      <c r="G3" s="628" t="s">
        <v>267</v>
      </c>
      <c r="H3" s="629" t="s">
        <v>268</v>
      </c>
      <c r="I3" s="630" t="s">
        <v>269</v>
      </c>
      <c r="J3" s="603" t="s">
        <v>347</v>
      </c>
      <c r="K3" s="605" t="s">
        <v>348</v>
      </c>
      <c r="L3" s="607" t="s">
        <v>262</v>
      </c>
      <c r="M3" s="632" t="s">
        <v>48</v>
      </c>
      <c r="N3" s="632"/>
      <c r="O3" s="603" t="s">
        <v>273</v>
      </c>
      <c r="P3" s="633" t="s">
        <v>349</v>
      </c>
      <c r="Q3" s="603" t="s">
        <v>350</v>
      </c>
      <c r="R3" s="603"/>
    </row>
    <row r="4" spans="1:18" ht="15.75" customHeight="1">
      <c r="A4" s="624"/>
      <c r="B4" s="625"/>
      <c r="C4" s="363"/>
      <c r="D4" s="626"/>
      <c r="E4" s="626"/>
      <c r="F4" s="627"/>
      <c r="G4" s="628"/>
      <c r="H4" s="629"/>
      <c r="I4" s="631"/>
      <c r="J4" s="604"/>
      <c r="K4" s="606"/>
      <c r="L4" s="608"/>
      <c r="M4" s="364" t="s">
        <v>50</v>
      </c>
      <c r="N4" s="364" t="s">
        <v>51</v>
      </c>
      <c r="O4" s="604"/>
      <c r="P4" s="634"/>
      <c r="Q4" s="365" t="s">
        <v>351</v>
      </c>
      <c r="R4" s="365" t="s">
        <v>352</v>
      </c>
    </row>
    <row r="5" spans="1:18">
      <c r="A5" s="609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749</v>
      </c>
      <c r="H5" s="370">
        <f>F5*G5</f>
        <v>19204.36</v>
      </c>
      <c r="I5" s="371"/>
      <c r="J5" s="372">
        <v>10</v>
      </c>
      <c r="K5" s="373">
        <f t="shared" ref="K5:K8" si="0">G5/P5*60</f>
        <v>1498.0000000000014</v>
      </c>
      <c r="L5" s="374">
        <f t="shared" ref="L5:L8" si="1">K5/J5</f>
        <v>149.80000000000013</v>
      </c>
      <c r="M5" s="375">
        <v>0.4548611111111111</v>
      </c>
      <c r="N5" s="375">
        <v>0.47569444444444442</v>
      </c>
      <c r="O5" s="365">
        <v>5</v>
      </c>
      <c r="P5" s="376">
        <f t="shared" ref="P5:P8" si="2">(N5-M5)*24*60</f>
        <v>29.999999999999972</v>
      </c>
      <c r="Q5" s="377"/>
      <c r="R5" s="377"/>
    </row>
    <row r="6" spans="1:18">
      <c r="A6" s="609"/>
      <c r="B6" s="366" t="s">
        <v>368</v>
      </c>
      <c r="C6" s="366"/>
      <c r="D6" s="367" t="s">
        <v>280</v>
      </c>
      <c r="E6" s="368"/>
      <c r="F6" s="369">
        <v>29.85</v>
      </c>
      <c r="G6" s="363">
        <v>2196</v>
      </c>
      <c r="H6" s="370">
        <f t="shared" ref="H6:H15" si="3">F6*G6</f>
        <v>65550.600000000006</v>
      </c>
      <c r="I6" s="371"/>
      <c r="J6" s="372">
        <v>13</v>
      </c>
      <c r="K6" s="373">
        <f t="shared" si="0"/>
        <v>1756.8000000000006</v>
      </c>
      <c r="L6" s="374">
        <f t="shared" si="1"/>
        <v>135.1384615384616</v>
      </c>
      <c r="M6" s="375">
        <v>0.47916666666666669</v>
      </c>
      <c r="N6" s="375">
        <v>0.53125</v>
      </c>
      <c r="O6" s="365">
        <v>5</v>
      </c>
      <c r="P6" s="376">
        <f t="shared" si="2"/>
        <v>74.999999999999972</v>
      </c>
      <c r="Q6" s="365"/>
      <c r="R6" s="365"/>
    </row>
    <row r="7" spans="1:18">
      <c r="A7" s="609"/>
      <c r="B7" s="366" t="s">
        <v>368</v>
      </c>
      <c r="C7" s="366"/>
      <c r="D7" s="367" t="s">
        <v>281</v>
      </c>
      <c r="E7" s="368"/>
      <c r="F7" s="369">
        <v>29.52</v>
      </c>
      <c r="G7" s="363">
        <v>1872</v>
      </c>
      <c r="H7" s="370">
        <f t="shared" si="3"/>
        <v>55261.440000000002</v>
      </c>
      <c r="I7" s="371"/>
      <c r="J7" s="372">
        <v>13</v>
      </c>
      <c r="K7" s="373">
        <f t="shared" si="0"/>
        <v>1728.000000000002</v>
      </c>
      <c r="L7" s="374">
        <f t="shared" si="1"/>
        <v>132.92307692307708</v>
      </c>
      <c r="M7" s="375">
        <v>0.53472222222222221</v>
      </c>
      <c r="N7" s="375">
        <v>0.57986111111111105</v>
      </c>
      <c r="O7" s="365">
        <v>5</v>
      </c>
      <c r="P7" s="376">
        <f t="shared" si="2"/>
        <v>64.999999999999929</v>
      </c>
      <c r="Q7" s="377"/>
      <c r="R7" s="377"/>
    </row>
    <row r="8" spans="1:18">
      <c r="A8" s="609"/>
      <c r="B8" s="366" t="s">
        <v>104</v>
      </c>
      <c r="C8" s="366"/>
      <c r="D8" s="367" t="s">
        <v>282</v>
      </c>
      <c r="E8" s="368"/>
      <c r="F8" s="369">
        <v>30</v>
      </c>
      <c r="G8" s="363">
        <v>2339</v>
      </c>
      <c r="H8" s="370">
        <f t="shared" si="3"/>
        <v>70170</v>
      </c>
      <c r="I8" s="371"/>
      <c r="J8" s="372">
        <v>13</v>
      </c>
      <c r="K8" s="373">
        <f t="shared" si="0"/>
        <v>1754.2499999999993</v>
      </c>
      <c r="L8" s="374">
        <f t="shared" si="1"/>
        <v>134.94230769230765</v>
      </c>
      <c r="M8" s="375">
        <v>0.58333333333333337</v>
      </c>
      <c r="N8" s="375">
        <v>0.63888888888888895</v>
      </c>
      <c r="O8" s="365">
        <v>5</v>
      </c>
      <c r="P8" s="376">
        <f t="shared" si="2"/>
        <v>80.000000000000028</v>
      </c>
      <c r="Q8" s="377"/>
      <c r="R8" s="377"/>
    </row>
    <row r="9" spans="1:18">
      <c r="A9" s="60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60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60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610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61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61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61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611"/>
      <c r="B16" s="366">
        <v>0</v>
      </c>
      <c r="C16" s="383" t="s">
        <v>283</v>
      </c>
      <c r="D16" s="594" t="s">
        <v>284</v>
      </c>
      <c r="E16" s="594"/>
      <c r="F16" s="384"/>
      <c r="G16" s="385"/>
      <c r="H16" s="386"/>
      <c r="I16" s="387"/>
      <c r="J16" s="388">
        <f>AVERAGE(J5:J15)</f>
        <v>12.25</v>
      </c>
      <c r="K16" s="388">
        <f>AVERAGE(K5:K15)</f>
        <v>1684.2625000000007</v>
      </c>
      <c r="L16" s="389">
        <f>AVERAGE(L5:L15)</f>
        <v>138.20096153846163</v>
      </c>
      <c r="M16" s="375"/>
      <c r="N16" s="375"/>
      <c r="O16" s="373"/>
      <c r="P16" s="373"/>
      <c r="Q16" s="374"/>
      <c r="R16" s="374"/>
    </row>
    <row r="17" spans="1:18" ht="15.75" customHeight="1">
      <c r="A17" s="612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2339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1754.2499999999993</v>
      </c>
      <c r="L17" s="374">
        <f>K17/J17</f>
        <v>175.42499999999993</v>
      </c>
      <c r="M17" s="375">
        <v>0.17013888888888887</v>
      </c>
      <c r="N17" s="375">
        <v>0.22569444444444445</v>
      </c>
      <c r="O17" s="365">
        <v>5</v>
      </c>
      <c r="P17" s="376">
        <f>(N17-M17)*24*60</f>
        <v>80.000000000000028</v>
      </c>
      <c r="Q17" s="365"/>
      <c r="R17" s="365"/>
    </row>
    <row r="18" spans="1:18" ht="15.75" customHeight="1">
      <c r="A18" s="612"/>
      <c r="B18" s="366">
        <v>0</v>
      </c>
      <c r="C18" s="379"/>
      <c r="D18" s="367" t="s">
        <v>287</v>
      </c>
      <c r="E18" s="367"/>
      <c r="F18" s="369" t="s">
        <v>106</v>
      </c>
      <c r="G18" s="380">
        <v>2196</v>
      </c>
      <c r="H18" s="370">
        <f t="shared" si="4"/>
        <v>0</v>
      </c>
      <c r="I18" s="371"/>
      <c r="J18" s="372">
        <v>9</v>
      </c>
      <c r="K18" s="373">
        <f t="shared" si="5"/>
        <v>1647</v>
      </c>
      <c r="L18" s="374">
        <f t="shared" ref="L18:L21" si="6">K18/J18</f>
        <v>183</v>
      </c>
      <c r="M18" s="375">
        <v>0.22916666666666666</v>
      </c>
      <c r="N18" s="375">
        <v>0.28472222222222221</v>
      </c>
      <c r="O18" s="365">
        <v>5</v>
      </c>
      <c r="P18" s="376">
        <f t="shared" ref="P18:P21" si="7">(N18-M18)*24*60</f>
        <v>80</v>
      </c>
      <c r="Q18" s="377"/>
      <c r="R18" s="377"/>
    </row>
    <row r="19" spans="1:18" ht="15.75" customHeight="1">
      <c r="A19" s="612"/>
      <c r="B19" s="366">
        <v>0</v>
      </c>
      <c r="C19" s="379"/>
      <c r="D19" s="367" t="s">
        <v>288</v>
      </c>
      <c r="E19" s="367"/>
      <c r="F19" s="369" t="s">
        <v>106</v>
      </c>
      <c r="G19" s="380">
        <v>1872</v>
      </c>
      <c r="H19" s="370">
        <f t="shared" si="4"/>
        <v>0</v>
      </c>
      <c r="I19" s="371"/>
      <c r="J19" s="372">
        <v>9</v>
      </c>
      <c r="K19" s="373">
        <f t="shared" si="5"/>
        <v>1604.5714285714289</v>
      </c>
      <c r="L19" s="374">
        <f t="shared" si="6"/>
        <v>178.28571428571433</v>
      </c>
      <c r="M19" s="375">
        <v>0.28819444444444448</v>
      </c>
      <c r="N19" s="375">
        <v>0.33680555555555558</v>
      </c>
      <c r="O19" s="365">
        <v>5</v>
      </c>
      <c r="P19" s="376">
        <f t="shared" si="7"/>
        <v>69.999999999999986</v>
      </c>
      <c r="Q19" s="377"/>
      <c r="R19" s="377"/>
    </row>
    <row r="20" spans="1:18" ht="15.75" customHeight="1">
      <c r="A20" s="613"/>
      <c r="B20" s="366" t="s">
        <v>368</v>
      </c>
      <c r="C20" s="379"/>
      <c r="D20" s="367" t="s">
        <v>289</v>
      </c>
      <c r="E20" s="367"/>
      <c r="F20" s="369">
        <v>19.63</v>
      </c>
      <c r="G20" s="380">
        <v>1016</v>
      </c>
      <c r="H20" s="370">
        <f t="shared" si="4"/>
        <v>19944.079999999998</v>
      </c>
      <c r="I20" s="371"/>
      <c r="J20" s="372">
        <v>13</v>
      </c>
      <c r="K20" s="373">
        <f t="shared" si="5"/>
        <v>2032.0000000000018</v>
      </c>
      <c r="L20" s="374">
        <f t="shared" si="6"/>
        <v>156.30769230769243</v>
      </c>
      <c r="M20" s="375">
        <v>0.34375</v>
      </c>
      <c r="N20" s="375">
        <v>0.36458333333333331</v>
      </c>
      <c r="O20" s="365">
        <v>5</v>
      </c>
      <c r="P20" s="376">
        <f t="shared" si="7"/>
        <v>29.999999999999972</v>
      </c>
      <c r="Q20" s="377"/>
      <c r="R20" s="377"/>
    </row>
    <row r="21" spans="1:18" ht="15.75" customHeight="1">
      <c r="A21" s="613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1948</v>
      </c>
      <c r="H21" s="370">
        <f t="shared" si="4"/>
        <v>71004.600000000006</v>
      </c>
      <c r="I21" s="371"/>
      <c r="J21" s="372">
        <v>13</v>
      </c>
      <c r="K21" s="373">
        <f t="shared" si="5"/>
        <v>1947.9999999999993</v>
      </c>
      <c r="L21" s="374">
        <f t="shared" si="6"/>
        <v>149.84615384615378</v>
      </c>
      <c r="M21" s="375">
        <v>0.37152777777777773</v>
      </c>
      <c r="N21" s="375">
        <v>0.41319444444444442</v>
      </c>
      <c r="O21" s="365">
        <v>5</v>
      </c>
      <c r="P21" s="376">
        <f t="shared" si="7"/>
        <v>60.000000000000028</v>
      </c>
      <c r="Q21" s="377">
        <v>0.41319444444444442</v>
      </c>
      <c r="R21" s="377">
        <v>0.4548611111111111</v>
      </c>
    </row>
    <row r="22" spans="1:18" ht="15.75" customHeight="1">
      <c r="A22" s="613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613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614"/>
      <c r="B24" s="366">
        <v>0</v>
      </c>
      <c r="C24" s="6" t="s">
        <v>291</v>
      </c>
      <c r="D24" s="594" t="s">
        <v>284</v>
      </c>
      <c r="E24" s="594"/>
      <c r="F24" s="384"/>
      <c r="G24" s="392"/>
      <c r="H24" s="386"/>
      <c r="I24" s="387"/>
      <c r="J24" s="388">
        <f>AVERAGE(J17:J23)</f>
        <v>10.8</v>
      </c>
      <c r="K24" s="388">
        <f>AVERAGE(K17:K23)</f>
        <v>1797.1642857142858</v>
      </c>
      <c r="L24" s="389">
        <f>AVERAGE(L17:L23)</f>
        <v>168.57291208791213</v>
      </c>
      <c r="M24" s="375"/>
      <c r="N24" s="375"/>
      <c r="O24" s="365"/>
      <c r="P24" s="365"/>
      <c r="Q24" s="365"/>
      <c r="R24" s="365"/>
    </row>
    <row r="25" spans="1:18">
      <c r="A25" s="601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1401</v>
      </c>
      <c r="H25" s="370">
        <f t="shared" ref="H25:H37" si="8">F25*G25</f>
        <v>25960.530000000002</v>
      </c>
      <c r="I25" s="371"/>
      <c r="J25" s="372">
        <v>3</v>
      </c>
      <c r="K25" s="373">
        <f t="shared" ref="K25:K28" si="9">G25/P25*60</f>
        <v>2802.0000000000027</v>
      </c>
      <c r="L25" s="374">
        <f t="shared" ref="L25:L28" si="10">K25/J25</f>
        <v>934.00000000000091</v>
      </c>
      <c r="M25" s="375">
        <v>0.18055555555555555</v>
      </c>
      <c r="N25" s="375">
        <v>0.20138888888888887</v>
      </c>
      <c r="O25" s="365">
        <v>20</v>
      </c>
      <c r="P25" s="37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601"/>
      <c r="B26" s="366" t="s">
        <v>104</v>
      </c>
      <c r="C26" s="393"/>
      <c r="D26" s="394" t="s">
        <v>294</v>
      </c>
      <c r="E26" s="396"/>
      <c r="F26" s="369">
        <v>15.03</v>
      </c>
      <c r="G26" s="363">
        <v>558</v>
      </c>
      <c r="H26" s="370">
        <f t="shared" si="8"/>
        <v>8386.74</v>
      </c>
      <c r="I26" s="371"/>
      <c r="J26" s="372">
        <v>4</v>
      </c>
      <c r="K26" s="373">
        <f t="shared" si="9"/>
        <v>2790.00000000001</v>
      </c>
      <c r="L26" s="374">
        <f t="shared" si="10"/>
        <v>697.5000000000025</v>
      </c>
      <c r="M26" s="375">
        <v>0.26041666666666669</v>
      </c>
      <c r="N26" s="375">
        <v>0.26874999999999999</v>
      </c>
      <c r="O26" s="365">
        <v>25</v>
      </c>
      <c r="P26" s="376">
        <f>(N26-M26)*24*60</f>
        <v>11.999999999999957</v>
      </c>
      <c r="Q26" s="377"/>
      <c r="R26" s="377"/>
    </row>
    <row r="27" spans="1:18">
      <c r="A27" s="601"/>
      <c r="B27" s="366" t="s">
        <v>104</v>
      </c>
      <c r="C27" s="393"/>
      <c r="D27" s="367" t="s">
        <v>295</v>
      </c>
      <c r="E27" s="396"/>
      <c r="F27" s="369">
        <v>18.18</v>
      </c>
      <c r="G27" s="363">
        <v>2868</v>
      </c>
      <c r="H27" s="370">
        <f t="shared" si="8"/>
        <v>52140.24</v>
      </c>
      <c r="I27" s="371"/>
      <c r="J27" s="372">
        <v>4</v>
      </c>
      <c r="K27" s="373">
        <f t="shared" si="9"/>
        <v>2775.483870967741</v>
      </c>
      <c r="L27" s="374">
        <f t="shared" si="10"/>
        <v>693.87096774193526</v>
      </c>
      <c r="M27" s="375">
        <v>0.28263888888888888</v>
      </c>
      <c r="N27" s="375">
        <v>0.32569444444444445</v>
      </c>
      <c r="O27" s="365">
        <v>20</v>
      </c>
      <c r="P27" s="376">
        <f t="shared" ref="P27:P28" si="11">(N27-M27)*24*60</f>
        <v>62.000000000000021</v>
      </c>
      <c r="Q27" s="377"/>
      <c r="R27" s="377"/>
    </row>
    <row r="28" spans="1:18">
      <c r="A28" s="601"/>
      <c r="B28" s="366" t="s">
        <v>104</v>
      </c>
      <c r="C28" s="379"/>
      <c r="D28" s="367" t="s">
        <v>296</v>
      </c>
      <c r="E28" s="396"/>
      <c r="F28" s="369">
        <v>24.93</v>
      </c>
      <c r="G28" s="363">
        <v>1193</v>
      </c>
      <c r="H28" s="370">
        <f t="shared" si="8"/>
        <v>29741.489999999998</v>
      </c>
      <c r="I28" s="371"/>
      <c r="J28" s="372">
        <v>3</v>
      </c>
      <c r="K28" s="373">
        <f t="shared" si="9"/>
        <v>2982.5000000000009</v>
      </c>
      <c r="L28" s="374">
        <f t="shared" si="10"/>
        <v>994.16666666666697</v>
      </c>
      <c r="M28" s="375">
        <v>0.33958333333333335</v>
      </c>
      <c r="N28" s="375">
        <v>0.35625000000000001</v>
      </c>
      <c r="O28" s="365">
        <v>20</v>
      </c>
      <c r="P28" s="376">
        <f t="shared" si="11"/>
        <v>23.999999999999993</v>
      </c>
      <c r="Q28" s="377"/>
      <c r="R28" s="377"/>
    </row>
    <row r="29" spans="1:18">
      <c r="A29" s="601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601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601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601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601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60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60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60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60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602"/>
      <c r="B38" s="366">
        <v>0</v>
      </c>
      <c r="C38" s="6" t="s">
        <v>27</v>
      </c>
      <c r="D38" s="580" t="s">
        <v>297</v>
      </c>
      <c r="E38" s="580"/>
      <c r="F38" s="384"/>
      <c r="G38" s="398"/>
      <c r="H38" s="386"/>
      <c r="I38" s="387"/>
      <c r="J38" s="388">
        <f>AVERAGE(J25:J37)</f>
        <v>3.5</v>
      </c>
      <c r="K38" s="388">
        <f>AVERAGE(K25:K37)</f>
        <v>2837.4959677419383</v>
      </c>
      <c r="L38" s="389">
        <f>AVERAGE(L25:L37)</f>
        <v>829.88440860215144</v>
      </c>
      <c r="M38" s="375"/>
      <c r="N38" s="375"/>
      <c r="O38" s="373"/>
      <c r="P38" s="373"/>
      <c r="Q38" s="374"/>
      <c r="R38" s="374"/>
    </row>
    <row r="39" spans="1:18" ht="16.2" customHeight="1">
      <c r="A39" s="590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591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591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591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591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591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591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591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591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592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592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592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593"/>
      <c r="B51" s="366">
        <v>0</v>
      </c>
      <c r="C51" s="6" t="s">
        <v>28</v>
      </c>
      <c r="D51" s="594" t="s">
        <v>284</v>
      </c>
      <c r="E51" s="59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595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804</v>
      </c>
      <c r="H52" s="370">
        <f>F52*G52</f>
        <v>14616.72</v>
      </c>
      <c r="I52" s="371"/>
      <c r="J52" s="372">
        <v>3</v>
      </c>
      <c r="K52" s="373">
        <f>G52/P52*60</f>
        <v>3014.9999999999964</v>
      </c>
      <c r="L52" s="374">
        <f>K52/J52</f>
        <v>1004.9999999999987</v>
      </c>
      <c r="M52" s="375">
        <v>0.30555555555555552</v>
      </c>
      <c r="N52" s="375">
        <v>0.31666666666666665</v>
      </c>
      <c r="O52" s="373">
        <v>20</v>
      </c>
      <c r="P52" s="376">
        <f>(N52-M52)*24*60</f>
        <v>16.000000000000021</v>
      </c>
      <c r="Q52" s="377"/>
      <c r="R52" s="377"/>
    </row>
    <row r="53" spans="1:18" ht="15.6" customHeight="1">
      <c r="A53" s="596"/>
      <c r="B53" s="366" t="s">
        <v>104</v>
      </c>
      <c r="C53" s="379"/>
      <c r="D53" s="395" t="s">
        <v>301</v>
      </c>
      <c r="E53" s="412"/>
      <c r="F53" s="369">
        <v>25.03</v>
      </c>
      <c r="G53" s="378">
        <v>343</v>
      </c>
      <c r="H53" s="370">
        <f t="shared" ref="H53:H116" si="13">F53*G53</f>
        <v>8585.2900000000009</v>
      </c>
      <c r="I53" s="371"/>
      <c r="J53" s="372">
        <v>4</v>
      </c>
      <c r="K53" s="373">
        <f t="shared" ref="K53:K59" si="14">G53/P53*60</f>
        <v>2939.9999999999768</v>
      </c>
      <c r="L53" s="374">
        <f t="shared" ref="L53:L59" si="15">K53/J53</f>
        <v>734.9999999999942</v>
      </c>
      <c r="M53" s="375">
        <v>0.33055555555555555</v>
      </c>
      <c r="N53" s="375">
        <v>0.3354166666666667</v>
      </c>
      <c r="O53" s="373">
        <v>20</v>
      </c>
      <c r="P53" s="376">
        <f t="shared" ref="P53:P59" si="16">(N53-M53)*24*60</f>
        <v>7.0000000000000551</v>
      </c>
      <c r="Q53" s="377"/>
      <c r="R53" s="377"/>
    </row>
    <row r="54" spans="1:18" ht="15.6" customHeight="1">
      <c r="A54" s="596"/>
      <c r="B54" s="366" t="s">
        <v>104</v>
      </c>
      <c r="C54" s="379"/>
      <c r="D54" s="395" t="s">
        <v>302</v>
      </c>
      <c r="E54" s="368"/>
      <c r="F54" s="369">
        <v>24.82</v>
      </c>
      <c r="G54" s="378">
        <v>503</v>
      </c>
      <c r="H54" s="370">
        <f t="shared" si="13"/>
        <v>12484.460000000001</v>
      </c>
      <c r="I54" s="371"/>
      <c r="J54" s="372">
        <v>4</v>
      </c>
      <c r="K54" s="373">
        <f t="shared" si="14"/>
        <v>3017.9999999999868</v>
      </c>
      <c r="L54" s="374">
        <f t="shared" si="15"/>
        <v>754.4999999999967</v>
      </c>
      <c r="M54" s="375">
        <v>0.34930555555555554</v>
      </c>
      <c r="N54" s="375">
        <v>0.35625000000000001</v>
      </c>
      <c r="O54" s="373">
        <v>20</v>
      </c>
      <c r="P54" s="376">
        <f t="shared" si="16"/>
        <v>10.000000000000044</v>
      </c>
      <c r="Q54" s="377"/>
      <c r="R54" s="377"/>
    </row>
    <row r="55" spans="1:18" ht="15.6" customHeight="1">
      <c r="A55" s="596"/>
      <c r="B55" s="366" t="s">
        <v>104</v>
      </c>
      <c r="C55" s="379"/>
      <c r="D55" s="394" t="s">
        <v>303</v>
      </c>
      <c r="E55" s="396"/>
      <c r="F55" s="369">
        <v>23.72</v>
      </c>
      <c r="G55" s="378">
        <v>214</v>
      </c>
      <c r="H55" s="370">
        <f t="shared" si="13"/>
        <v>5076.08</v>
      </c>
      <c r="I55" s="371"/>
      <c r="J55" s="372">
        <v>4</v>
      </c>
      <c r="K55" s="373">
        <f t="shared" si="14"/>
        <v>2567.9999999999682</v>
      </c>
      <c r="L55" s="374">
        <f t="shared" si="15"/>
        <v>641.99999999999204</v>
      </c>
      <c r="M55" s="375">
        <v>0.37013888888888885</v>
      </c>
      <c r="N55" s="375">
        <v>0.37361111111111112</v>
      </c>
      <c r="O55" s="373">
        <v>20</v>
      </c>
      <c r="P55" s="37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596"/>
      <c r="B56" s="366" t="s">
        <v>104</v>
      </c>
      <c r="C56" s="379"/>
      <c r="D56" s="395" t="s">
        <v>304</v>
      </c>
      <c r="E56" s="396"/>
      <c r="F56" s="369">
        <v>30</v>
      </c>
      <c r="G56" s="378">
        <v>884</v>
      </c>
      <c r="H56" s="370">
        <f t="shared" si="13"/>
        <v>26520</v>
      </c>
      <c r="I56" s="371"/>
      <c r="J56" s="372">
        <v>4</v>
      </c>
      <c r="K56" s="373">
        <f t="shared" si="14"/>
        <v>3119.9999999999964</v>
      </c>
      <c r="L56" s="374">
        <f t="shared" si="15"/>
        <v>779.99999999999909</v>
      </c>
      <c r="M56" s="375">
        <v>0.43263888888888885</v>
      </c>
      <c r="N56" s="375">
        <v>0.44444444444444442</v>
      </c>
      <c r="O56" s="373">
        <v>25</v>
      </c>
      <c r="P56" s="376">
        <f t="shared" si="16"/>
        <v>17.000000000000021</v>
      </c>
      <c r="Q56" s="377"/>
      <c r="R56" s="377"/>
    </row>
    <row r="57" spans="1:18" ht="15.75" customHeight="1">
      <c r="A57" s="596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693</v>
      </c>
      <c r="H57" s="370">
        <f t="shared" si="13"/>
        <v>14358.96</v>
      </c>
      <c r="I57" s="371"/>
      <c r="J57" s="372">
        <v>3</v>
      </c>
      <c r="K57" s="373">
        <f t="shared" si="14"/>
        <v>3198.4615384615304</v>
      </c>
      <c r="L57" s="374">
        <f t="shared" si="15"/>
        <v>1066.1538461538435</v>
      </c>
      <c r="M57" s="375">
        <v>0.45833333333333331</v>
      </c>
      <c r="N57" s="375">
        <v>0.46736111111111112</v>
      </c>
      <c r="O57" s="373">
        <v>20</v>
      </c>
      <c r="P57" s="376">
        <f t="shared" si="16"/>
        <v>13.000000000000034</v>
      </c>
      <c r="Q57" s="377"/>
      <c r="R57" s="377"/>
    </row>
    <row r="58" spans="1:18" ht="15.6" customHeight="1">
      <c r="A58" s="596"/>
      <c r="B58" s="366" t="s">
        <v>104</v>
      </c>
      <c r="C58" s="413"/>
      <c r="D58" s="395" t="s">
        <v>306</v>
      </c>
      <c r="E58" s="396"/>
      <c r="F58" s="369">
        <v>17.07</v>
      </c>
      <c r="G58" s="414">
        <v>1179</v>
      </c>
      <c r="H58" s="370">
        <f t="shared" si="13"/>
        <v>20125.53</v>
      </c>
      <c r="I58" s="371"/>
      <c r="J58" s="372">
        <v>3</v>
      </c>
      <c r="K58" s="373">
        <f t="shared" si="14"/>
        <v>3075.6521739130435</v>
      </c>
      <c r="L58" s="374">
        <f t="shared" si="15"/>
        <v>1025.2173913043478</v>
      </c>
      <c r="M58" s="375">
        <v>0.48125000000000001</v>
      </c>
      <c r="N58" s="375">
        <v>0.49722222222222223</v>
      </c>
      <c r="O58" s="373">
        <v>20</v>
      </c>
      <c r="P58" s="376">
        <f t="shared" si="16"/>
        <v>23</v>
      </c>
      <c r="Q58" s="377"/>
      <c r="R58" s="377"/>
    </row>
    <row r="59" spans="1:18" ht="15.6" customHeight="1">
      <c r="A59" s="596"/>
      <c r="B59" s="366" t="s">
        <v>104</v>
      </c>
      <c r="C59" s="379"/>
      <c r="D59" s="395" t="s">
        <v>307</v>
      </c>
      <c r="E59" s="396"/>
      <c r="F59" s="369">
        <v>27.48</v>
      </c>
      <c r="G59" s="378">
        <v>2325</v>
      </c>
      <c r="H59" s="370">
        <f t="shared" si="13"/>
        <v>63891</v>
      </c>
      <c r="I59" s="371"/>
      <c r="J59" s="372">
        <v>3</v>
      </c>
      <c r="K59" s="373">
        <f t="shared" si="14"/>
        <v>3170.4545454545569</v>
      </c>
      <c r="L59" s="374">
        <f t="shared" si="15"/>
        <v>1056.8181818181856</v>
      </c>
      <c r="M59" s="375">
        <v>0.51111111111111118</v>
      </c>
      <c r="N59" s="375">
        <v>0.54166666666666663</v>
      </c>
      <c r="O59" s="373">
        <v>20</v>
      </c>
      <c r="P59" s="376">
        <f t="shared" si="16"/>
        <v>43.999999999999844</v>
      </c>
      <c r="Q59" s="377"/>
      <c r="R59" s="377"/>
    </row>
    <row r="60" spans="1:18" ht="15.6" customHeight="1">
      <c r="A60" s="596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596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596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59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597"/>
      <c r="B64" s="366">
        <v>0</v>
      </c>
      <c r="C64" s="6" t="s">
        <v>308</v>
      </c>
      <c r="D64" s="594" t="s">
        <v>284</v>
      </c>
      <c r="E64" s="594"/>
      <c r="F64" s="384"/>
      <c r="G64" s="389"/>
      <c r="H64" s="408"/>
      <c r="I64" s="409"/>
      <c r="J64" s="388">
        <f>AVERAGE(J52:J63)</f>
        <v>3.5</v>
      </c>
      <c r="K64" s="388">
        <f>AVERAGE(K52:K63)</f>
        <v>3013.1960322286322</v>
      </c>
      <c r="L64" s="389">
        <f>AVERAGE(L52:L63)</f>
        <v>883.08617740954469</v>
      </c>
      <c r="M64" s="375"/>
      <c r="N64" s="375"/>
      <c r="O64" s="365"/>
      <c r="P64" s="365"/>
      <c r="Q64" s="365"/>
      <c r="R64" s="365"/>
    </row>
    <row r="65" spans="1:18" ht="15.6" customHeight="1">
      <c r="A65" s="598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384</v>
      </c>
      <c r="H65" s="370">
        <f>F65*G65</f>
        <v>8556.2181818181816</v>
      </c>
      <c r="I65" s="371"/>
      <c r="J65" s="372">
        <v>4</v>
      </c>
      <c r="K65" s="373">
        <f t="shared" ref="K65:K71" si="17">G65/P65*60</f>
        <v>2879.9999999999964</v>
      </c>
      <c r="L65" s="374">
        <f t="shared" ref="L65:L71" si="18">K65/J65</f>
        <v>719.99999999999909</v>
      </c>
      <c r="M65" s="375">
        <v>0.18055555555555555</v>
      </c>
      <c r="N65" s="375">
        <v>0.18611111111111112</v>
      </c>
      <c r="O65" s="373">
        <v>20</v>
      </c>
      <c r="P65" s="376">
        <f>(N65-M65)*24*60</f>
        <v>8.0000000000000107</v>
      </c>
      <c r="Q65" s="377"/>
      <c r="R65" s="377"/>
    </row>
    <row r="66" spans="1:18" ht="15.6" customHeight="1">
      <c r="A66" s="599"/>
      <c r="B66" s="366" t="s">
        <v>104</v>
      </c>
      <c r="C66" s="379"/>
      <c r="D66" s="401" t="s">
        <v>311</v>
      </c>
      <c r="E66" s="412"/>
      <c r="F66" s="369">
        <v>14.03</v>
      </c>
      <c r="G66" s="378">
        <v>2731</v>
      </c>
      <c r="H66" s="370">
        <f t="shared" ref="H66:H74" si="19">F66*G66</f>
        <v>38315.93</v>
      </c>
      <c r="I66" s="371"/>
      <c r="J66" s="372">
        <v>3</v>
      </c>
      <c r="K66" s="373">
        <f t="shared" si="17"/>
        <v>3151.1538461538426</v>
      </c>
      <c r="L66" s="374">
        <f t="shared" si="18"/>
        <v>1050.3846153846141</v>
      </c>
      <c r="M66" s="375">
        <v>0.19999999999999998</v>
      </c>
      <c r="N66" s="375">
        <v>0.23611111111111113</v>
      </c>
      <c r="O66" s="373">
        <v>20</v>
      </c>
      <c r="P66" s="376">
        <f t="shared" ref="P66:P71" si="20">(N66-M66)*24*60</f>
        <v>52.000000000000057</v>
      </c>
      <c r="Q66" s="377"/>
      <c r="R66" s="377"/>
    </row>
    <row r="67" spans="1:18" ht="15.6" customHeight="1">
      <c r="A67" s="599"/>
      <c r="B67" s="366" t="s">
        <v>104</v>
      </c>
      <c r="C67" s="379"/>
      <c r="D67" s="394" t="s">
        <v>312</v>
      </c>
      <c r="E67" s="396"/>
      <c r="F67" s="369">
        <v>18.18</v>
      </c>
      <c r="G67" s="378">
        <v>1318</v>
      </c>
      <c r="H67" s="370">
        <f t="shared" si="19"/>
        <v>23961.239999999998</v>
      </c>
      <c r="I67" s="371"/>
      <c r="J67" s="372">
        <v>3</v>
      </c>
      <c r="K67" s="373">
        <f t="shared" si="17"/>
        <v>3163.2000000000007</v>
      </c>
      <c r="L67" s="374">
        <f t="shared" si="18"/>
        <v>1054.4000000000003</v>
      </c>
      <c r="M67" s="375">
        <v>0.25</v>
      </c>
      <c r="N67" s="375">
        <v>0.2673611111111111</v>
      </c>
      <c r="O67" s="373">
        <v>20</v>
      </c>
      <c r="P67" s="376">
        <f t="shared" si="20"/>
        <v>24.999999999999993</v>
      </c>
      <c r="Q67" s="377"/>
      <c r="R67" s="377"/>
    </row>
    <row r="68" spans="1:18" ht="15.6" customHeight="1">
      <c r="A68" s="599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1397</v>
      </c>
      <c r="H68" s="370">
        <f t="shared" si="19"/>
        <v>24993.599999999999</v>
      </c>
      <c r="I68" s="371"/>
      <c r="J68" s="372">
        <v>3</v>
      </c>
      <c r="K68" s="373">
        <f t="shared" si="17"/>
        <v>3104.4444444444462</v>
      </c>
      <c r="L68" s="374">
        <f t="shared" si="18"/>
        <v>1034.8148148148155</v>
      </c>
      <c r="M68" s="375">
        <v>0.28125</v>
      </c>
      <c r="N68" s="375">
        <v>0.3</v>
      </c>
      <c r="O68" s="373">
        <v>20</v>
      </c>
      <c r="P68" s="376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599"/>
      <c r="B69" s="366" t="s">
        <v>104</v>
      </c>
      <c r="C69" s="379"/>
      <c r="D69" s="394" t="s">
        <v>314</v>
      </c>
      <c r="E69" s="396"/>
      <c r="F69" s="369">
        <v>16.66</v>
      </c>
      <c r="G69" s="378">
        <v>2650</v>
      </c>
      <c r="H69" s="370">
        <f t="shared" si="19"/>
        <v>44149</v>
      </c>
      <c r="I69" s="371"/>
      <c r="J69" s="372">
        <v>4</v>
      </c>
      <c r="K69" s="373">
        <f t="shared" si="17"/>
        <v>3180.0000000000009</v>
      </c>
      <c r="L69" s="374">
        <f t="shared" si="18"/>
        <v>795.00000000000023</v>
      </c>
      <c r="M69" s="375">
        <v>0.35902777777777778</v>
      </c>
      <c r="N69" s="375">
        <v>0.39374999999999999</v>
      </c>
      <c r="O69" s="373">
        <v>25</v>
      </c>
      <c r="P69" s="376">
        <f t="shared" si="20"/>
        <v>49.999999999999986</v>
      </c>
      <c r="Q69" s="377"/>
      <c r="R69" s="377"/>
    </row>
    <row r="70" spans="1:18" ht="15.75" customHeight="1">
      <c r="A70" s="599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1472</v>
      </c>
      <c r="H70" s="370">
        <f t="shared" si="19"/>
        <v>44160</v>
      </c>
      <c r="I70" s="371"/>
      <c r="J70" s="372">
        <v>4</v>
      </c>
      <c r="K70" s="373">
        <f t="shared" si="17"/>
        <v>3154.2857142857165</v>
      </c>
      <c r="L70" s="374">
        <f t="shared" si="18"/>
        <v>788.57142857142912</v>
      </c>
      <c r="M70" s="375">
        <v>0.40763888888888888</v>
      </c>
      <c r="N70" s="375">
        <v>0.42708333333333331</v>
      </c>
      <c r="O70" s="373">
        <v>20</v>
      </c>
      <c r="P70" s="376">
        <f t="shared" si="20"/>
        <v>27.999999999999979</v>
      </c>
      <c r="Q70" s="377"/>
      <c r="R70" s="377"/>
    </row>
    <row r="71" spans="1:18" ht="15.6" customHeight="1">
      <c r="A71" s="59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4176</v>
      </c>
      <c r="H71" s="370">
        <f t="shared" si="19"/>
        <v>59657.142857142848</v>
      </c>
      <c r="I71" s="371"/>
      <c r="J71" s="372">
        <v>3</v>
      </c>
      <c r="K71" s="373">
        <f t="shared" si="17"/>
        <v>3171.6455696202547</v>
      </c>
      <c r="L71" s="374">
        <f t="shared" si="18"/>
        <v>1057.2151898734182</v>
      </c>
      <c r="M71" s="375">
        <v>0.44097222222222227</v>
      </c>
      <c r="N71" s="375">
        <v>0.49583333333333335</v>
      </c>
      <c r="O71" s="373">
        <v>20</v>
      </c>
      <c r="P71" s="376">
        <f t="shared" si="20"/>
        <v>78.999999999999957</v>
      </c>
      <c r="Q71" s="377"/>
      <c r="R71" s="377"/>
    </row>
    <row r="72" spans="1:18" ht="15.6" customHeight="1">
      <c r="A72" s="599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599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599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600"/>
      <c r="B75" s="366">
        <v>0</v>
      </c>
      <c r="C75" s="6" t="s">
        <v>354</v>
      </c>
      <c r="D75" s="594" t="s">
        <v>284</v>
      </c>
      <c r="E75" s="59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3114.9613677863226</v>
      </c>
      <c r="L75" s="389">
        <f>AVERAGE(L65:L74)</f>
        <v>928.62657837775373</v>
      </c>
      <c r="M75" s="375"/>
      <c r="N75" s="375"/>
      <c r="O75" s="365"/>
      <c r="P75" s="365"/>
      <c r="Q75" s="365"/>
      <c r="R75" s="365"/>
    </row>
    <row r="76" spans="1:18" ht="16.2" customHeight="1">
      <c r="A76" s="584" t="s">
        <v>319</v>
      </c>
      <c r="B76" s="366">
        <v>0</v>
      </c>
      <c r="C76" s="383"/>
      <c r="D76" s="585"/>
      <c r="E76" s="58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584"/>
      <c r="B77" s="366">
        <v>0</v>
      </c>
      <c r="C77" s="383"/>
      <c r="D77" s="585"/>
      <c r="E77" s="586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584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584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584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584"/>
      <c r="B81" s="366">
        <v>0</v>
      </c>
      <c r="C81" s="6" t="s">
        <v>31</v>
      </c>
      <c r="D81" s="580" t="s">
        <v>284</v>
      </c>
      <c r="E81" s="58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587" t="s">
        <v>355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58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58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58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588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588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588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588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588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588"/>
      <c r="B91" s="366">
        <v>0</v>
      </c>
      <c r="C91" s="6" t="s">
        <v>292</v>
      </c>
      <c r="D91" s="589" t="s">
        <v>284</v>
      </c>
      <c r="E91" s="58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574" t="s">
        <v>356</v>
      </c>
      <c r="B92" s="366" t="s">
        <v>104</v>
      </c>
      <c r="C92" s="383"/>
      <c r="D92" s="427" t="s">
        <v>357</v>
      </c>
      <c r="E92" s="421"/>
      <c r="F92" s="369">
        <v>24.54</v>
      </c>
      <c r="G92" s="363">
        <v>1274</v>
      </c>
      <c r="H92" s="370">
        <f t="shared" ref="H92:H99" si="22">F92*G92</f>
        <v>31263.96</v>
      </c>
      <c r="I92" s="371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0.72222222222222221</v>
      </c>
      <c r="N92" s="375">
        <v>0.74305555555555547</v>
      </c>
      <c r="O92" s="365">
        <v>20</v>
      </c>
      <c r="P92" s="376">
        <f>(N92-M92)*24*60</f>
        <v>29.999999999999893</v>
      </c>
      <c r="Q92" s="377"/>
      <c r="R92" s="377"/>
    </row>
    <row r="93" spans="1:18">
      <c r="A93" s="575"/>
      <c r="B93" s="366" t="s">
        <v>104</v>
      </c>
      <c r="C93" s="383"/>
      <c r="D93" s="395" t="s">
        <v>358</v>
      </c>
      <c r="E93" s="415"/>
      <c r="F93" s="369">
        <v>23.27</v>
      </c>
      <c r="G93" s="378">
        <v>534</v>
      </c>
      <c r="H93" s="370">
        <f t="shared" si="22"/>
        <v>12426.18</v>
      </c>
      <c r="I93" s="371"/>
      <c r="J93" s="372">
        <v>4</v>
      </c>
      <c r="K93" s="373">
        <f t="shared" ref="K93:K94" si="24">G93/P93*60</f>
        <v>2136.0000000000077</v>
      </c>
      <c r="L93" s="374">
        <f t="shared" si="23"/>
        <v>534.00000000000193</v>
      </c>
      <c r="M93" s="375">
        <v>0.75694444444444453</v>
      </c>
      <c r="N93" s="375">
        <v>0.76736111111111116</v>
      </c>
      <c r="O93" s="365">
        <v>20</v>
      </c>
      <c r="P93" s="376">
        <f>(N93-M93)*24*60</f>
        <v>14.999999999999947</v>
      </c>
      <c r="Q93" s="377"/>
      <c r="R93" s="377"/>
    </row>
    <row r="94" spans="1:18">
      <c r="A94" s="575"/>
      <c r="B94" s="366" t="s">
        <v>104</v>
      </c>
      <c r="C94" s="383"/>
      <c r="D94" s="395" t="s">
        <v>359</v>
      </c>
      <c r="E94" s="415"/>
      <c r="F94" s="369">
        <v>24.33</v>
      </c>
      <c r="G94" s="378">
        <v>1235</v>
      </c>
      <c r="H94" s="370">
        <f t="shared" si="22"/>
        <v>30047.55</v>
      </c>
      <c r="I94" s="371"/>
      <c r="J94" s="372">
        <v>4</v>
      </c>
      <c r="K94" s="373">
        <f t="shared" si="24"/>
        <v>2117.1428571428646</v>
      </c>
      <c r="L94" s="374">
        <f t="shared" si="23"/>
        <v>529.28571428571615</v>
      </c>
      <c r="M94" s="375">
        <v>0.78125</v>
      </c>
      <c r="N94" s="375">
        <v>0.80555555555555547</v>
      </c>
      <c r="O94" s="365">
        <v>20</v>
      </c>
      <c r="P94" s="376">
        <f>(N94-M94)*24*60</f>
        <v>34.999999999999872</v>
      </c>
      <c r="Q94" s="377"/>
      <c r="R94" s="377"/>
    </row>
    <row r="95" spans="1:18">
      <c r="A95" s="57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57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57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57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57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576"/>
      <c r="B100" s="366">
        <v>0</v>
      </c>
      <c r="C100" s="6" t="s">
        <v>360</v>
      </c>
      <c r="D100" s="577" t="s">
        <v>284</v>
      </c>
      <c r="E100" s="57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2267.047619047627</v>
      </c>
      <c r="L100" s="389">
        <f>AVERAGE(L92:L99)</f>
        <v>637.5396825396848</v>
      </c>
      <c r="M100" s="375"/>
      <c r="N100" s="375"/>
      <c r="O100" s="373"/>
      <c r="P100" s="373"/>
      <c r="Q100" s="374"/>
      <c r="R100" s="374"/>
    </row>
    <row r="101" spans="1:18" ht="16.2" customHeight="1">
      <c r="A101" s="579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731</v>
      </c>
      <c r="H101" s="370">
        <f t="shared" ref="H101:H110" si="25">F101*G101</f>
        <v>18296.93</v>
      </c>
      <c r="I101" s="371"/>
      <c r="J101" s="372">
        <v>4</v>
      </c>
      <c r="K101" s="373">
        <f>G101/P101*60</f>
        <v>2924.0000000000105</v>
      </c>
      <c r="L101" s="374">
        <f t="shared" ref="L101:L107" si="26">K101/J101</f>
        <v>731.00000000000261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579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3022</v>
      </c>
      <c r="H102" s="370">
        <f t="shared" si="25"/>
        <v>86338.54</v>
      </c>
      <c r="I102" s="371"/>
      <c r="J102" s="372">
        <v>3</v>
      </c>
      <c r="K102" s="373">
        <f t="shared" ref="K102:K107" si="28">G102/P102*60</f>
        <v>3021.9999999999945</v>
      </c>
      <c r="L102" s="374">
        <f t="shared" si="26"/>
        <v>1007.3333333333316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579"/>
      <c r="B103" s="366">
        <v>0</v>
      </c>
      <c r="C103" s="6"/>
      <c r="D103" s="395" t="s">
        <v>362</v>
      </c>
      <c r="E103" s="395"/>
      <c r="F103" s="369" t="s">
        <v>106</v>
      </c>
      <c r="G103" s="363">
        <v>304</v>
      </c>
      <c r="H103" s="370">
        <f t="shared" si="25"/>
        <v>0</v>
      </c>
      <c r="I103" s="371"/>
      <c r="J103" s="372">
        <v>5</v>
      </c>
      <c r="K103" s="373">
        <f t="shared" si="28"/>
        <v>1824.0000000000066</v>
      </c>
      <c r="L103" s="374">
        <f t="shared" si="26"/>
        <v>364.80000000000132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579"/>
      <c r="B104" s="366">
        <v>0</v>
      </c>
      <c r="C104" s="6"/>
      <c r="D104" s="395" t="s">
        <v>363</v>
      </c>
      <c r="E104" s="415"/>
      <c r="F104" s="369" t="s">
        <v>106</v>
      </c>
      <c r="G104" s="363">
        <v>461</v>
      </c>
      <c r="H104" s="370">
        <f t="shared" si="25"/>
        <v>0</v>
      </c>
      <c r="I104" s="371"/>
      <c r="J104" s="372">
        <v>5</v>
      </c>
      <c r="K104" s="373">
        <f t="shared" si="28"/>
        <v>2765.9999999999654</v>
      </c>
      <c r="L104" s="374">
        <f t="shared" si="26"/>
        <v>553.19999999999311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579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1415</v>
      </c>
      <c r="H105" s="370">
        <f t="shared" si="25"/>
        <v>35120.300000000003</v>
      </c>
      <c r="I105" s="371"/>
      <c r="J105" s="372">
        <v>4</v>
      </c>
      <c r="K105" s="373">
        <f t="shared" si="28"/>
        <v>2829.999999999995</v>
      </c>
      <c r="L105" s="374">
        <f t="shared" si="26"/>
        <v>707.49999999999875</v>
      </c>
      <c r="M105" s="375">
        <v>0.88541666666666663</v>
      </c>
      <c r="N105" s="375">
        <v>0.90625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579"/>
      <c r="B106" s="366" t="s">
        <v>104</v>
      </c>
      <c r="C106" s="6"/>
      <c r="D106" s="395" t="s">
        <v>364</v>
      </c>
      <c r="E106" s="429"/>
      <c r="F106" s="369">
        <v>30</v>
      </c>
      <c r="G106" s="378">
        <v>1479</v>
      </c>
      <c r="H106" s="370">
        <f t="shared" si="25"/>
        <v>44370</v>
      </c>
      <c r="I106" s="371"/>
      <c r="J106" s="372">
        <v>3</v>
      </c>
      <c r="K106" s="373">
        <f t="shared" si="28"/>
        <v>2957.9999999999945</v>
      </c>
      <c r="L106" s="374">
        <f t="shared" si="26"/>
        <v>985.99999999999818</v>
      </c>
      <c r="M106" s="375">
        <v>0.92013888888888884</v>
      </c>
      <c r="N106" s="375">
        <v>0.94097222222222221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579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8704</v>
      </c>
      <c r="H107" s="370">
        <f t="shared" si="25"/>
        <v>124342.85714285712</v>
      </c>
      <c r="I107" s="371"/>
      <c r="J107" s="372">
        <v>3</v>
      </c>
      <c r="K107" s="373">
        <f t="shared" si="28"/>
        <v>2984.2285713491638</v>
      </c>
      <c r="L107" s="374">
        <f t="shared" si="26"/>
        <v>994.74285711638788</v>
      </c>
      <c r="M107" s="375">
        <v>46236.954861111109</v>
      </c>
      <c r="N107" s="375">
        <v>46237.076388888891</v>
      </c>
      <c r="O107" s="365">
        <v>20</v>
      </c>
      <c r="P107" s="373">
        <f>(N107-M107)*24*60</f>
        <v>175.00000000465661</v>
      </c>
      <c r="Q107" s="374"/>
      <c r="R107" s="377"/>
    </row>
    <row r="108" spans="1:18">
      <c r="A108" s="579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579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579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579"/>
      <c r="B111" s="366">
        <v>0</v>
      </c>
      <c r="C111" s="6" t="s">
        <v>308</v>
      </c>
      <c r="D111" s="580" t="s">
        <v>284</v>
      </c>
      <c r="E111" s="58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2758.3183673355898</v>
      </c>
      <c r="L111" s="389">
        <f>AVERAGE(L101:L110)</f>
        <v>763.51088434995904</v>
      </c>
      <c r="M111" s="375"/>
      <c r="N111" s="375"/>
      <c r="O111" s="373"/>
      <c r="P111" s="373"/>
      <c r="Q111" s="374"/>
      <c r="R111" s="365"/>
    </row>
    <row r="112" spans="1:18" ht="16.2" customHeight="1">
      <c r="A112" s="582" t="s">
        <v>365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1097</v>
      </c>
      <c r="H112" s="422">
        <f t="shared" si="13"/>
        <v>18319.899999999998</v>
      </c>
      <c r="I112" s="371"/>
      <c r="J112" s="372">
        <v>3</v>
      </c>
      <c r="K112" s="373">
        <f t="shared" ref="K112:K118" si="29">G112/P112*60</f>
        <v>3290.9999999999854</v>
      </c>
      <c r="L112" s="374">
        <f t="shared" ref="L112:L118" si="30">K112/J112</f>
        <v>1096.9999999999952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58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1055</v>
      </c>
      <c r="H113" s="422">
        <f t="shared" si="13"/>
        <v>19179.900000000001</v>
      </c>
      <c r="I113" s="371"/>
      <c r="J113" s="372">
        <v>4</v>
      </c>
      <c r="K113" s="373">
        <f t="shared" si="29"/>
        <v>3165.0000000000109</v>
      </c>
      <c r="L113" s="374">
        <f t="shared" si="30"/>
        <v>791.25000000000273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582"/>
      <c r="B114" s="366" t="s">
        <v>104</v>
      </c>
      <c r="C114" s="393"/>
      <c r="D114" s="419" t="s">
        <v>366</v>
      </c>
      <c r="E114" s="395"/>
      <c r="F114" s="369">
        <v>18.18</v>
      </c>
      <c r="G114" s="363">
        <v>1115</v>
      </c>
      <c r="H114" s="422">
        <f t="shared" si="13"/>
        <v>20270.7</v>
      </c>
      <c r="I114" s="371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58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5710</v>
      </c>
      <c r="H115" s="422">
        <f t="shared" si="13"/>
        <v>95128.6</v>
      </c>
      <c r="I115" s="371"/>
      <c r="J115" s="372">
        <v>4</v>
      </c>
      <c r="K115" s="373">
        <f t="shared" si="29"/>
        <v>2979.1304347826067</v>
      </c>
      <c r="L115" s="374">
        <f t="shared" si="30"/>
        <v>744.78260869565167</v>
      </c>
      <c r="M115" s="375">
        <v>0.80555555555555547</v>
      </c>
      <c r="N115" s="375">
        <v>0.88541666666666663</v>
      </c>
      <c r="O115" s="365">
        <v>20</v>
      </c>
      <c r="P115" s="376">
        <f t="shared" si="31"/>
        <v>115.00000000000007</v>
      </c>
      <c r="Q115" s="377"/>
      <c r="R115" s="377"/>
    </row>
    <row r="116" spans="1:18">
      <c r="A116" s="58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973</v>
      </c>
      <c r="H116" s="422">
        <f t="shared" si="13"/>
        <v>21680.209090909091</v>
      </c>
      <c r="I116" s="371"/>
      <c r="J116" s="372">
        <v>4</v>
      </c>
      <c r="K116" s="373">
        <f t="shared" si="29"/>
        <v>2918.9999999999636</v>
      </c>
      <c r="L116" s="374">
        <f t="shared" si="30"/>
        <v>729.74999999999091</v>
      </c>
      <c r="M116" s="375">
        <v>0.89930555555555547</v>
      </c>
      <c r="N116" s="424">
        <v>0.91319444444444453</v>
      </c>
      <c r="O116" s="365">
        <v>20</v>
      </c>
      <c r="P116" s="376">
        <f t="shared" si="31"/>
        <v>20.000000000000249</v>
      </c>
      <c r="Q116" s="377">
        <v>0.91319444444444453</v>
      </c>
      <c r="R116" s="377">
        <v>0.95486111111111116</v>
      </c>
    </row>
    <row r="117" spans="1:18">
      <c r="A117" s="58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3812</v>
      </c>
      <c r="H117" s="422">
        <f t="shared" ref="H117:H123" si="32">F117*G117</f>
        <v>68200.145454545447</v>
      </c>
      <c r="I117" s="371"/>
      <c r="J117" s="372">
        <v>3</v>
      </c>
      <c r="K117" s="373">
        <f t="shared" si="29"/>
        <v>3049.5999998579919</v>
      </c>
      <c r="L117" s="374">
        <f t="shared" si="30"/>
        <v>1016.5333332859973</v>
      </c>
      <c r="M117" s="375">
        <v>46236.96875</v>
      </c>
      <c r="N117" s="375">
        <v>46237.020833333336</v>
      </c>
      <c r="O117" s="373">
        <v>20</v>
      </c>
      <c r="P117" s="376">
        <f t="shared" si="31"/>
        <v>75.00000000349246</v>
      </c>
      <c r="Q117" s="377"/>
      <c r="R117" s="377"/>
    </row>
    <row r="118" spans="1:18">
      <c r="A118" s="582"/>
      <c r="B118" s="366" t="s">
        <v>104</v>
      </c>
      <c r="C118" s="393"/>
      <c r="D118" s="395" t="s">
        <v>367</v>
      </c>
      <c r="E118" s="412"/>
      <c r="F118" s="369">
        <v>14.03</v>
      </c>
      <c r="G118" s="363">
        <v>6359</v>
      </c>
      <c r="H118" s="422">
        <f t="shared" si="32"/>
        <v>89216.76999999999</v>
      </c>
      <c r="I118" s="371"/>
      <c r="J118" s="372">
        <v>3</v>
      </c>
      <c r="K118" s="373">
        <f t="shared" si="29"/>
        <v>3052.3200000000006</v>
      </c>
      <c r="L118" s="374">
        <f t="shared" si="30"/>
        <v>1017.4400000000002</v>
      </c>
      <c r="M118" s="375">
        <v>3.4722222222222224E-2</v>
      </c>
      <c r="N118" s="375">
        <v>0.12152777777777778</v>
      </c>
      <c r="O118" s="373">
        <v>20</v>
      </c>
      <c r="P118" s="376">
        <f t="shared" si="31"/>
        <v>124.99999999999999</v>
      </c>
      <c r="Q118" s="377"/>
      <c r="R118" s="377"/>
    </row>
    <row r="119" spans="1:18">
      <c r="A119" s="58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58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58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58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58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582"/>
      <c r="B124" s="383">
        <v>0</v>
      </c>
      <c r="C124" s="6" t="s">
        <v>354</v>
      </c>
      <c r="D124" s="583" t="s">
        <v>284</v>
      </c>
      <c r="E124" s="58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3114.4357763772241</v>
      </c>
      <c r="L124" s="389">
        <f>AVERAGE(L112:L123)</f>
        <v>930.25084885452031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0" sqref="K10"/>
      <selection pane="bottomLeft" activeCell="J144" sqref="J144:L14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181134.85</v>
      </c>
      <c r="F1" s="331" t="s">
        <v>3</v>
      </c>
      <c r="G1" s="30">
        <f>SUM(H5:H173)</f>
        <v>7231176.4048112761</v>
      </c>
      <c r="H1" s="327" t="s">
        <v>37</v>
      </c>
      <c r="I1" s="31">
        <f>M17+M30+M43+M56+M69+M82+M95+M108+M121+M134+M147+M160+M173</f>
        <v>191.20768398268396</v>
      </c>
      <c r="J1" s="635" t="s">
        <v>38</v>
      </c>
      <c r="K1" s="635"/>
      <c r="L1" s="635"/>
      <c r="M1" s="635" t="s">
        <v>39</v>
      </c>
      <c r="N1" s="635"/>
      <c r="O1" s="635"/>
      <c r="P1" s="635" t="s">
        <v>193</v>
      </c>
      <c r="Q1" s="635"/>
      <c r="R1" s="635"/>
      <c r="S1" s="635"/>
      <c r="T1" s="635" t="s">
        <v>194</v>
      </c>
      <c r="U1" s="635"/>
      <c r="V1" s="635"/>
      <c r="W1" s="635"/>
      <c r="X1" s="635"/>
      <c r="Y1" s="635"/>
      <c r="Z1" s="32" t="s">
        <v>195</v>
      </c>
      <c r="AA1" s="32" t="s">
        <v>196</v>
      </c>
      <c r="AB1" s="651" t="s">
        <v>197</v>
      </c>
      <c r="AC1" s="652"/>
      <c r="AD1" s="32" t="s">
        <v>195</v>
      </c>
      <c r="AE1" s="32" t="s">
        <v>198</v>
      </c>
      <c r="AF1" s="635" t="s">
        <v>199</v>
      </c>
      <c r="AG1" s="636"/>
      <c r="AH1" s="636"/>
    </row>
    <row r="2" spans="1:34" ht="26.25" customHeight="1">
      <c r="A2" s="643" t="s">
        <v>251</v>
      </c>
      <c r="B2" s="643"/>
      <c r="C2" s="330"/>
      <c r="D2" s="330" t="s">
        <v>201</v>
      </c>
      <c r="E2" s="34">
        <f>AVERAGE(O17,O30,O43,O56,O69,O82,O95,O108,O121,O134,O147,O160,O173)</f>
        <v>131.04656176281514</v>
      </c>
      <c r="F2" s="35" t="s">
        <v>40</v>
      </c>
      <c r="G2" s="36">
        <f>G1/E1</f>
        <v>39.921508228876306</v>
      </c>
      <c r="H2" s="327" t="s">
        <v>41</v>
      </c>
      <c r="I2" s="327">
        <f>COUNT(I5:I173)</f>
        <v>11</v>
      </c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3"/>
      <c r="AC2" s="654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636"/>
      <c r="AG2" s="636"/>
      <c r="AH2" s="636"/>
    </row>
    <row r="3" spans="1:34" ht="30.6" customHeight="1">
      <c r="A3" s="644" t="s">
        <v>202</v>
      </c>
      <c r="B3" s="644" t="s">
        <v>42</v>
      </c>
      <c r="C3" s="645"/>
      <c r="D3" s="644" t="s">
        <v>203</v>
      </c>
      <c r="E3" s="644"/>
      <c r="F3" s="645" t="s">
        <v>43</v>
      </c>
      <c r="G3" s="660" t="s">
        <v>44</v>
      </c>
      <c r="H3" s="645" t="s">
        <v>45</v>
      </c>
      <c r="I3" s="637" t="s">
        <v>204</v>
      </c>
      <c r="J3" s="638" t="s">
        <v>46</v>
      </c>
      <c r="K3" s="639" t="s">
        <v>47</v>
      </c>
      <c r="L3" s="640" t="s">
        <v>35</v>
      </c>
      <c r="M3" s="660" t="s">
        <v>46</v>
      </c>
      <c r="N3" s="639" t="s">
        <v>205</v>
      </c>
      <c r="O3" s="640" t="s">
        <v>201</v>
      </c>
      <c r="P3" s="638" t="s">
        <v>206</v>
      </c>
      <c r="Q3" s="640" t="s">
        <v>201</v>
      </c>
      <c r="R3" s="641" t="s">
        <v>207</v>
      </c>
      <c r="S3" s="642" t="s">
        <v>208</v>
      </c>
      <c r="T3" s="660" t="s">
        <v>48</v>
      </c>
      <c r="U3" s="660"/>
      <c r="V3" s="661" t="s">
        <v>49</v>
      </c>
      <c r="W3" s="637" t="s">
        <v>209</v>
      </c>
      <c r="X3" s="660" t="s">
        <v>210</v>
      </c>
      <c r="Y3" s="660"/>
      <c r="Z3" s="662" t="s">
        <v>211</v>
      </c>
      <c r="AA3" s="663"/>
      <c r="AB3" s="647" t="s">
        <v>212</v>
      </c>
      <c r="AC3" s="648"/>
      <c r="AD3" s="649" t="s">
        <v>213</v>
      </c>
      <c r="AE3" s="650"/>
      <c r="AF3" s="639" t="s">
        <v>205</v>
      </c>
      <c r="AG3" s="641" t="s">
        <v>207</v>
      </c>
      <c r="AH3" s="642" t="s">
        <v>208</v>
      </c>
    </row>
    <row r="4" spans="1:34" ht="30.6" customHeight="1">
      <c r="A4" s="645"/>
      <c r="B4" s="644"/>
      <c r="C4" s="646"/>
      <c r="D4" s="644"/>
      <c r="E4" s="644"/>
      <c r="F4" s="646"/>
      <c r="G4" s="660"/>
      <c r="H4" s="646"/>
      <c r="I4" s="637"/>
      <c r="J4" s="638"/>
      <c r="K4" s="639"/>
      <c r="L4" s="640"/>
      <c r="M4" s="660"/>
      <c r="N4" s="639"/>
      <c r="O4" s="640"/>
      <c r="P4" s="638"/>
      <c r="Q4" s="640"/>
      <c r="R4" s="641"/>
      <c r="S4" s="642"/>
      <c r="T4" s="337" t="s">
        <v>50</v>
      </c>
      <c r="U4" s="337" t="s">
        <v>51</v>
      </c>
      <c r="V4" s="660"/>
      <c r="W4" s="637"/>
      <c r="X4" s="331" t="s">
        <v>214</v>
      </c>
      <c r="Y4" s="331" t="s">
        <v>36</v>
      </c>
      <c r="Z4" s="337" t="s">
        <v>215</v>
      </c>
      <c r="AA4" s="337" t="s">
        <v>216</v>
      </c>
      <c r="AB4" s="648"/>
      <c r="AC4" s="648"/>
      <c r="AD4" s="337" t="s">
        <v>217</v>
      </c>
      <c r="AE4" s="39" t="s">
        <v>218</v>
      </c>
      <c r="AF4" s="639"/>
      <c r="AG4" s="641"/>
      <c r="AH4" s="642"/>
    </row>
    <row r="5" spans="1:34" ht="18.75" customHeight="1">
      <c r="A5" s="655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5172.2999999999993</v>
      </c>
      <c r="H5" s="45">
        <f t="shared" ref="H5:H16" si="0">F5*G5</f>
        <v>195668.10899999997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1" si="1">G5/W5*60</f>
        <v>2387.2153846153838</v>
      </c>
      <c r="O5" s="47">
        <f t="shared" ref="O5:O11" si="2">N5/M5</f>
        <v>119.36076923076919</v>
      </c>
      <c r="P5" s="48">
        <f t="shared" ref="P5:P11" si="3">M5-J5</f>
        <v>0</v>
      </c>
      <c r="Q5" s="49">
        <f t="shared" ref="Q5:Q11" si="4">O5-L5</f>
        <v>-0.63923076923080657</v>
      </c>
      <c r="R5" s="335">
        <f t="shared" ref="R5:R11" si="5">O5/L5</f>
        <v>0.9946730769230766</v>
      </c>
      <c r="S5" s="658">
        <f>R17</f>
        <v>0.94109728946417814</v>
      </c>
      <c r="T5" s="89">
        <v>0.25</v>
      </c>
      <c r="U5" s="89">
        <v>0.34027777777777779</v>
      </c>
      <c r="V5" s="331">
        <v>5</v>
      </c>
      <c r="W5" s="328">
        <f>(U5-T5)*24*60</f>
        <v>130.00000000000003</v>
      </c>
      <c r="X5" s="331"/>
      <c r="Y5" s="331"/>
      <c r="Z5" s="51"/>
      <c r="AA5" s="51"/>
      <c r="AB5" s="644"/>
      <c r="AC5" s="644"/>
      <c r="AD5" s="52"/>
      <c r="AE5" s="52"/>
      <c r="AF5" s="48">
        <f t="shared" ref="AF5:AF70" si="6">N5-K5</f>
        <v>-12.784615384616245</v>
      </c>
      <c r="AG5" s="335">
        <f t="shared" ref="AG5:AG70" si="7">N5/K5</f>
        <v>0.9946730769230766</v>
      </c>
      <c r="AH5" s="658">
        <f>AG17</f>
        <v>0.94210759668800115</v>
      </c>
    </row>
    <row r="6" spans="1:34" ht="19.2" customHeight="1">
      <c r="A6" s="656"/>
      <c r="B6" s="40" t="s">
        <v>100</v>
      </c>
      <c r="C6" s="41"/>
      <c r="D6" s="42" t="s">
        <v>173</v>
      </c>
      <c r="E6" s="43"/>
      <c r="F6" s="273">
        <v>46.93</v>
      </c>
      <c r="G6" s="44">
        <v>1700</v>
      </c>
      <c r="H6" s="45">
        <f t="shared" si="0"/>
        <v>79781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2217.391304347826</v>
      </c>
      <c r="O6" s="47">
        <f t="shared" si="2"/>
        <v>105.59006211180125</v>
      </c>
      <c r="P6" s="48">
        <f t="shared" si="3"/>
        <v>0</v>
      </c>
      <c r="Q6" s="49">
        <f t="shared" si="4"/>
        <v>-8.6956521739130466</v>
      </c>
      <c r="R6" s="335">
        <f t="shared" si="5"/>
        <v>0.92391304347826086</v>
      </c>
      <c r="S6" s="658"/>
      <c r="T6" s="89">
        <v>0.35555555555555557</v>
      </c>
      <c r="U6" s="89">
        <v>0.38750000000000001</v>
      </c>
      <c r="V6" s="331">
        <v>22</v>
      </c>
      <c r="W6" s="328">
        <f t="shared" ref="W6:W17" si="8">(U6-T6)*24*60</f>
        <v>46</v>
      </c>
      <c r="X6" s="53">
        <v>0.3444444444444445</v>
      </c>
      <c r="Y6" s="53">
        <v>0.35416666666666669</v>
      </c>
      <c r="Z6" s="54"/>
      <c r="AA6" s="54"/>
      <c r="AB6" s="644"/>
      <c r="AC6" s="644"/>
      <c r="AD6" s="344"/>
      <c r="AE6" s="344"/>
      <c r="AF6" s="48">
        <f t="shared" si="6"/>
        <v>-182.60869565217399</v>
      </c>
      <c r="AG6" s="335">
        <f t="shared" si="7"/>
        <v>0.92391304347826086</v>
      </c>
      <c r="AH6" s="658"/>
    </row>
    <row r="7" spans="1:34" ht="19.2" customHeight="1">
      <c r="A7" s="656"/>
      <c r="B7" s="40" t="s">
        <v>100</v>
      </c>
      <c r="C7" s="41"/>
      <c r="D7" s="42" t="s">
        <v>153</v>
      </c>
      <c r="E7" s="43"/>
      <c r="F7" s="273">
        <v>28.86</v>
      </c>
      <c r="G7" s="44">
        <v>1623</v>
      </c>
      <c r="H7" s="45">
        <f t="shared" si="0"/>
        <v>46839.78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2375.1219512195112</v>
      </c>
      <c r="O7" s="47">
        <f t="shared" si="2"/>
        <v>139.7130559540889</v>
      </c>
      <c r="P7" s="48">
        <f t="shared" si="3"/>
        <v>0</v>
      </c>
      <c r="Q7" s="49">
        <f t="shared" si="4"/>
        <v>-11.522238163558171</v>
      </c>
      <c r="R7" s="335">
        <f t="shared" si="5"/>
        <v>0.92381250533625481</v>
      </c>
      <c r="S7" s="658"/>
      <c r="T7" s="89">
        <v>0.3923611111111111</v>
      </c>
      <c r="U7" s="89">
        <v>0.42083333333333334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644"/>
      <c r="AC7" s="644"/>
      <c r="AD7" s="344"/>
      <c r="AE7" s="344"/>
      <c r="AF7" s="48">
        <f t="shared" si="6"/>
        <v>-195.87804878048883</v>
      </c>
      <c r="AG7" s="335">
        <f t="shared" si="7"/>
        <v>0.92381250533625481</v>
      </c>
      <c r="AH7" s="658"/>
    </row>
    <row r="8" spans="1:34" ht="19.2" customHeight="1">
      <c r="A8" s="656"/>
      <c r="B8" s="40" t="s">
        <v>100</v>
      </c>
      <c r="C8" s="41"/>
      <c r="D8" s="42" t="s">
        <v>167</v>
      </c>
      <c r="E8" s="43"/>
      <c r="F8" s="273">
        <v>35.89</v>
      </c>
      <c r="G8" s="44">
        <v>2280</v>
      </c>
      <c r="H8" s="45">
        <f t="shared" si="0"/>
        <v>81829.2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2399.9999999999982</v>
      </c>
      <c r="O8" s="47">
        <f t="shared" si="2"/>
        <v>133.33333333333323</v>
      </c>
      <c r="P8" s="48">
        <f t="shared" si="3"/>
        <v>0</v>
      </c>
      <c r="Q8" s="49">
        <f t="shared" si="4"/>
        <v>-9.5000000000001137</v>
      </c>
      <c r="R8" s="335">
        <f t="shared" si="5"/>
        <v>0.93348891481913576</v>
      </c>
      <c r="S8" s="658"/>
      <c r="T8" s="89">
        <v>0.42499999999999999</v>
      </c>
      <c r="U8" s="89">
        <v>0.46458333333333335</v>
      </c>
      <c r="V8" s="331">
        <v>6</v>
      </c>
      <c r="W8" s="328">
        <f t="shared" si="8"/>
        <v>57.000000000000036</v>
      </c>
      <c r="X8" s="53"/>
      <c r="Y8" s="53"/>
      <c r="Z8" s="54"/>
      <c r="AA8" s="54"/>
      <c r="AB8" s="644"/>
      <c r="AC8" s="644"/>
      <c r="AD8" s="344"/>
      <c r="AE8" s="344"/>
      <c r="AF8" s="48">
        <f t="shared" si="6"/>
        <v>-171.00000000000182</v>
      </c>
      <c r="AG8" s="335">
        <f t="shared" si="7"/>
        <v>0.93348891481913576</v>
      </c>
      <c r="AH8" s="658"/>
    </row>
    <row r="9" spans="1:34" ht="19.2" customHeight="1">
      <c r="A9" s="656"/>
      <c r="B9" s="40" t="s">
        <v>100</v>
      </c>
      <c r="C9" s="55"/>
      <c r="D9" s="42" t="s">
        <v>53</v>
      </c>
      <c r="E9" s="56"/>
      <c r="F9" s="273">
        <v>31.11</v>
      </c>
      <c r="G9" s="57">
        <v>2629</v>
      </c>
      <c r="H9" s="45">
        <f t="shared" si="0"/>
        <v>81788.19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2544.1935483870989</v>
      </c>
      <c r="O9" s="47">
        <f t="shared" si="2"/>
        <v>141.34408602150549</v>
      </c>
      <c r="P9" s="48">
        <f t="shared" si="3"/>
        <v>0</v>
      </c>
      <c r="Q9" s="49">
        <f t="shared" si="4"/>
        <v>-12.489247311827853</v>
      </c>
      <c r="R9" s="335">
        <f t="shared" si="5"/>
        <v>0.91881312690036065</v>
      </c>
      <c r="S9" s="658"/>
      <c r="T9" s="89">
        <v>0.50486111111111109</v>
      </c>
      <c r="U9" s="89">
        <v>0.54791666666666661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644"/>
      <c r="AC9" s="644"/>
      <c r="AD9" s="344"/>
      <c r="AE9" s="344"/>
      <c r="AF9" s="48">
        <f t="shared" si="6"/>
        <v>-224.80645161290113</v>
      </c>
      <c r="AG9" s="335">
        <f t="shared" si="7"/>
        <v>0.91881312690036077</v>
      </c>
      <c r="AH9" s="658"/>
    </row>
    <row r="10" spans="1:34" ht="19.2" customHeight="1">
      <c r="A10" s="65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3437</v>
      </c>
      <c r="H10" s="45">
        <f t="shared" si="0"/>
        <v>132255.75999999998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2545.9259259259252</v>
      </c>
      <c r="O10" s="47">
        <f t="shared" si="2"/>
        <v>133.99610136452239</v>
      </c>
      <c r="P10" s="48">
        <f t="shared" si="3"/>
        <v>0</v>
      </c>
      <c r="Q10" s="49">
        <f t="shared" si="4"/>
        <v>-11.740740740740762</v>
      </c>
      <c r="R10" s="335">
        <f t="shared" si="5"/>
        <v>0.91943875981434653</v>
      </c>
      <c r="S10" s="659"/>
      <c r="T10" s="89">
        <v>0.5527777777777777</v>
      </c>
      <c r="U10" s="89">
        <v>0.60902777777777772</v>
      </c>
      <c r="V10" s="331">
        <v>7</v>
      </c>
      <c r="W10" s="328">
        <f t="shared" si="8"/>
        <v>81.000000000000028</v>
      </c>
      <c r="X10" s="53"/>
      <c r="Y10" s="53"/>
      <c r="Z10" s="54"/>
      <c r="AA10" s="54"/>
      <c r="AB10" s="644"/>
      <c r="AC10" s="644"/>
      <c r="AD10" s="344"/>
      <c r="AE10" s="344"/>
      <c r="AF10" s="48">
        <f t="shared" si="6"/>
        <v>-223.07407407407482</v>
      </c>
      <c r="AG10" s="335">
        <f t="shared" si="7"/>
        <v>0.91943875981434642</v>
      </c>
      <c r="AH10" s="659"/>
    </row>
    <row r="11" spans="1:34" ht="19.2" customHeight="1">
      <c r="A11" s="657"/>
      <c r="B11" s="40" t="s">
        <v>100</v>
      </c>
      <c r="C11" s="41"/>
      <c r="D11" s="42" t="s">
        <v>52</v>
      </c>
      <c r="E11" s="43"/>
      <c r="F11" s="273">
        <v>37.83</v>
      </c>
      <c r="G11" s="44">
        <v>2216.6999999999998</v>
      </c>
      <c r="H11" s="45">
        <f t="shared" si="0"/>
        <v>83857.760999999984</v>
      </c>
      <c r="I11" s="328"/>
      <c r="J11" s="46">
        <v>20</v>
      </c>
      <c r="K11" s="44">
        <v>2400</v>
      </c>
      <c r="L11" s="47">
        <v>120</v>
      </c>
      <c r="M11" s="329">
        <v>20</v>
      </c>
      <c r="N11" s="44">
        <f t="shared" si="1"/>
        <v>2375.035714285716</v>
      </c>
      <c r="O11" s="47">
        <f t="shared" si="2"/>
        <v>118.7517857142858</v>
      </c>
      <c r="P11" s="48">
        <f t="shared" si="3"/>
        <v>0</v>
      </c>
      <c r="Q11" s="49">
        <f t="shared" si="4"/>
        <v>-1.248214285714198</v>
      </c>
      <c r="R11" s="335">
        <f t="shared" si="5"/>
        <v>0.98959821428571504</v>
      </c>
      <c r="S11" s="659"/>
      <c r="T11" s="89">
        <v>0.61458333333333326</v>
      </c>
      <c r="U11" s="89">
        <v>0.65347222222222212</v>
      </c>
      <c r="V11" s="331">
        <v>8</v>
      </c>
      <c r="W11" s="328">
        <f t="shared" si="8"/>
        <v>55.999999999999957</v>
      </c>
      <c r="X11" s="53"/>
      <c r="Y11" s="53"/>
      <c r="Z11" s="54"/>
      <c r="AA11" s="54"/>
      <c r="AB11" s="644"/>
      <c r="AC11" s="644"/>
      <c r="AD11" s="344"/>
      <c r="AE11" s="344"/>
      <c r="AF11" s="48">
        <f t="shared" si="6"/>
        <v>-24.96428571428396</v>
      </c>
      <c r="AG11" s="335">
        <f t="shared" si="7"/>
        <v>0.98959821428571504</v>
      </c>
      <c r="AH11" s="659"/>
    </row>
    <row r="12" spans="1:34" ht="19.2" customHeight="1">
      <c r="A12" s="65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659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644"/>
      <c r="AC12" s="644"/>
      <c r="AD12" s="344"/>
      <c r="AE12" s="344"/>
      <c r="AF12" s="48">
        <f t="shared" si="6"/>
        <v>0</v>
      </c>
      <c r="AG12" s="335" t="e">
        <f t="shared" si="7"/>
        <v>#DIV/0!</v>
      </c>
      <c r="AH12" s="659"/>
    </row>
    <row r="13" spans="1:34" ht="19.2" customHeight="1">
      <c r="A13" s="65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659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644"/>
      <c r="AC13" s="644"/>
      <c r="AD13" s="344"/>
      <c r="AE13" s="344"/>
      <c r="AF13" s="48">
        <f t="shared" si="6"/>
        <v>0</v>
      </c>
      <c r="AG13" s="335" t="e">
        <f t="shared" si="7"/>
        <v>#DIV/0!</v>
      </c>
      <c r="AH13" s="659"/>
    </row>
    <row r="14" spans="1:34" ht="19.2" customHeight="1">
      <c r="A14" s="65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659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644"/>
      <c r="AC14" s="644"/>
      <c r="AD14" s="344"/>
      <c r="AE14" s="344"/>
      <c r="AF14" s="48">
        <f t="shared" si="6"/>
        <v>0</v>
      </c>
      <c r="AG14" s="335" t="e">
        <f t="shared" si="7"/>
        <v>#DIV/0!</v>
      </c>
      <c r="AH14" s="659"/>
    </row>
    <row r="15" spans="1:34" ht="19.2" customHeight="1">
      <c r="A15" s="65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659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644"/>
      <c r="AC15" s="644"/>
      <c r="AD15" s="344"/>
      <c r="AE15" s="344"/>
      <c r="AF15" s="48">
        <f t="shared" si="6"/>
        <v>0</v>
      </c>
      <c r="AG15" s="335" t="e">
        <f t="shared" si="7"/>
        <v>#DIV/0!</v>
      </c>
      <c r="AH15" s="659"/>
    </row>
    <row r="16" spans="1:34" ht="19.2" customHeight="1">
      <c r="A16" s="65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659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644"/>
      <c r="AC16" s="644"/>
      <c r="AD16" s="344"/>
      <c r="AE16" s="344"/>
      <c r="AF16" s="48">
        <f t="shared" si="6"/>
        <v>0</v>
      </c>
      <c r="AG16" s="335" t="e">
        <f t="shared" si="7"/>
        <v>#DIV/0!</v>
      </c>
      <c r="AH16" s="659"/>
    </row>
    <row r="17" spans="1:34" ht="19.2" customHeight="1">
      <c r="A17" s="657"/>
      <c r="B17" s="69">
        <v>0</v>
      </c>
      <c r="C17" s="69" t="s">
        <v>220</v>
      </c>
      <c r="D17" s="664" t="s">
        <v>221</v>
      </c>
      <c r="E17" s="664"/>
      <c r="F17" s="274"/>
      <c r="G17" s="70"/>
      <c r="H17" s="71"/>
      <c r="I17" s="72"/>
      <c r="J17" s="70">
        <v>19</v>
      </c>
      <c r="K17" s="70">
        <v>2554.2857142857142</v>
      </c>
      <c r="L17" s="73">
        <v>135.41778816789875</v>
      </c>
      <c r="M17" s="101">
        <f t="shared" ref="M17:O17" si="9">AVERAGE(M5:M16)</f>
        <v>19</v>
      </c>
      <c r="N17" s="70">
        <f t="shared" si="9"/>
        <v>2406.4119755402085</v>
      </c>
      <c r="O17" s="73">
        <f t="shared" si="9"/>
        <v>127.44131339004376</v>
      </c>
      <c r="P17" s="65">
        <f t="shared" ref="P17:P23" si="10">M17-J17</f>
        <v>0</v>
      </c>
      <c r="Q17" s="74">
        <f t="shared" ref="Q17:Q23" si="11">O17-L17</f>
        <v>-7.9764747778549889</v>
      </c>
      <c r="R17" s="75">
        <f>O17/L17</f>
        <v>0.94109728946417814</v>
      </c>
      <c r="S17" s="659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44"/>
      <c r="AC17" s="644"/>
      <c r="AD17" s="79">
        <f>SUM(AD5:AD16)</f>
        <v>0</v>
      </c>
      <c r="AE17" s="79">
        <f>SUM(AE5:AE16)</f>
        <v>0</v>
      </c>
      <c r="AF17" s="65">
        <f t="shared" si="6"/>
        <v>-147.87373874550576</v>
      </c>
      <c r="AG17" s="336">
        <f t="shared" si="7"/>
        <v>0.94210759668800115</v>
      </c>
      <c r="AH17" s="659"/>
    </row>
    <row r="18" spans="1:34" ht="19.2" customHeight="1">
      <c r="A18" s="66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511</v>
      </c>
      <c r="H18" s="84">
        <f t="shared" ref="H18:H29" si="12">F18*G18</f>
        <v>14052.5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1333.0434782608695</v>
      </c>
      <c r="O18" s="86">
        <f t="shared" ref="O18:O23" si="14">N18/M18</f>
        <v>111.08695652173913</v>
      </c>
      <c r="P18" s="54">
        <f t="shared" si="10"/>
        <v>0</v>
      </c>
      <c r="Q18" s="88">
        <f t="shared" si="11"/>
        <v>-55.579710144927532</v>
      </c>
      <c r="R18" s="338">
        <f t="shared" ref="R18:R23" si="15">O18/L18</f>
        <v>0.66652173913043478</v>
      </c>
      <c r="S18" s="667">
        <f>R30</f>
        <v>0.84976911342118233</v>
      </c>
      <c r="T18" s="89">
        <v>0.16666666666666666</v>
      </c>
      <c r="U18" s="89">
        <v>0.18263888888888888</v>
      </c>
      <c r="V18" s="344">
        <v>5</v>
      </c>
      <c r="W18" s="90">
        <f>(U18-T18)*24*60</f>
        <v>23</v>
      </c>
      <c r="X18" s="86"/>
      <c r="Y18" s="86"/>
      <c r="Z18" s="54"/>
      <c r="AA18" s="54"/>
      <c r="AB18" s="644"/>
      <c r="AC18" s="644"/>
      <c r="AD18" s="344"/>
      <c r="AE18" s="344"/>
      <c r="AF18" s="91">
        <f t="shared" si="6"/>
        <v>-666.95652173913049</v>
      </c>
      <c r="AG18" s="92">
        <f t="shared" si="7"/>
        <v>0.66652173913043478</v>
      </c>
      <c r="AH18" s="668">
        <f>AG30</f>
        <v>0.87599748410652545</v>
      </c>
    </row>
    <row r="19" spans="1:34" ht="19.2" customHeight="1">
      <c r="A19" s="666"/>
      <c r="B19" s="342" t="s">
        <v>103</v>
      </c>
      <c r="C19" s="341"/>
      <c r="D19" s="82" t="s">
        <v>60</v>
      </c>
      <c r="E19" s="83"/>
      <c r="F19" s="273">
        <v>43.14</v>
      </c>
      <c r="G19" s="57">
        <v>1583.2</v>
      </c>
      <c r="H19" s="84">
        <f t="shared" si="12"/>
        <v>68299.248000000007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1376.695652173913</v>
      </c>
      <c r="O19" s="95">
        <f t="shared" si="14"/>
        <v>80.98209718670077</v>
      </c>
      <c r="P19" s="54">
        <f t="shared" si="10"/>
        <v>0</v>
      </c>
      <c r="Q19" s="88">
        <f t="shared" si="11"/>
        <v>-7.253196930946288</v>
      </c>
      <c r="R19" s="338">
        <f t="shared" si="15"/>
        <v>0.9177971014492754</v>
      </c>
      <c r="S19" s="667"/>
      <c r="T19" s="89">
        <v>0.18680555555555556</v>
      </c>
      <c r="U19" s="89">
        <v>0.23472222222222222</v>
      </c>
      <c r="V19" s="344">
        <v>6</v>
      </c>
      <c r="W19" s="90">
        <f>(U19-T19)*24*60</f>
        <v>69</v>
      </c>
      <c r="X19" s="96"/>
      <c r="Y19" s="96"/>
      <c r="Z19" s="54"/>
      <c r="AA19" s="54"/>
      <c r="AB19" s="644"/>
      <c r="AC19" s="644"/>
      <c r="AD19" s="344"/>
      <c r="AE19" s="344"/>
      <c r="AF19" s="48">
        <f t="shared" si="6"/>
        <v>-123.304347826087</v>
      </c>
      <c r="AG19" s="335">
        <f t="shared" si="7"/>
        <v>0.91779710144927529</v>
      </c>
      <c r="AH19" s="669"/>
    </row>
    <row r="20" spans="1:34" ht="19.2" customHeight="1">
      <c r="A20" s="666"/>
      <c r="B20" s="342" t="s">
        <v>102</v>
      </c>
      <c r="C20" s="55"/>
      <c r="D20" s="42" t="s">
        <v>164</v>
      </c>
      <c r="E20" s="83"/>
      <c r="F20" s="273">
        <v>50.67</v>
      </c>
      <c r="G20" s="57">
        <v>3778</v>
      </c>
      <c r="H20" s="84">
        <f t="shared" si="12"/>
        <v>191431.26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1399.2592592592594</v>
      </c>
      <c r="O20" s="95">
        <f t="shared" si="14"/>
        <v>73.645224171539965</v>
      </c>
      <c r="P20" s="54">
        <f t="shared" si="10"/>
        <v>0</v>
      </c>
      <c r="Q20" s="88">
        <f t="shared" si="11"/>
        <v>-5.3021442495126649</v>
      </c>
      <c r="R20" s="338">
        <f t="shared" si="15"/>
        <v>0.93283950617283962</v>
      </c>
      <c r="S20" s="667"/>
      <c r="T20" s="89">
        <v>0.25</v>
      </c>
      <c r="U20" s="89">
        <v>0.36249999999999999</v>
      </c>
      <c r="V20" s="344">
        <v>22</v>
      </c>
      <c r="W20" s="90">
        <f t="shared" ref="W20:W29" si="16">(U20-T20)*24*60</f>
        <v>161.99999999999997</v>
      </c>
      <c r="X20" s="96">
        <v>0.2388888888888889</v>
      </c>
      <c r="Y20" s="96">
        <v>0.24861111111111112</v>
      </c>
      <c r="Z20" s="54"/>
      <c r="AA20" s="54"/>
      <c r="AB20" s="644"/>
      <c r="AC20" s="644"/>
      <c r="AD20" s="344"/>
      <c r="AE20" s="344"/>
      <c r="AF20" s="91">
        <f t="shared" si="6"/>
        <v>-100.74074074074065</v>
      </c>
      <c r="AG20" s="92">
        <f t="shared" si="7"/>
        <v>0.93283950617283962</v>
      </c>
      <c r="AH20" s="669"/>
    </row>
    <row r="21" spans="1:34" ht="19.2" customHeight="1">
      <c r="A21" s="666"/>
      <c r="B21" s="342" t="s">
        <v>102</v>
      </c>
      <c r="C21" s="97"/>
      <c r="D21" s="98" t="s">
        <v>149</v>
      </c>
      <c r="E21" s="43"/>
      <c r="F21" s="273">
        <v>49.91</v>
      </c>
      <c r="G21" s="44">
        <v>3372</v>
      </c>
      <c r="H21" s="84">
        <f t="shared" si="12"/>
        <v>168296.52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1466.0869565217392</v>
      </c>
      <c r="O21" s="95">
        <f t="shared" si="14"/>
        <v>86.240409207161136</v>
      </c>
      <c r="P21" s="54">
        <f t="shared" si="10"/>
        <v>0</v>
      </c>
      <c r="Q21" s="88">
        <f t="shared" si="11"/>
        <v>-5.8184143222506322</v>
      </c>
      <c r="R21" s="338">
        <f t="shared" si="15"/>
        <v>0.93679677733018485</v>
      </c>
      <c r="S21" s="667"/>
      <c r="T21" s="89">
        <v>0.36736111111111108</v>
      </c>
      <c r="U21" s="89">
        <v>0.46319444444444441</v>
      </c>
      <c r="V21" s="344">
        <v>7</v>
      </c>
      <c r="W21" s="90">
        <f t="shared" si="16"/>
        <v>138</v>
      </c>
      <c r="X21" s="96"/>
      <c r="Y21" s="96"/>
      <c r="Z21" s="54"/>
      <c r="AA21" s="54"/>
      <c r="AB21" s="644"/>
      <c r="AC21" s="644"/>
      <c r="AD21" s="344"/>
      <c r="AE21" s="344"/>
      <c r="AF21" s="48">
        <f t="shared" si="6"/>
        <v>-98.913043478260761</v>
      </c>
      <c r="AG21" s="335">
        <f t="shared" si="7"/>
        <v>0.93679677733018485</v>
      </c>
      <c r="AH21" s="670"/>
    </row>
    <row r="22" spans="1:34" ht="19.2" customHeight="1">
      <c r="A22" s="66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4675</v>
      </c>
      <c r="H22" s="84">
        <f t="shared" si="12"/>
        <v>176715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2527.0270270270289</v>
      </c>
      <c r="O22" s="95">
        <f t="shared" si="14"/>
        <v>126.35135135135144</v>
      </c>
      <c r="P22" s="54">
        <f t="shared" si="10"/>
        <v>0</v>
      </c>
      <c r="Q22" s="88">
        <f t="shared" si="11"/>
        <v>-12.098648648648549</v>
      </c>
      <c r="R22" s="338">
        <f t="shared" si="15"/>
        <v>0.91261358866992737</v>
      </c>
      <c r="S22" s="667"/>
      <c r="T22" s="89">
        <v>0.50347222222222221</v>
      </c>
      <c r="U22" s="89">
        <v>0.58055555555555549</v>
      </c>
      <c r="V22" s="344">
        <v>5</v>
      </c>
      <c r="W22" s="90">
        <f t="shared" si="16"/>
        <v>110.99999999999993</v>
      </c>
      <c r="X22" s="96"/>
      <c r="Y22" s="96"/>
      <c r="Z22" s="54"/>
      <c r="AA22" s="54"/>
      <c r="AB22" s="644"/>
      <c r="AC22" s="644"/>
      <c r="AD22" s="344"/>
      <c r="AE22" s="344">
        <v>1</v>
      </c>
      <c r="AF22" s="91">
        <f t="shared" si="6"/>
        <v>-241.97297297297109</v>
      </c>
      <c r="AG22" s="92">
        <f t="shared" si="7"/>
        <v>0.91261358866992737</v>
      </c>
      <c r="AH22" s="670"/>
    </row>
    <row r="23" spans="1:34" ht="19.2" customHeight="1">
      <c r="A23" s="666"/>
      <c r="B23" s="342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33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2176.8421052631597</v>
      </c>
      <c r="O23" s="95">
        <f t="shared" si="14"/>
        <v>114.57063711911367</v>
      </c>
      <c r="P23" s="54">
        <f t="shared" si="10"/>
        <v>1</v>
      </c>
      <c r="Q23" s="88">
        <f t="shared" si="11"/>
        <v>-18.762696214219673</v>
      </c>
      <c r="R23" s="338">
        <f t="shared" si="15"/>
        <v>0.85927977839335246</v>
      </c>
      <c r="S23" s="667"/>
      <c r="T23" s="89">
        <v>0.58611111111111103</v>
      </c>
      <c r="U23" s="89">
        <v>0.62569444444444433</v>
      </c>
      <c r="V23" s="344">
        <v>8</v>
      </c>
      <c r="W23" s="90">
        <f t="shared" si="16"/>
        <v>56.999999999999957</v>
      </c>
      <c r="X23" s="96"/>
      <c r="Y23" s="96"/>
      <c r="Z23" s="54"/>
      <c r="AA23" s="54"/>
      <c r="AB23" s="644"/>
      <c r="AC23" s="644"/>
      <c r="AD23" s="344">
        <v>1</v>
      </c>
      <c r="AE23" s="344"/>
      <c r="AF23" s="48">
        <f t="shared" si="6"/>
        <v>-223.15789473684026</v>
      </c>
      <c r="AG23" s="335">
        <f t="shared" si="7"/>
        <v>0.90701754385964994</v>
      </c>
      <c r="AH23" s="670"/>
    </row>
    <row r="24" spans="1:34" ht="19.2" customHeight="1">
      <c r="A24" s="66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66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644"/>
      <c r="AC24" s="644"/>
      <c r="AD24" s="344"/>
      <c r="AE24" s="344"/>
      <c r="AF24" s="91">
        <f t="shared" si="6"/>
        <v>0</v>
      </c>
      <c r="AG24" s="92" t="e">
        <f t="shared" si="7"/>
        <v>#DIV/0!</v>
      </c>
      <c r="AH24" s="670"/>
    </row>
    <row r="25" spans="1:34" ht="19.2" customHeight="1">
      <c r="A25" s="66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66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644"/>
      <c r="AC25" s="644"/>
      <c r="AD25" s="344"/>
      <c r="AE25" s="344"/>
      <c r="AF25" s="48">
        <f t="shared" si="6"/>
        <v>0</v>
      </c>
      <c r="AG25" s="335" t="e">
        <f t="shared" si="7"/>
        <v>#DIV/0!</v>
      </c>
      <c r="AH25" s="670"/>
    </row>
    <row r="26" spans="1:34" ht="19.2" customHeight="1">
      <c r="A26" s="66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66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644"/>
      <c r="AC26" s="644"/>
      <c r="AD26" s="344"/>
      <c r="AE26" s="344"/>
      <c r="AF26" s="91">
        <f t="shared" si="6"/>
        <v>0</v>
      </c>
      <c r="AG26" s="92" t="e">
        <f t="shared" si="7"/>
        <v>#DIV/0!</v>
      </c>
      <c r="AH26" s="670"/>
    </row>
    <row r="27" spans="1:34" ht="19.2" customHeight="1">
      <c r="A27" s="66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66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644"/>
      <c r="AC27" s="644"/>
      <c r="AD27" s="344"/>
      <c r="AE27" s="344"/>
      <c r="AF27" s="48">
        <f t="shared" si="6"/>
        <v>0</v>
      </c>
      <c r="AG27" s="335" t="e">
        <f t="shared" si="7"/>
        <v>#DIV/0!</v>
      </c>
      <c r="AH27" s="670"/>
    </row>
    <row r="28" spans="1:34" ht="19.2" customHeight="1">
      <c r="A28" s="66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66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644"/>
      <c r="AC28" s="644"/>
      <c r="AD28" s="344"/>
      <c r="AE28" s="344"/>
      <c r="AF28" s="91">
        <f t="shared" si="6"/>
        <v>0</v>
      </c>
      <c r="AG28" s="92" t="e">
        <f t="shared" si="7"/>
        <v>#DIV/0!</v>
      </c>
      <c r="AH28" s="670"/>
    </row>
    <row r="29" spans="1:34" ht="19.2" customHeight="1">
      <c r="A29" s="66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66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644"/>
      <c r="AC29" s="644"/>
      <c r="AD29" s="344"/>
      <c r="AE29" s="344"/>
      <c r="AF29" s="48">
        <f t="shared" si="6"/>
        <v>0</v>
      </c>
      <c r="AG29" s="335"/>
      <c r="AH29" s="670"/>
    </row>
    <row r="30" spans="1:34" ht="19.2" customHeight="1">
      <c r="A30" s="666"/>
      <c r="B30" s="99">
        <v>0</v>
      </c>
      <c r="C30" s="100" t="s">
        <v>223</v>
      </c>
      <c r="D30" s="665" t="s">
        <v>221</v>
      </c>
      <c r="E30" s="665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116.28191434468523</v>
      </c>
      <c r="M30" s="101">
        <f t="shared" ref="M30:O30" si="17">AVERAGE(M18:M29)</f>
        <v>17.333333333333332</v>
      </c>
      <c r="N30" s="101">
        <f t="shared" si="17"/>
        <v>1713.159079750995</v>
      </c>
      <c r="O30" s="104">
        <f t="shared" si="17"/>
        <v>98.812779259601029</v>
      </c>
      <c r="P30" s="54">
        <f t="shared" ref="P30:P38" si="18">M30-J30</f>
        <v>0.1666666666666643</v>
      </c>
      <c r="Q30" s="88">
        <f t="shared" ref="Q30:Q38" si="19">O30-L30</f>
        <v>-17.469135085084204</v>
      </c>
      <c r="R30" s="105">
        <f t="shared" ref="R30:R38" si="20">O30/L30</f>
        <v>0.84976911342118233</v>
      </c>
      <c r="S30" s="66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44"/>
      <c r="AC30" s="644"/>
      <c r="AD30" s="107">
        <f>SUM(AD18:AD29)</f>
        <v>1</v>
      </c>
      <c r="AE30" s="107">
        <f>SUM(AE18:AE29)</f>
        <v>1</v>
      </c>
      <c r="AF30" s="108">
        <f t="shared" si="6"/>
        <v>-242.50758691567171</v>
      </c>
      <c r="AG30" s="109">
        <f t="shared" ref="AG30" si="21">N30/K30</f>
        <v>0.87599748410652545</v>
      </c>
      <c r="AH30" s="671"/>
    </row>
    <row r="31" spans="1:34" ht="19.2" customHeight="1">
      <c r="A31" s="674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2601</v>
      </c>
      <c r="H31" s="112">
        <f t="shared" ref="H31:H40" si="22">F31*G31</f>
        <v>68926.5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1472.2641509433959</v>
      </c>
      <c r="O31" s="115">
        <f t="shared" ref="O31:O38" si="24">N31/M31</f>
        <v>122.68867924528298</v>
      </c>
      <c r="P31" s="116">
        <f t="shared" si="18"/>
        <v>0</v>
      </c>
      <c r="Q31" s="117">
        <f t="shared" si="19"/>
        <v>-43.977987421383673</v>
      </c>
      <c r="R31" s="339">
        <f t="shared" si="20"/>
        <v>0.7361320754716979</v>
      </c>
      <c r="S31" s="676">
        <f>R43</f>
        <v>0.8765068641891256</v>
      </c>
      <c r="T31" s="118">
        <v>0.125</v>
      </c>
      <c r="U31" s="118">
        <v>0.19861111111111113</v>
      </c>
      <c r="V31" s="142">
        <v>5</v>
      </c>
      <c r="W31" s="119">
        <f t="shared" ref="W31:W42" si="25">(U31-T31)*24*60</f>
        <v>106.00000000000003</v>
      </c>
      <c r="X31" s="52"/>
      <c r="Y31" s="52"/>
      <c r="Z31" s="51"/>
      <c r="AA31" s="51"/>
      <c r="AB31" s="644"/>
      <c r="AC31" s="644"/>
      <c r="AD31" s="52"/>
      <c r="AE31" s="52"/>
      <c r="AF31" s="116">
        <f t="shared" si="6"/>
        <v>-527.73584905660414</v>
      </c>
      <c r="AG31" s="120">
        <f t="shared" si="7"/>
        <v>0.7361320754716979</v>
      </c>
      <c r="AH31" s="672">
        <f>AG43</f>
        <v>0.87762589491209153</v>
      </c>
    </row>
    <row r="32" spans="1:34" ht="19.2" customHeight="1">
      <c r="A32" s="67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2281.5</v>
      </c>
      <c r="H32" s="84">
        <f t="shared" si="22"/>
        <v>78095.744999999995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2074.090909090909</v>
      </c>
      <c r="O32" s="47">
        <f t="shared" si="24"/>
        <v>159.54545454545453</v>
      </c>
      <c r="P32" s="116">
        <f t="shared" si="18"/>
        <v>0</v>
      </c>
      <c r="Q32" s="49">
        <f t="shared" si="19"/>
        <v>-13.531468531468533</v>
      </c>
      <c r="R32" s="335">
        <f t="shared" si="20"/>
        <v>0.92181818181818176</v>
      </c>
      <c r="S32" s="667"/>
      <c r="T32" s="89">
        <v>0.20277777777777781</v>
      </c>
      <c r="U32" s="89">
        <v>0.24861111111111114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644"/>
      <c r="AC32" s="644"/>
      <c r="AD32" s="344"/>
      <c r="AE32" s="344"/>
      <c r="AF32" s="48">
        <f t="shared" si="6"/>
        <v>-175.90909090909099</v>
      </c>
      <c r="AG32" s="335">
        <f t="shared" si="7"/>
        <v>0.92181818181818176</v>
      </c>
      <c r="AH32" s="658"/>
    </row>
    <row r="33" spans="1:34" ht="19.2" customHeight="1">
      <c r="A33" s="675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2278.25</v>
      </c>
      <c r="H33" s="84">
        <f t="shared" si="22"/>
        <v>77984.497499999998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2102.9999999999995</v>
      </c>
      <c r="O33" s="47">
        <f t="shared" si="24"/>
        <v>161.76923076923075</v>
      </c>
      <c r="P33" s="116">
        <f t="shared" si="18"/>
        <v>0</v>
      </c>
      <c r="Q33" s="49">
        <f t="shared" si="19"/>
        <v>-11.307692307692321</v>
      </c>
      <c r="R33" s="335">
        <f t="shared" si="20"/>
        <v>0.93466666666666653</v>
      </c>
      <c r="S33" s="667"/>
      <c r="T33" s="89">
        <v>0.26458333333333339</v>
      </c>
      <c r="U33" s="89">
        <v>0.30972222222222229</v>
      </c>
      <c r="V33" s="142">
        <v>23</v>
      </c>
      <c r="W33" s="90">
        <f t="shared" si="25"/>
        <v>65.000000000000014</v>
      </c>
      <c r="X33" s="123">
        <v>0.25347222222222221</v>
      </c>
      <c r="Y33" s="123">
        <v>0.2638888888888889</v>
      </c>
      <c r="Z33" s="124"/>
      <c r="AA33" s="124"/>
      <c r="AB33" s="644"/>
      <c r="AC33" s="644"/>
      <c r="AD33" s="344">
        <v>1</v>
      </c>
      <c r="AE33" s="344"/>
      <c r="AF33" s="48">
        <f t="shared" si="6"/>
        <v>-147.00000000000045</v>
      </c>
      <c r="AG33" s="125">
        <f t="shared" si="7"/>
        <v>0.93466666666666642</v>
      </c>
      <c r="AH33" s="658"/>
    </row>
    <row r="34" spans="1:34" ht="19.2" customHeight="1">
      <c r="A34" s="675"/>
      <c r="B34" s="121" t="s">
        <v>102</v>
      </c>
      <c r="C34" s="126"/>
      <c r="D34" s="147" t="s">
        <v>174</v>
      </c>
      <c r="E34" s="83"/>
      <c r="F34" s="273">
        <v>49.91</v>
      </c>
      <c r="G34" s="137">
        <v>2532</v>
      </c>
      <c r="H34" s="84">
        <f t="shared" si="22"/>
        <v>126372.12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1393.7614678899081</v>
      </c>
      <c r="O34" s="47">
        <f t="shared" si="24"/>
        <v>81.985968699406357</v>
      </c>
      <c r="P34" s="116">
        <f t="shared" si="18"/>
        <v>0</v>
      </c>
      <c r="Q34" s="49">
        <f t="shared" si="19"/>
        <v>-10.072854830005411</v>
      </c>
      <c r="R34" s="335">
        <f t="shared" si="20"/>
        <v>0.89058240759738527</v>
      </c>
      <c r="S34" s="667"/>
      <c r="T34" s="89">
        <v>0.31527777777777782</v>
      </c>
      <c r="U34" s="89">
        <v>0.39097222222222228</v>
      </c>
      <c r="V34" s="137">
        <v>8</v>
      </c>
      <c r="W34" s="90">
        <f t="shared" si="25"/>
        <v>109.00000000000001</v>
      </c>
      <c r="X34" s="123"/>
      <c r="Y34" s="123"/>
      <c r="Z34" s="124"/>
      <c r="AA34" s="124"/>
      <c r="AB34" s="644"/>
      <c r="AC34" s="644"/>
      <c r="AD34" s="344"/>
      <c r="AE34" s="344"/>
      <c r="AF34" s="48">
        <f t="shared" si="6"/>
        <v>-171.23853211009191</v>
      </c>
      <c r="AG34" s="125">
        <f t="shared" si="7"/>
        <v>0.89058240759738538</v>
      </c>
      <c r="AH34" s="658"/>
    </row>
    <row r="35" spans="1:34" ht="19.2" customHeight="1">
      <c r="A35" s="675"/>
      <c r="B35" s="121" t="s">
        <v>102</v>
      </c>
      <c r="C35" s="41"/>
      <c r="D35" s="150" t="s">
        <v>168</v>
      </c>
      <c r="E35" s="43"/>
      <c r="F35" s="273">
        <v>44.3</v>
      </c>
      <c r="G35" s="137">
        <v>1721</v>
      </c>
      <c r="H35" s="84">
        <f t="shared" si="22"/>
        <v>76240.299999999988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1376.8000000000006</v>
      </c>
      <c r="O35" s="47">
        <f t="shared" si="24"/>
        <v>76.488888888888923</v>
      </c>
      <c r="P35" s="116">
        <f t="shared" si="18"/>
        <v>0</v>
      </c>
      <c r="Q35" s="49">
        <f t="shared" si="19"/>
        <v>-10.45555555555552</v>
      </c>
      <c r="R35" s="335">
        <f t="shared" si="20"/>
        <v>0.87974440894568728</v>
      </c>
      <c r="S35" s="667"/>
      <c r="T35" s="89">
        <v>0.40625000000000006</v>
      </c>
      <c r="U35" s="89">
        <v>0.45833333333333337</v>
      </c>
      <c r="V35" s="134">
        <v>22</v>
      </c>
      <c r="W35" s="90">
        <f t="shared" si="25"/>
        <v>74.999999999999972</v>
      </c>
      <c r="X35" s="123">
        <v>0.39583333333333331</v>
      </c>
      <c r="Y35" s="123">
        <v>0.4055555555555555</v>
      </c>
      <c r="Z35" s="124"/>
      <c r="AA35" s="124"/>
      <c r="AB35" s="644"/>
      <c r="AC35" s="644"/>
      <c r="AD35" s="344"/>
      <c r="AE35" s="344"/>
      <c r="AF35" s="116">
        <f t="shared" si="6"/>
        <v>-188.19999999999936</v>
      </c>
      <c r="AG35" s="120">
        <f t="shared" si="7"/>
        <v>0.87974440894568728</v>
      </c>
      <c r="AH35" s="659"/>
    </row>
    <row r="36" spans="1:34" ht="19.2" customHeight="1">
      <c r="A36" s="675"/>
      <c r="B36" s="121" t="s">
        <v>100</v>
      </c>
      <c r="C36" s="128"/>
      <c r="D36" s="150" t="s">
        <v>163</v>
      </c>
      <c r="E36" s="83"/>
      <c r="F36" s="273">
        <v>46.93</v>
      </c>
      <c r="G36" s="134">
        <v>801</v>
      </c>
      <c r="H36" s="84">
        <f t="shared" si="22"/>
        <v>37590.93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2089.5652173912972</v>
      </c>
      <c r="O36" s="47">
        <f t="shared" si="24"/>
        <v>109.97711670480511</v>
      </c>
      <c r="P36" s="116">
        <f t="shared" si="18"/>
        <v>0</v>
      </c>
      <c r="Q36" s="49">
        <f t="shared" si="19"/>
        <v>-16.338672768879093</v>
      </c>
      <c r="R36" s="335">
        <f t="shared" si="20"/>
        <v>0.87065217391304051</v>
      </c>
      <c r="S36" s="667"/>
      <c r="T36" s="89">
        <v>0.49861111111111112</v>
      </c>
      <c r="U36" s="89">
        <v>0.51458333333333339</v>
      </c>
      <c r="V36" s="134">
        <v>5</v>
      </c>
      <c r="W36" s="90">
        <f t="shared" si="25"/>
        <v>23.000000000000078</v>
      </c>
      <c r="X36" s="123"/>
      <c r="Y36" s="123"/>
      <c r="Z36" s="124"/>
      <c r="AA36" s="124"/>
      <c r="AB36" s="644"/>
      <c r="AC36" s="644"/>
      <c r="AD36" s="344"/>
      <c r="AE36" s="344"/>
      <c r="AF36" s="48">
        <f t="shared" si="6"/>
        <v>-310.43478260870279</v>
      </c>
      <c r="AG36" s="335">
        <f t="shared" si="7"/>
        <v>0.87065217391304051</v>
      </c>
      <c r="AH36" s="659"/>
    </row>
    <row r="37" spans="1:34" ht="19.2" customHeight="1">
      <c r="A37" s="675"/>
      <c r="B37" s="121" t="s">
        <v>100</v>
      </c>
      <c r="C37" s="128"/>
      <c r="D37" s="42" t="s">
        <v>170</v>
      </c>
      <c r="E37" s="83"/>
      <c r="F37" s="273">
        <v>43.96</v>
      </c>
      <c r="G37" s="134">
        <v>1145</v>
      </c>
      <c r="H37" s="84">
        <f t="shared" si="22"/>
        <v>50334.200000000004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2081.8181818181793</v>
      </c>
      <c r="O37" s="47">
        <f t="shared" si="24"/>
        <v>109.56937799043048</v>
      </c>
      <c r="P37" s="116">
        <f t="shared" si="18"/>
        <v>0</v>
      </c>
      <c r="Q37" s="49">
        <f t="shared" si="19"/>
        <v>-16.746411483253723</v>
      </c>
      <c r="R37" s="335">
        <f t="shared" si="20"/>
        <v>0.86742424242424132</v>
      </c>
      <c r="S37" s="667"/>
      <c r="T37" s="89">
        <v>0.51944444444444449</v>
      </c>
      <c r="U37" s="89">
        <v>0.54236111111111118</v>
      </c>
      <c r="V37" s="134">
        <v>7</v>
      </c>
      <c r="W37" s="90">
        <f t="shared" si="25"/>
        <v>33.000000000000043</v>
      </c>
      <c r="X37" s="123"/>
      <c r="Y37" s="123"/>
      <c r="Z37" s="124"/>
      <c r="AA37" s="124"/>
      <c r="AB37" s="644"/>
      <c r="AC37" s="644"/>
      <c r="AD37" s="344"/>
      <c r="AE37" s="344"/>
      <c r="AF37" s="48">
        <f t="shared" si="6"/>
        <v>-318.18181818182074</v>
      </c>
      <c r="AG37" s="125">
        <f t="shared" si="7"/>
        <v>0.86742424242424132</v>
      </c>
      <c r="AH37" s="659"/>
    </row>
    <row r="38" spans="1:34" ht="19.2" customHeight="1">
      <c r="A38" s="675"/>
      <c r="B38" s="121" t="s">
        <v>104</v>
      </c>
      <c r="C38" s="128"/>
      <c r="D38" s="150" t="s">
        <v>88</v>
      </c>
      <c r="E38" s="83"/>
      <c r="F38" s="273">
        <v>34.229999999999997</v>
      </c>
      <c r="G38" s="134">
        <v>1228.5</v>
      </c>
      <c r="H38" s="84">
        <f t="shared" si="22"/>
        <v>42051.554999999993</v>
      </c>
      <c r="I38" s="344"/>
      <c r="J38" s="46">
        <v>13</v>
      </c>
      <c r="K38" s="44">
        <v>2250</v>
      </c>
      <c r="L38" s="47">
        <v>173.07692307692307</v>
      </c>
      <c r="M38" s="149">
        <v>13</v>
      </c>
      <c r="N38" s="44">
        <f t="shared" si="23"/>
        <v>2047.4999999999982</v>
      </c>
      <c r="O38" s="47">
        <f t="shared" si="24"/>
        <v>157.49999999999986</v>
      </c>
      <c r="P38" s="116">
        <f t="shared" si="18"/>
        <v>0</v>
      </c>
      <c r="Q38" s="49">
        <f t="shared" si="19"/>
        <v>-15.576923076923208</v>
      </c>
      <c r="R38" s="335">
        <f t="shared" si="20"/>
        <v>0.90999999999999925</v>
      </c>
      <c r="S38" s="667"/>
      <c r="T38" s="151">
        <v>0.54791666666666672</v>
      </c>
      <c r="U38" s="151">
        <v>0.57291666666666674</v>
      </c>
      <c r="V38" s="134">
        <v>8</v>
      </c>
      <c r="W38" s="90">
        <f t="shared" si="25"/>
        <v>36.000000000000028</v>
      </c>
      <c r="X38" s="123"/>
      <c r="Y38" s="123"/>
      <c r="Z38" s="124"/>
      <c r="AA38" s="124"/>
      <c r="AB38" s="644"/>
      <c r="AC38" s="644"/>
      <c r="AD38" s="344">
        <v>1</v>
      </c>
      <c r="AE38" s="344">
        <v>1</v>
      </c>
      <c r="AF38" s="48">
        <f t="shared" si="6"/>
        <v>-202.50000000000182</v>
      </c>
      <c r="AG38" s="125">
        <f t="shared" si="7"/>
        <v>0.90999999999999914</v>
      </c>
      <c r="AH38" s="659"/>
    </row>
    <row r="39" spans="1:34" ht="19.2" customHeight="1">
      <c r="A39" s="67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667"/>
      <c r="T39" s="89"/>
      <c r="U39" s="89"/>
      <c r="V39" s="344"/>
      <c r="W39" s="90"/>
      <c r="X39" s="123"/>
      <c r="Y39" s="123"/>
      <c r="Z39" s="124"/>
      <c r="AA39" s="124"/>
      <c r="AB39" s="644"/>
      <c r="AC39" s="644"/>
      <c r="AD39" s="344"/>
      <c r="AE39" s="344"/>
      <c r="AF39" s="116">
        <f t="shared" si="6"/>
        <v>0</v>
      </c>
      <c r="AG39" s="120" t="e">
        <f t="shared" si="7"/>
        <v>#DIV/0!</v>
      </c>
      <c r="AH39" s="659"/>
    </row>
    <row r="40" spans="1:34" ht="19.2" customHeight="1">
      <c r="A40" s="67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66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644"/>
      <c r="AC40" s="644"/>
      <c r="AD40" s="344"/>
      <c r="AE40" s="344"/>
      <c r="AF40" s="48">
        <f t="shared" si="6"/>
        <v>0</v>
      </c>
      <c r="AG40" s="335" t="e">
        <f t="shared" si="7"/>
        <v>#DIV/0!</v>
      </c>
      <c r="AH40" s="659"/>
    </row>
    <row r="41" spans="1:34" ht="19.2" customHeight="1">
      <c r="A41" s="675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66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644"/>
      <c r="AC41" s="644"/>
      <c r="AD41" s="344"/>
      <c r="AE41" s="344"/>
      <c r="AF41" s="48"/>
      <c r="AG41" s="129"/>
      <c r="AH41" s="659"/>
    </row>
    <row r="42" spans="1:34" ht="19.2" customHeight="1">
      <c r="A42" s="675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66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644"/>
      <c r="AC42" s="644"/>
      <c r="AD42" s="344"/>
      <c r="AE42" s="344"/>
      <c r="AF42" s="48"/>
      <c r="AG42" s="129"/>
      <c r="AH42" s="659"/>
    </row>
    <row r="43" spans="1:34" ht="19.2" customHeight="1">
      <c r="A43" s="675"/>
      <c r="B43" s="121">
        <v>0</v>
      </c>
      <c r="C43" s="100" t="s">
        <v>225</v>
      </c>
      <c r="D43" s="673" t="s">
        <v>221</v>
      </c>
      <c r="E43" s="673"/>
      <c r="F43" s="277"/>
      <c r="G43" s="101"/>
      <c r="H43" s="102"/>
      <c r="I43" s="103"/>
      <c r="J43" s="101">
        <v>15.5</v>
      </c>
      <c r="K43" s="101">
        <v>2085</v>
      </c>
      <c r="L43" s="104">
        <v>139.69153535233255</v>
      </c>
      <c r="M43" s="101">
        <f t="shared" ref="M43:O43" si="26">AVERAGE(M31:M42)</f>
        <v>15.5</v>
      </c>
      <c r="N43" s="101">
        <f t="shared" si="26"/>
        <v>1829.8499908917108</v>
      </c>
      <c r="O43" s="104">
        <f t="shared" si="26"/>
        <v>122.44058960543738</v>
      </c>
      <c r="P43" s="54">
        <f>M43-J43</f>
        <v>0</v>
      </c>
      <c r="Q43" s="88">
        <f>N43-K43</f>
        <v>-255.15000910828917</v>
      </c>
      <c r="R43" s="105">
        <f t="shared" ref="R43:R51" si="27">O43/L43</f>
        <v>0.8765068641891256</v>
      </c>
      <c r="S43" s="66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644"/>
      <c r="AC43" s="644"/>
      <c r="AD43" s="107">
        <f>SUM(AD31:AD42)</f>
        <v>2</v>
      </c>
      <c r="AE43" s="107">
        <f>SUM(AE31:AE42)</f>
        <v>1</v>
      </c>
      <c r="AF43" s="48">
        <f t="shared" ref="AF43:AF54" si="28">N43-K43</f>
        <v>-255.15000910828917</v>
      </c>
      <c r="AG43" s="336">
        <f t="shared" si="7"/>
        <v>0.87762589491209153</v>
      </c>
      <c r="AH43" s="659"/>
    </row>
    <row r="44" spans="1:34" s="145" customFormat="1" ht="19.2" customHeight="1">
      <c r="A44" s="678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1923</v>
      </c>
      <c r="H44" s="45">
        <f>F44*G44</f>
        <v>47555.79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2097.8181818181815</v>
      </c>
      <c r="O44" s="138">
        <f t="shared" ref="O44:O51" si="30">N44/M44</f>
        <v>419.56363636363631</v>
      </c>
      <c r="P44" s="51">
        <f t="shared" ref="P44:P51" si="31">M44-J44</f>
        <v>1</v>
      </c>
      <c r="Q44" s="139">
        <f t="shared" ref="Q44:Q51" si="32">O44-L44</f>
        <v>-80.436363636363694</v>
      </c>
      <c r="R44" s="140">
        <f t="shared" si="27"/>
        <v>0.83912727272727261</v>
      </c>
      <c r="S44" s="658">
        <f>R56</f>
        <v>0.89025970800380505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644"/>
      <c r="AC44" s="644"/>
      <c r="AD44" s="344"/>
      <c r="AE44" s="344"/>
      <c r="AF44" s="144">
        <f t="shared" si="28"/>
        <v>97.818181818181529</v>
      </c>
      <c r="AG44" s="340">
        <f t="shared" si="7"/>
        <v>1.0489090909090908</v>
      </c>
      <c r="AH44" s="681">
        <f>AG56</f>
        <v>0.96166639627976158</v>
      </c>
    </row>
    <row r="45" spans="1:34" s="145" customFormat="1" ht="19.2" customHeight="1">
      <c r="A45" s="679"/>
      <c r="B45" s="97" t="s">
        <v>104</v>
      </c>
      <c r="C45" s="133"/>
      <c r="D45" s="42" t="s">
        <v>73</v>
      </c>
      <c r="E45" s="43"/>
      <c r="F45" s="280">
        <v>24.73</v>
      </c>
      <c r="G45" s="134">
        <v>1713</v>
      </c>
      <c r="H45" s="45">
        <f>F45*G45</f>
        <v>42362.49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2055.599999999999</v>
      </c>
      <c r="O45" s="138">
        <f t="shared" si="30"/>
        <v>411.11999999999978</v>
      </c>
      <c r="P45" s="51">
        <f t="shared" si="31"/>
        <v>1</v>
      </c>
      <c r="Q45" s="139">
        <f t="shared" si="32"/>
        <v>-88.880000000000223</v>
      </c>
      <c r="R45" s="140">
        <f t="shared" si="27"/>
        <v>0.82223999999999953</v>
      </c>
      <c r="S45" s="658"/>
      <c r="T45" s="89">
        <v>0.16666666666666666</v>
      </c>
      <c r="U45" s="89">
        <v>0.2013888888888889</v>
      </c>
      <c r="V45" s="142">
        <v>5</v>
      </c>
      <c r="W45" s="143">
        <f t="shared" si="33"/>
        <v>50.000000000000021</v>
      </c>
      <c r="X45" s="123"/>
      <c r="Y45" s="123"/>
      <c r="Z45" s="124"/>
      <c r="AA45" s="124"/>
      <c r="AB45" s="644"/>
      <c r="AC45" s="644"/>
      <c r="AD45" s="344"/>
      <c r="AE45" s="344"/>
      <c r="AF45" s="144">
        <f t="shared" si="28"/>
        <v>55.599999999999</v>
      </c>
      <c r="AG45" s="340">
        <f t="shared" si="7"/>
        <v>1.0277999999999996</v>
      </c>
      <c r="AH45" s="681"/>
    </row>
    <row r="46" spans="1:34" s="145" customFormat="1" ht="19.2" customHeight="1">
      <c r="A46" s="679"/>
      <c r="B46" s="97" t="s">
        <v>104</v>
      </c>
      <c r="C46" s="133"/>
      <c r="D46" s="42" t="s">
        <v>185</v>
      </c>
      <c r="E46" s="43"/>
      <c r="F46" s="280">
        <v>25.26</v>
      </c>
      <c r="G46" s="134">
        <v>837</v>
      </c>
      <c r="H46" s="45">
        <f t="shared" ref="H46:H51" si="34">F46*G46</f>
        <v>21142.620000000003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2092.5000000000005</v>
      </c>
      <c r="O46" s="138">
        <f t="shared" si="30"/>
        <v>298.9285714285715</v>
      </c>
      <c r="P46" s="51">
        <f t="shared" si="31"/>
        <v>0</v>
      </c>
      <c r="Q46" s="139">
        <f t="shared" si="32"/>
        <v>-15.357142857142776</v>
      </c>
      <c r="R46" s="140">
        <f t="shared" si="27"/>
        <v>0.95113636363636389</v>
      </c>
      <c r="S46" s="658"/>
      <c r="T46" s="89">
        <v>0.2048611111111111</v>
      </c>
      <c r="U46" s="89">
        <v>0.22152777777777777</v>
      </c>
      <c r="V46" s="142">
        <v>5</v>
      </c>
      <c r="W46" s="143">
        <f t="shared" si="33"/>
        <v>23.999999999999993</v>
      </c>
      <c r="X46" s="123"/>
      <c r="Y46" s="123"/>
      <c r="Z46" s="124"/>
      <c r="AA46" s="124"/>
      <c r="AB46" s="644"/>
      <c r="AC46" s="644"/>
      <c r="AD46" s="344"/>
      <c r="AE46" s="344"/>
      <c r="AF46" s="144">
        <f t="shared" si="28"/>
        <v>-107.49999999999955</v>
      </c>
      <c r="AG46" s="340">
        <f t="shared" si="7"/>
        <v>0.95113636363636389</v>
      </c>
      <c r="AH46" s="681"/>
    </row>
    <row r="47" spans="1:34" s="145" customFormat="1" ht="19.2" customHeight="1">
      <c r="A47" s="679"/>
      <c r="B47" s="97" t="s">
        <v>103</v>
      </c>
      <c r="C47" s="133"/>
      <c r="D47" s="42" t="s">
        <v>65</v>
      </c>
      <c r="E47" s="148"/>
      <c r="F47" s="280">
        <v>31.43</v>
      </c>
      <c r="G47" s="137">
        <v>1590</v>
      </c>
      <c r="H47" s="45">
        <f t="shared" si="34"/>
        <v>49973.7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1423.8805970149253</v>
      </c>
      <c r="O47" s="138">
        <f t="shared" si="30"/>
        <v>203.41151385927506</v>
      </c>
      <c r="P47" s="51">
        <f t="shared" si="31"/>
        <v>0</v>
      </c>
      <c r="Q47" s="139">
        <f t="shared" si="32"/>
        <v>-10.874200426439216</v>
      </c>
      <c r="R47" s="140">
        <f t="shared" si="27"/>
        <v>0.94925373134328361</v>
      </c>
      <c r="S47" s="658"/>
      <c r="T47" s="89">
        <v>0.23888888888888887</v>
      </c>
      <c r="U47" s="89">
        <v>0.28541666666666665</v>
      </c>
      <c r="V47" s="137">
        <v>25</v>
      </c>
      <c r="W47" s="143">
        <f t="shared" si="33"/>
        <v>67</v>
      </c>
      <c r="X47" s="123">
        <v>0.22569444444444445</v>
      </c>
      <c r="Y47" s="123">
        <v>0.23750000000000002</v>
      </c>
      <c r="Z47" s="124"/>
      <c r="AA47" s="124"/>
      <c r="AB47" s="644"/>
      <c r="AC47" s="644"/>
      <c r="AD47" s="344"/>
      <c r="AE47" s="344"/>
      <c r="AF47" s="144">
        <f t="shared" si="28"/>
        <v>-76.119402985074657</v>
      </c>
      <c r="AG47" s="340">
        <f t="shared" si="7"/>
        <v>0.94925373134328361</v>
      </c>
      <c r="AH47" s="681"/>
    </row>
    <row r="48" spans="1:34" s="145" customFormat="1" ht="19.2" customHeight="1">
      <c r="A48" s="679"/>
      <c r="B48" s="97" t="s">
        <v>103</v>
      </c>
      <c r="C48" s="133"/>
      <c r="D48" s="42" t="s">
        <v>148</v>
      </c>
      <c r="E48" s="148"/>
      <c r="F48" s="280">
        <v>11.86</v>
      </c>
      <c r="G48" s="137">
        <v>1437</v>
      </c>
      <c r="H48" s="45">
        <f t="shared" si="34"/>
        <v>17042.82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1413.4426229508192</v>
      </c>
      <c r="O48" s="138">
        <f t="shared" si="30"/>
        <v>235.5737704918032</v>
      </c>
      <c r="P48" s="51">
        <f t="shared" si="31"/>
        <v>0</v>
      </c>
      <c r="Q48" s="139">
        <f t="shared" si="32"/>
        <v>-37.092896174863483</v>
      </c>
      <c r="R48" s="140">
        <f t="shared" si="27"/>
        <v>0.8639624834662708</v>
      </c>
      <c r="S48" s="658"/>
      <c r="T48" s="89">
        <v>0.29583333333333334</v>
      </c>
      <c r="U48" s="89">
        <v>0.33819444444444446</v>
      </c>
      <c r="V48" s="134">
        <v>15</v>
      </c>
      <c r="W48" s="143">
        <f t="shared" si="33"/>
        <v>61.000000000000021</v>
      </c>
      <c r="X48" s="123"/>
      <c r="Y48" s="123"/>
      <c r="Z48" s="124"/>
      <c r="AA48" s="124"/>
      <c r="AB48" s="644"/>
      <c r="AC48" s="644"/>
      <c r="AD48" s="344"/>
      <c r="AE48" s="344"/>
      <c r="AF48" s="144">
        <f t="shared" si="28"/>
        <v>-222.55737704918079</v>
      </c>
      <c r="AG48" s="340">
        <f t="shared" si="7"/>
        <v>0.86396248346627091</v>
      </c>
      <c r="AH48" s="681"/>
    </row>
    <row r="49" spans="1:34" s="145" customFormat="1" ht="19.2" customHeight="1">
      <c r="A49" s="679"/>
      <c r="B49" s="97" t="s">
        <v>103</v>
      </c>
      <c r="C49" s="133"/>
      <c r="D49" s="42" t="s">
        <v>171</v>
      </c>
      <c r="E49" s="148"/>
      <c r="F49" s="280">
        <v>28.47</v>
      </c>
      <c r="G49" s="134">
        <v>828</v>
      </c>
      <c r="H49" s="45">
        <f t="shared" si="34"/>
        <v>23573.16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1379.9999999999989</v>
      </c>
      <c r="O49" s="138">
        <f t="shared" si="30"/>
        <v>197.14285714285697</v>
      </c>
      <c r="P49" s="51">
        <f t="shared" si="31"/>
        <v>0</v>
      </c>
      <c r="Q49" s="139">
        <f t="shared" si="32"/>
        <v>-17.142857142857309</v>
      </c>
      <c r="R49" s="140">
        <f t="shared" si="27"/>
        <v>0.91999999999999926</v>
      </c>
      <c r="S49" s="658"/>
      <c r="T49" s="89">
        <v>0.34861111111111115</v>
      </c>
      <c r="U49" s="89">
        <v>0.37361111111111117</v>
      </c>
      <c r="V49" s="134">
        <v>15</v>
      </c>
      <c r="W49" s="143">
        <f t="shared" si="33"/>
        <v>36.000000000000028</v>
      </c>
      <c r="X49" s="152"/>
      <c r="Y49" s="152"/>
      <c r="Z49" s="153"/>
      <c r="AA49" s="124"/>
      <c r="AB49" s="644"/>
      <c r="AC49" s="644"/>
      <c r="AD49" s="344"/>
      <c r="AE49" s="344"/>
      <c r="AF49" s="144">
        <f t="shared" si="28"/>
        <v>-120.00000000000114</v>
      </c>
      <c r="AG49" s="340">
        <f t="shared" si="7"/>
        <v>0.91999999999999926</v>
      </c>
      <c r="AH49" s="681"/>
    </row>
    <row r="50" spans="1:34" s="145" customFormat="1" ht="19.2" customHeight="1">
      <c r="A50" s="679"/>
      <c r="B50" s="97" t="s">
        <v>105</v>
      </c>
      <c r="C50" s="133"/>
      <c r="D50" s="42" t="s">
        <v>64</v>
      </c>
      <c r="E50" s="148"/>
      <c r="F50" s="280">
        <v>10.09</v>
      </c>
      <c r="G50" s="134">
        <v>3684.56</v>
      </c>
      <c r="H50" s="45">
        <f t="shared" si="34"/>
        <v>37177.210399999996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1435.5428571428577</v>
      </c>
      <c r="O50" s="138">
        <f t="shared" si="30"/>
        <v>239.25714285714295</v>
      </c>
      <c r="P50" s="51">
        <f t="shared" si="31"/>
        <v>0</v>
      </c>
      <c r="Q50" s="139">
        <f t="shared" si="32"/>
        <v>-10.742857142857048</v>
      </c>
      <c r="R50" s="140">
        <f t="shared" si="27"/>
        <v>0.95702857142857178</v>
      </c>
      <c r="S50" s="658"/>
      <c r="T50" s="89">
        <v>0.39444444444444449</v>
      </c>
      <c r="U50" s="89">
        <v>0.50138888888888888</v>
      </c>
      <c r="V50" s="134">
        <v>30</v>
      </c>
      <c r="W50" s="143">
        <f t="shared" si="33"/>
        <v>153.99999999999994</v>
      </c>
      <c r="X50" s="152">
        <v>0.37777777777777777</v>
      </c>
      <c r="Y50" s="152">
        <v>0.39305555555555555</v>
      </c>
      <c r="Z50" s="153"/>
      <c r="AA50" s="153"/>
      <c r="AB50" s="644"/>
      <c r="AC50" s="644"/>
      <c r="AD50" s="344"/>
      <c r="AE50" s="344"/>
      <c r="AF50" s="144">
        <f t="shared" si="28"/>
        <v>-64.457142857142344</v>
      </c>
      <c r="AG50" s="340">
        <f t="shared" si="7"/>
        <v>0.95702857142857178</v>
      </c>
      <c r="AH50" s="681"/>
    </row>
    <row r="51" spans="1:34" s="145" customFormat="1" ht="19.2" customHeight="1">
      <c r="A51" s="679"/>
      <c r="B51" s="97" t="s">
        <v>105</v>
      </c>
      <c r="C51" s="133"/>
      <c r="D51" s="150" t="s">
        <v>64</v>
      </c>
      <c r="E51" s="148"/>
      <c r="F51" s="280">
        <v>10.09</v>
      </c>
      <c r="G51" s="134">
        <v>4689.4400000000005</v>
      </c>
      <c r="H51" s="45">
        <f t="shared" si="34"/>
        <v>47316.449600000007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1406.8319999999994</v>
      </c>
      <c r="O51" s="138">
        <f t="shared" si="30"/>
        <v>234.47199999999989</v>
      </c>
      <c r="P51" s="51">
        <f t="shared" si="31"/>
        <v>0</v>
      </c>
      <c r="Q51" s="139">
        <f t="shared" si="32"/>
        <v>-15.528000000000105</v>
      </c>
      <c r="R51" s="140">
        <f t="shared" si="27"/>
        <v>0.93788799999999961</v>
      </c>
      <c r="S51" s="658"/>
      <c r="T51" s="151">
        <v>0.52222222222222225</v>
      </c>
      <c r="U51" s="151">
        <v>0.6611111111111112</v>
      </c>
      <c r="V51" s="134">
        <v>30</v>
      </c>
      <c r="W51" s="143">
        <f t="shared" si="33"/>
        <v>200.00000000000009</v>
      </c>
      <c r="X51" s="152">
        <v>0.50555555555555554</v>
      </c>
      <c r="Y51" s="152">
        <v>0.52083333333333337</v>
      </c>
      <c r="Z51" s="153"/>
      <c r="AA51" s="153"/>
      <c r="AB51" s="644"/>
      <c r="AC51" s="644"/>
      <c r="AD51" s="344"/>
      <c r="AE51" s="344"/>
      <c r="AF51" s="144">
        <f t="shared" si="28"/>
        <v>-93.168000000000575</v>
      </c>
      <c r="AG51" s="340">
        <f t="shared" si="7"/>
        <v>0.93788799999999961</v>
      </c>
      <c r="AH51" s="681"/>
    </row>
    <row r="52" spans="1:34" s="145" customFormat="1" ht="19.2" customHeight="1">
      <c r="A52" s="67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5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44"/>
      <c r="AC52" s="644"/>
      <c r="AD52" s="344"/>
      <c r="AE52" s="344"/>
      <c r="AF52" s="144">
        <f t="shared" si="28"/>
        <v>0</v>
      </c>
      <c r="AG52" s="340" t="e">
        <f t="shared" si="7"/>
        <v>#DIV/0!</v>
      </c>
      <c r="AH52" s="681"/>
    </row>
    <row r="53" spans="1:34" s="145" customFormat="1" ht="19.2" customHeight="1">
      <c r="A53" s="67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65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44"/>
      <c r="AC53" s="644"/>
      <c r="AD53" s="344"/>
      <c r="AE53" s="344"/>
      <c r="AF53" s="144">
        <f t="shared" si="28"/>
        <v>0</v>
      </c>
      <c r="AG53" s="340" t="e">
        <f t="shared" si="7"/>
        <v>#DIV/0!</v>
      </c>
      <c r="AH53" s="681"/>
    </row>
    <row r="54" spans="1:34" s="145" customFormat="1" ht="19.2" customHeight="1">
      <c r="A54" s="67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65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44"/>
      <c r="AC54" s="644"/>
      <c r="AD54" s="344"/>
      <c r="AE54" s="344"/>
      <c r="AF54" s="144">
        <f t="shared" si="28"/>
        <v>0</v>
      </c>
      <c r="AG54" s="340" t="e">
        <f t="shared" si="7"/>
        <v>#DIV/0!</v>
      </c>
      <c r="AH54" s="681"/>
    </row>
    <row r="55" spans="1:34" s="145" customFormat="1" ht="19.2" customHeight="1">
      <c r="A55" s="67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65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44"/>
      <c r="AC55" s="644"/>
      <c r="AD55" s="344"/>
      <c r="AE55" s="344"/>
      <c r="AF55" s="144"/>
      <c r="AG55" s="340"/>
      <c r="AH55" s="681"/>
    </row>
    <row r="56" spans="1:34" ht="19.2" customHeight="1">
      <c r="A56" s="680"/>
      <c r="B56" s="157">
        <v>0</v>
      </c>
      <c r="C56" s="265" t="s">
        <v>227</v>
      </c>
      <c r="D56" s="677" t="s">
        <v>221</v>
      </c>
      <c r="E56" s="67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1663.2020323658476</v>
      </c>
      <c r="O56" s="104">
        <f t="shared" si="35"/>
        <v>279.9336865179107</v>
      </c>
      <c r="P56" s="158">
        <f>M56-J56</f>
        <v>0.25</v>
      </c>
      <c r="Q56" s="117">
        <f>N56-K56</f>
        <v>-66.297967634152428</v>
      </c>
      <c r="R56" s="159">
        <f t="shared" ref="R56:R61" si="36">O56/L56</f>
        <v>0.89025970800380505</v>
      </c>
      <c r="S56" s="658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44"/>
      <c r="AC56" s="644"/>
      <c r="AD56" s="107">
        <f>SUM(AD44:AD55)</f>
        <v>0</v>
      </c>
      <c r="AE56" s="107">
        <f>SUM(AE44:AE55)</f>
        <v>0</v>
      </c>
      <c r="AF56" s="162">
        <f>N56-K56</f>
        <v>-66.297967634152428</v>
      </c>
      <c r="AG56" s="338">
        <f>N56/K56</f>
        <v>0.96166639627976158</v>
      </c>
      <c r="AH56" s="681"/>
    </row>
    <row r="57" spans="1:34" ht="19.2" customHeight="1">
      <c r="A57" s="684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1213</v>
      </c>
      <c r="H57" s="84">
        <f t="shared" ref="H57:H66" si="37">F57*G57</f>
        <v>34279.380000000005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1427.0588235294124</v>
      </c>
      <c r="O57" s="86">
        <f t="shared" ref="O57:O61" si="39">N57/M57</f>
        <v>203.86554621848748</v>
      </c>
      <c r="P57" s="165">
        <f t="shared" ref="P57:P61" si="40">M57-J57</f>
        <v>0</v>
      </c>
      <c r="Q57" s="49">
        <f t="shared" ref="Q57:Q61" si="41">O57-L57</f>
        <v>-10.420168067226797</v>
      </c>
      <c r="R57" s="335">
        <f t="shared" si="36"/>
        <v>0.95137254901960833</v>
      </c>
      <c r="S57" s="658">
        <f>R69</f>
        <v>0.96863408816514096</v>
      </c>
      <c r="T57" s="50">
        <v>0.125</v>
      </c>
      <c r="U57" s="50">
        <v>0.16041666666666665</v>
      </c>
      <c r="V57" s="331">
        <v>5</v>
      </c>
      <c r="W57" s="328">
        <f>(U57-T57)*24*60</f>
        <v>50.999999999999979</v>
      </c>
      <c r="X57" s="53"/>
      <c r="Y57" s="53"/>
      <c r="Z57" s="54"/>
      <c r="AA57" s="54"/>
      <c r="AB57" s="644"/>
      <c r="AC57" s="644"/>
      <c r="AD57" s="344"/>
      <c r="AE57" s="344"/>
      <c r="AF57" s="48">
        <f t="shared" si="6"/>
        <v>-72.941176470587607</v>
      </c>
      <c r="AG57" s="339">
        <f t="shared" si="7"/>
        <v>0.95137254901960822</v>
      </c>
      <c r="AH57" s="672">
        <f>AG69</f>
        <v>0.96846088833871746</v>
      </c>
    </row>
    <row r="58" spans="1:34" ht="19.2" customHeight="1">
      <c r="A58" s="675"/>
      <c r="B58" s="121" t="s">
        <v>103</v>
      </c>
      <c r="C58" s="344"/>
      <c r="D58" s="42" t="s">
        <v>67</v>
      </c>
      <c r="E58" s="43"/>
      <c r="F58" s="273">
        <v>27.88</v>
      </c>
      <c r="G58" s="44">
        <v>3660</v>
      </c>
      <c r="H58" s="45">
        <f t="shared" si="37"/>
        <v>102040.8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1454.3046357615892</v>
      </c>
      <c r="O58" s="47">
        <f t="shared" si="39"/>
        <v>207.75780510879846</v>
      </c>
      <c r="P58" s="165">
        <f t="shared" si="40"/>
        <v>0</v>
      </c>
      <c r="Q58" s="49">
        <f t="shared" si="41"/>
        <v>-6.5279091769158128</v>
      </c>
      <c r="R58" s="335">
        <f t="shared" si="36"/>
        <v>0.96953642384105954</v>
      </c>
      <c r="S58" s="658"/>
      <c r="T58" s="50">
        <v>0.17430555555555555</v>
      </c>
      <c r="U58" s="50">
        <v>0.27916666666666667</v>
      </c>
      <c r="V58" s="331">
        <v>20</v>
      </c>
      <c r="W58" s="328">
        <f>(U58-T58)*24*60</f>
        <v>151.00000000000003</v>
      </c>
      <c r="X58" s="53">
        <v>0.16527777777777777</v>
      </c>
      <c r="Y58" s="53">
        <v>0.17361111111111113</v>
      </c>
      <c r="Z58" s="54"/>
      <c r="AA58" s="54"/>
      <c r="AB58" s="682"/>
      <c r="AC58" s="683"/>
      <c r="AD58" s="344"/>
      <c r="AE58" s="344"/>
      <c r="AF58" s="48">
        <f t="shared" si="6"/>
        <v>-45.695364238410775</v>
      </c>
      <c r="AG58" s="335">
        <f t="shared" si="7"/>
        <v>0.96953642384105954</v>
      </c>
      <c r="AH58" s="658"/>
    </row>
    <row r="59" spans="1:34" ht="19.2" customHeight="1">
      <c r="A59" s="675"/>
      <c r="B59" s="121" t="s">
        <v>103</v>
      </c>
      <c r="C59" s="344"/>
      <c r="D59" s="42" t="s">
        <v>68</v>
      </c>
      <c r="E59" s="43"/>
      <c r="F59" s="273">
        <v>28</v>
      </c>
      <c r="G59" s="44">
        <v>3206</v>
      </c>
      <c r="H59" s="45">
        <f t="shared" si="37"/>
        <v>89768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1468.3969465648854</v>
      </c>
      <c r="O59" s="47">
        <f t="shared" si="39"/>
        <v>209.7709923664122</v>
      </c>
      <c r="P59" s="165">
        <f t="shared" si="40"/>
        <v>0</v>
      </c>
      <c r="Q59" s="49">
        <f t="shared" si="41"/>
        <v>-4.514721919302076</v>
      </c>
      <c r="R59" s="335">
        <f t="shared" si="36"/>
        <v>0.9789312977099236</v>
      </c>
      <c r="S59" s="658"/>
      <c r="T59" s="50">
        <v>0.29652777777777778</v>
      </c>
      <c r="U59" s="50">
        <v>0.38750000000000001</v>
      </c>
      <c r="V59" s="142">
        <v>25</v>
      </c>
      <c r="W59" s="328">
        <f t="shared" ref="W59:W69" si="42">(U59-T59)*24*60</f>
        <v>131</v>
      </c>
      <c r="X59" s="53">
        <v>0.28333333333333333</v>
      </c>
      <c r="Y59" s="53">
        <v>0.29583333333333334</v>
      </c>
      <c r="Z59" s="54"/>
      <c r="AA59" s="54"/>
      <c r="AB59" s="644"/>
      <c r="AC59" s="644"/>
      <c r="AD59" s="344"/>
      <c r="AE59" s="344"/>
      <c r="AF59" s="48">
        <f t="shared" si="6"/>
        <v>-31.603053435114589</v>
      </c>
      <c r="AG59" s="335">
        <f t="shared" si="7"/>
        <v>0.9789312977099236</v>
      </c>
      <c r="AH59" s="658"/>
    </row>
    <row r="60" spans="1:34" ht="19.2" customHeight="1">
      <c r="A60" s="675"/>
      <c r="B60" s="121" t="s">
        <v>105</v>
      </c>
      <c r="C60" s="344"/>
      <c r="D60" s="42" t="s">
        <v>64</v>
      </c>
      <c r="E60" s="43"/>
      <c r="F60" s="273">
        <v>10.09</v>
      </c>
      <c r="G60" s="44">
        <v>3852.04</v>
      </c>
      <c r="H60" s="45">
        <f t="shared" si="37"/>
        <v>38867.083599999998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1462.8000000000009</v>
      </c>
      <c r="O60" s="47">
        <f t="shared" si="39"/>
        <v>243.80000000000015</v>
      </c>
      <c r="P60" s="165">
        <f t="shared" si="40"/>
        <v>0</v>
      </c>
      <c r="Q60" s="49">
        <f t="shared" si="41"/>
        <v>-6.1999999999998465</v>
      </c>
      <c r="R60" s="335">
        <f t="shared" si="36"/>
        <v>0.97520000000000062</v>
      </c>
      <c r="S60" s="658"/>
      <c r="T60" s="50">
        <v>0.40833333333333333</v>
      </c>
      <c r="U60" s="50">
        <v>0.51805555555555549</v>
      </c>
      <c r="V60" s="142">
        <v>30</v>
      </c>
      <c r="W60" s="328">
        <f t="shared" si="42"/>
        <v>157.99999999999991</v>
      </c>
      <c r="X60" s="53">
        <v>0.39166666666666666</v>
      </c>
      <c r="Y60" s="53">
        <v>0.4069444444444445</v>
      </c>
      <c r="Z60" s="54"/>
      <c r="AA60" s="54"/>
      <c r="AB60" s="644"/>
      <c r="AC60" s="644"/>
      <c r="AD60" s="344"/>
      <c r="AE60" s="344"/>
      <c r="AF60" s="48">
        <f t="shared" si="6"/>
        <v>-37.199999999999136</v>
      </c>
      <c r="AG60" s="339">
        <f t="shared" si="7"/>
        <v>0.97520000000000062</v>
      </c>
      <c r="AH60" s="658"/>
    </row>
    <row r="61" spans="1:34" ht="19.2" customHeight="1">
      <c r="A61" s="675"/>
      <c r="B61" s="121" t="s">
        <v>105</v>
      </c>
      <c r="C61" s="344"/>
      <c r="D61" s="42" t="s">
        <v>64</v>
      </c>
      <c r="E61" s="43"/>
      <c r="F61" s="273">
        <v>10.09</v>
      </c>
      <c r="G61" s="44">
        <v>4521.96</v>
      </c>
      <c r="H61" s="45">
        <f t="shared" si="37"/>
        <v>45626.576399999998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1450.8962566844923</v>
      </c>
      <c r="O61" s="47">
        <f t="shared" si="39"/>
        <v>241.81604278074872</v>
      </c>
      <c r="P61" s="165">
        <f t="shared" si="40"/>
        <v>0</v>
      </c>
      <c r="Q61" s="49">
        <f t="shared" si="41"/>
        <v>-8.1839572192512833</v>
      </c>
      <c r="R61" s="335">
        <f t="shared" si="36"/>
        <v>0.9672641711229949</v>
      </c>
      <c r="S61" s="658"/>
      <c r="T61" s="50">
        <v>0.53888888888888886</v>
      </c>
      <c r="U61" s="50">
        <v>0.66874999999999996</v>
      </c>
      <c r="V61" s="142">
        <v>30</v>
      </c>
      <c r="W61" s="328">
        <f t="shared" si="42"/>
        <v>186.99999999999997</v>
      </c>
      <c r="X61" s="53">
        <v>0.52222222222222225</v>
      </c>
      <c r="Y61" s="53">
        <v>0.53819444444444442</v>
      </c>
      <c r="Z61" s="54"/>
      <c r="AA61" s="54"/>
      <c r="AB61" s="644"/>
      <c r="AC61" s="644"/>
      <c r="AD61" s="344"/>
      <c r="AE61" s="344"/>
      <c r="AF61" s="48">
        <f t="shared" si="6"/>
        <v>-49.1037433155077</v>
      </c>
      <c r="AG61" s="335">
        <f t="shared" si="7"/>
        <v>0.9672641711229949</v>
      </c>
      <c r="AH61" s="658"/>
    </row>
    <row r="62" spans="1:34" ht="19.2" customHeight="1">
      <c r="A62" s="675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658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644"/>
      <c r="AC62" s="644"/>
      <c r="AD62" s="344"/>
      <c r="AE62" s="344"/>
      <c r="AF62" s="48">
        <f t="shared" si="6"/>
        <v>0</v>
      </c>
      <c r="AG62" s="335" t="e">
        <f t="shared" si="7"/>
        <v>#DIV/0!</v>
      </c>
      <c r="AH62" s="658"/>
    </row>
    <row r="63" spans="1:34" ht="19.2" customHeight="1">
      <c r="A63" s="675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658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644"/>
      <c r="AC63" s="644"/>
      <c r="AD63" s="344"/>
      <c r="AE63" s="344"/>
      <c r="AF63" s="48">
        <f t="shared" si="6"/>
        <v>0</v>
      </c>
      <c r="AG63" s="339" t="e">
        <f t="shared" si="7"/>
        <v>#DIV/0!</v>
      </c>
      <c r="AH63" s="658"/>
    </row>
    <row r="64" spans="1:34" ht="19.2" customHeight="1">
      <c r="A64" s="64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658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644"/>
      <c r="AC64" s="644"/>
      <c r="AD64" s="344"/>
      <c r="AE64" s="344"/>
      <c r="AF64" s="48">
        <f t="shared" si="6"/>
        <v>0</v>
      </c>
      <c r="AG64" s="335" t="e">
        <f t="shared" si="7"/>
        <v>#DIV/0!</v>
      </c>
      <c r="AH64" s="658"/>
    </row>
    <row r="65" spans="1:34" ht="19.2" customHeight="1">
      <c r="A65" s="640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658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644"/>
      <c r="AC65" s="644"/>
      <c r="AD65" s="344"/>
      <c r="AE65" s="344"/>
      <c r="AF65" s="48">
        <f t="shared" si="6"/>
        <v>0</v>
      </c>
      <c r="AG65" s="335" t="e">
        <f t="shared" si="7"/>
        <v>#DIV/0!</v>
      </c>
      <c r="AH65" s="658"/>
    </row>
    <row r="66" spans="1:34" ht="19.2" customHeight="1">
      <c r="A66" s="640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658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644"/>
      <c r="AC66" s="644"/>
      <c r="AD66" s="344"/>
      <c r="AE66" s="344"/>
      <c r="AF66" s="48">
        <f t="shared" si="6"/>
        <v>0</v>
      </c>
      <c r="AG66" s="339" t="e">
        <f t="shared" si="7"/>
        <v>#DIV/0!</v>
      </c>
      <c r="AH66" s="658"/>
    </row>
    <row r="67" spans="1:34" ht="19.2" customHeight="1">
      <c r="A67" s="640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658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644"/>
      <c r="AC67" s="644"/>
      <c r="AD67" s="344"/>
      <c r="AE67" s="344"/>
      <c r="AF67" s="48">
        <f t="shared" si="6"/>
        <v>0</v>
      </c>
      <c r="AG67" s="335" t="e">
        <f t="shared" si="7"/>
        <v>#DIV/0!</v>
      </c>
      <c r="AH67" s="658"/>
    </row>
    <row r="68" spans="1:34" ht="19.2" customHeight="1">
      <c r="A68" s="640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658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644"/>
      <c r="AC68" s="644"/>
      <c r="AD68" s="344"/>
      <c r="AE68" s="344"/>
      <c r="AF68" s="48"/>
      <c r="AG68" s="335"/>
      <c r="AH68" s="658"/>
    </row>
    <row r="69" spans="1:34" ht="19.2" customHeight="1">
      <c r="A69" s="640"/>
      <c r="B69" s="168">
        <v>0</v>
      </c>
      <c r="C69" s="6" t="s">
        <v>252</v>
      </c>
      <c r="D69" s="673" t="s">
        <v>221</v>
      </c>
      <c r="E69" s="67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1452.6913325080761</v>
      </c>
      <c r="O69" s="73">
        <f t="shared" si="43"/>
        <v>221.40207729488938</v>
      </c>
      <c r="P69" s="48">
        <f>M69-J69</f>
        <v>0</v>
      </c>
      <c r="Q69" s="49">
        <f>N69-K69</f>
        <v>-47.30866749192387</v>
      </c>
      <c r="R69" s="172">
        <f t="shared" ref="R69:R75" si="44">O69/L69</f>
        <v>0.96863408816514096</v>
      </c>
      <c r="S69" s="658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44"/>
      <c r="AC69" s="644"/>
      <c r="AD69" s="107">
        <f>SUM(AD57:AD68)</f>
        <v>0</v>
      </c>
      <c r="AE69" s="107">
        <f>SUM(AE57:AE68)</f>
        <v>0</v>
      </c>
      <c r="AF69" s="48">
        <f t="shared" si="6"/>
        <v>-47.30866749192387</v>
      </c>
      <c r="AG69" s="335">
        <f t="shared" si="7"/>
        <v>0.96846088833871746</v>
      </c>
      <c r="AH69" s="658"/>
    </row>
    <row r="70" spans="1:34" ht="19.2" customHeight="1">
      <c r="A70" s="642" t="s">
        <v>253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807.3</v>
      </c>
      <c r="H70" s="45">
        <f>F70*G70</f>
        <v>43666.857000000004</v>
      </c>
      <c r="I70" s="331"/>
      <c r="J70" s="46">
        <v>16</v>
      </c>
      <c r="K70" s="44">
        <v>1500</v>
      </c>
      <c r="L70" s="47">
        <v>93.75</v>
      </c>
      <c r="M70" s="329">
        <v>16</v>
      </c>
      <c r="N70" s="44">
        <f t="shared" ref="N70:N75" si="45">G70/W70*60</f>
        <v>1383.9428571428557</v>
      </c>
      <c r="O70" s="47">
        <f t="shared" ref="O70:O75" si="46">N70/M70</f>
        <v>86.496428571428481</v>
      </c>
      <c r="P70" s="48">
        <f t="shared" ref="P70:P75" si="47">M70-J70</f>
        <v>0</v>
      </c>
      <c r="Q70" s="49">
        <f t="shared" ref="Q70:Q75" si="48">O70-L70</f>
        <v>-7.2535714285715187</v>
      </c>
      <c r="R70" s="335">
        <f t="shared" si="44"/>
        <v>0.92262857142857047</v>
      </c>
      <c r="S70" s="658">
        <f>R82</f>
        <v>0.91650767709479242</v>
      </c>
      <c r="T70" s="50">
        <v>0.25</v>
      </c>
      <c r="U70" s="50">
        <v>0.27430555555555558</v>
      </c>
      <c r="V70" s="331">
        <v>5</v>
      </c>
      <c r="W70" s="328">
        <f>(U70-T70)*24*60</f>
        <v>35.000000000000036</v>
      </c>
      <c r="X70" s="331"/>
      <c r="Y70" s="331"/>
      <c r="Z70" s="54"/>
      <c r="AA70" s="54"/>
      <c r="AB70" s="644"/>
      <c r="AC70" s="644"/>
      <c r="AD70" s="344"/>
      <c r="AE70" s="344"/>
      <c r="AF70" s="48">
        <f t="shared" si="6"/>
        <v>-116.0571428571443</v>
      </c>
      <c r="AG70" s="335">
        <f t="shared" si="7"/>
        <v>0.92262857142857047</v>
      </c>
      <c r="AH70" s="658">
        <f>AG82</f>
        <v>0.91517120011112285</v>
      </c>
    </row>
    <row r="71" spans="1:34" ht="19.2" customHeight="1">
      <c r="A71" s="642"/>
      <c r="B71" s="331" t="s">
        <v>101</v>
      </c>
      <c r="C71" s="41"/>
      <c r="D71" s="173" t="s">
        <v>183</v>
      </c>
      <c r="E71" s="43"/>
      <c r="F71" s="273">
        <v>65.27</v>
      </c>
      <c r="G71" s="44">
        <v>1227</v>
      </c>
      <c r="H71" s="45">
        <f>F71*G71</f>
        <v>80086.289999999994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1338.5454545454534</v>
      </c>
      <c r="O71" s="47">
        <f t="shared" si="46"/>
        <v>74.363636363636303</v>
      </c>
      <c r="P71" s="48">
        <f t="shared" si="47"/>
        <v>0</v>
      </c>
      <c r="Q71" s="49">
        <f t="shared" si="48"/>
        <v>-5.6363636363636971</v>
      </c>
      <c r="R71" s="335">
        <f t="shared" si="44"/>
        <v>0.92954545454545379</v>
      </c>
      <c r="S71" s="658"/>
      <c r="T71" s="50">
        <v>0.28958333333333336</v>
      </c>
      <c r="U71" s="50">
        <v>0.32777777777777783</v>
      </c>
      <c r="V71" s="331">
        <v>22</v>
      </c>
      <c r="W71" s="328">
        <f t="shared" ref="W71:W81" si="49">(U71-T71)*24*60</f>
        <v>55.000000000000043</v>
      </c>
      <c r="X71" s="53">
        <v>0.27916666666666667</v>
      </c>
      <c r="Y71" s="53">
        <v>0.28888888888888892</v>
      </c>
      <c r="Z71" s="54"/>
      <c r="AA71" s="54"/>
      <c r="AB71" s="644"/>
      <c r="AC71" s="644"/>
      <c r="AD71" s="344"/>
      <c r="AE71" s="344"/>
      <c r="AF71" s="48">
        <f>N71-K71</f>
        <v>-101.45454545454663</v>
      </c>
      <c r="AG71" s="335">
        <f>N71/K71</f>
        <v>0.92954545454545368</v>
      </c>
      <c r="AH71" s="658"/>
    </row>
    <row r="72" spans="1:34" ht="19.2" customHeight="1">
      <c r="A72" s="642"/>
      <c r="B72" s="331" t="s">
        <v>101</v>
      </c>
      <c r="C72" s="66"/>
      <c r="D72" s="173" t="s">
        <v>69</v>
      </c>
      <c r="E72" s="43"/>
      <c r="F72" s="273">
        <v>53.36</v>
      </c>
      <c r="G72" s="44">
        <v>5239.8</v>
      </c>
      <c r="H72" s="45">
        <f t="shared" ref="H72:H80" si="50">F72*G72</f>
        <v>279595.728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1429.0363636363636</v>
      </c>
      <c r="O72" s="47">
        <f t="shared" si="46"/>
        <v>75.212440191387557</v>
      </c>
      <c r="P72" s="48">
        <f t="shared" si="47"/>
        <v>0</v>
      </c>
      <c r="Q72" s="49">
        <f t="shared" si="48"/>
        <v>-10.892822966507183</v>
      </c>
      <c r="R72" s="335">
        <f t="shared" si="44"/>
        <v>0.87349410980217823</v>
      </c>
      <c r="S72" s="658"/>
      <c r="T72" s="50">
        <v>0.33194444444444449</v>
      </c>
      <c r="U72" s="50">
        <v>0.48472222222222228</v>
      </c>
      <c r="V72" s="331">
        <v>6</v>
      </c>
      <c r="W72" s="328">
        <f t="shared" si="49"/>
        <v>220.00000000000003</v>
      </c>
      <c r="X72" s="53"/>
      <c r="Y72" s="53"/>
      <c r="Z72" s="54"/>
      <c r="AA72" s="54"/>
      <c r="AB72" s="644"/>
      <c r="AC72" s="644"/>
      <c r="AD72" s="344"/>
      <c r="AE72" s="344"/>
      <c r="AF72" s="48">
        <f>N72-K72</f>
        <v>-206.9636363636364</v>
      </c>
      <c r="AG72" s="335">
        <f>N72/K72</f>
        <v>0.87349410980217823</v>
      </c>
      <c r="AH72" s="658"/>
    </row>
    <row r="73" spans="1:34" ht="19.2" customHeight="1">
      <c r="A73" s="642"/>
      <c r="B73" s="331" t="s">
        <v>105</v>
      </c>
      <c r="C73" s="175"/>
      <c r="D73" s="176" t="s">
        <v>75</v>
      </c>
      <c r="E73" s="177"/>
      <c r="F73" s="273">
        <v>56.43</v>
      </c>
      <c r="G73" s="44">
        <v>867</v>
      </c>
      <c r="H73" s="45">
        <f t="shared" si="50"/>
        <v>48924.81</v>
      </c>
      <c r="I73" s="344"/>
      <c r="J73" s="178">
        <v>18</v>
      </c>
      <c r="K73" s="179">
        <v>1500</v>
      </c>
      <c r="L73" s="86">
        <v>83.333333333333329</v>
      </c>
      <c r="M73" s="334">
        <v>18</v>
      </c>
      <c r="N73" s="44">
        <f t="shared" si="45"/>
        <v>1333.8461538461531</v>
      </c>
      <c r="O73" s="47">
        <f t="shared" si="46"/>
        <v>74.10256410256406</v>
      </c>
      <c r="P73" s="48">
        <f t="shared" si="47"/>
        <v>0</v>
      </c>
      <c r="Q73" s="49">
        <f t="shared" si="48"/>
        <v>-9.230769230769269</v>
      </c>
      <c r="R73" s="335">
        <f t="shared" si="44"/>
        <v>0.88923076923076871</v>
      </c>
      <c r="S73" s="658"/>
      <c r="T73" s="50">
        <v>0.52361111111111114</v>
      </c>
      <c r="U73" s="50">
        <v>0.55069444444444449</v>
      </c>
      <c r="V73" s="331">
        <v>5</v>
      </c>
      <c r="W73" s="328">
        <f t="shared" si="49"/>
        <v>39.000000000000021</v>
      </c>
      <c r="X73" s="180"/>
      <c r="Y73" s="180"/>
      <c r="Z73" s="124"/>
      <c r="AA73" s="124"/>
      <c r="AB73" s="644"/>
      <c r="AC73" s="644"/>
      <c r="AD73" s="344"/>
      <c r="AE73" s="344"/>
      <c r="AF73" s="48">
        <f>N73-K73</f>
        <v>-166.15384615384687</v>
      </c>
      <c r="AG73" s="335">
        <f>N73/K73</f>
        <v>0.88923076923076871</v>
      </c>
      <c r="AH73" s="658"/>
    </row>
    <row r="74" spans="1:34" ht="19.2" customHeight="1">
      <c r="A74" s="642"/>
      <c r="B74" s="331" t="s">
        <v>101</v>
      </c>
      <c r="C74" s="175"/>
      <c r="D74" s="176" t="s">
        <v>71</v>
      </c>
      <c r="E74" s="177"/>
      <c r="F74" s="273">
        <v>47.51</v>
      </c>
      <c r="G74" s="44">
        <v>1796</v>
      </c>
      <c r="H74" s="45">
        <f t="shared" si="50"/>
        <v>85327.959999999992</v>
      </c>
      <c r="I74" s="331"/>
      <c r="J74" s="87">
        <v>17</v>
      </c>
      <c r="K74" s="57">
        <v>1440</v>
      </c>
      <c r="L74" s="86">
        <v>84.705882352941174</v>
      </c>
      <c r="M74" s="329">
        <v>17</v>
      </c>
      <c r="N74" s="44">
        <f t="shared" si="45"/>
        <v>1346.9999999999995</v>
      </c>
      <c r="O74" s="47">
        <f t="shared" si="46"/>
        <v>79.23529411764703</v>
      </c>
      <c r="P74" s="48">
        <f t="shared" si="47"/>
        <v>0</v>
      </c>
      <c r="Q74" s="49">
        <f t="shared" si="48"/>
        <v>-5.4705882352941444</v>
      </c>
      <c r="R74" s="335">
        <f t="shared" si="44"/>
        <v>0.93541666666666634</v>
      </c>
      <c r="S74" s="658"/>
      <c r="T74" s="50">
        <v>0.55555555555555558</v>
      </c>
      <c r="U74" s="50">
        <v>0.61111111111111116</v>
      </c>
      <c r="V74" s="331">
        <v>7</v>
      </c>
      <c r="W74" s="328">
        <f t="shared" si="49"/>
        <v>80.000000000000028</v>
      </c>
      <c r="X74" s="180"/>
      <c r="Y74" s="180"/>
      <c r="Z74" s="124"/>
      <c r="AA74" s="124"/>
      <c r="AB74" s="644"/>
      <c r="AC74" s="644"/>
      <c r="AD74" s="344"/>
      <c r="AE74" s="344">
        <v>1</v>
      </c>
      <c r="AF74" s="48">
        <f t="shared" ref="AF74:AF80" si="51">N74-K74</f>
        <v>-93.000000000000455</v>
      </c>
      <c r="AG74" s="335">
        <f t="shared" ref="AG74:AG80" si="52">N74/K74</f>
        <v>0.93541666666666634</v>
      </c>
      <c r="AH74" s="658"/>
    </row>
    <row r="75" spans="1:34" ht="19.2" customHeight="1">
      <c r="A75" s="642"/>
      <c r="B75" s="331" t="s">
        <v>101</v>
      </c>
      <c r="C75" s="66"/>
      <c r="D75" s="173" t="s">
        <v>70</v>
      </c>
      <c r="E75" s="43"/>
      <c r="F75" s="273">
        <v>53.76</v>
      </c>
      <c r="G75" s="57">
        <v>2796</v>
      </c>
      <c r="H75" s="45">
        <f t="shared" si="50"/>
        <v>150312.95999999999</v>
      </c>
      <c r="I75" s="331"/>
      <c r="J75" s="87">
        <v>16</v>
      </c>
      <c r="K75" s="57">
        <v>1440</v>
      </c>
      <c r="L75" s="86">
        <v>90</v>
      </c>
      <c r="M75" s="329">
        <v>16</v>
      </c>
      <c r="N75" s="44">
        <f t="shared" si="45"/>
        <v>1363.9024390243897</v>
      </c>
      <c r="O75" s="47">
        <f t="shared" si="46"/>
        <v>85.243902439024353</v>
      </c>
      <c r="P75" s="48">
        <f t="shared" si="47"/>
        <v>0</v>
      </c>
      <c r="Q75" s="49">
        <f t="shared" si="48"/>
        <v>-4.7560975609756468</v>
      </c>
      <c r="R75" s="335">
        <f t="shared" si="44"/>
        <v>0.94715447154471499</v>
      </c>
      <c r="S75" s="658"/>
      <c r="T75" s="50">
        <v>0.62638888888888888</v>
      </c>
      <c r="U75" s="50">
        <v>0.71180555555555558</v>
      </c>
      <c r="V75" s="331">
        <v>22</v>
      </c>
      <c r="W75" s="328">
        <f t="shared" si="49"/>
        <v>123.00000000000004</v>
      </c>
      <c r="X75" s="180">
        <v>0.61527777777777781</v>
      </c>
      <c r="Y75" s="180">
        <v>0.625</v>
      </c>
      <c r="Z75" s="124"/>
      <c r="AA75" s="124"/>
      <c r="AB75" s="644"/>
      <c r="AC75" s="644"/>
      <c r="AD75" s="344"/>
      <c r="AE75" s="344"/>
      <c r="AF75" s="48">
        <f t="shared" si="51"/>
        <v>-76.097560975610349</v>
      </c>
      <c r="AG75" s="335">
        <f t="shared" si="52"/>
        <v>0.94715447154471499</v>
      </c>
      <c r="AH75" s="658"/>
    </row>
    <row r="76" spans="1:34" ht="19.2" customHeight="1">
      <c r="A76" s="642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658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644"/>
      <c r="AC76" s="644"/>
      <c r="AD76" s="344"/>
      <c r="AE76" s="344"/>
      <c r="AF76" s="48">
        <f t="shared" si="51"/>
        <v>0</v>
      </c>
      <c r="AG76" s="335" t="e">
        <f t="shared" si="52"/>
        <v>#DIV/0!</v>
      </c>
      <c r="AH76" s="658"/>
    </row>
    <row r="77" spans="1:34" ht="19.2" customHeight="1">
      <c r="A77" s="642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658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644"/>
      <c r="AC77" s="644"/>
      <c r="AD77" s="344"/>
      <c r="AE77" s="344"/>
      <c r="AF77" s="48">
        <f t="shared" si="51"/>
        <v>0</v>
      </c>
      <c r="AG77" s="335" t="e">
        <f t="shared" si="52"/>
        <v>#DIV/0!</v>
      </c>
      <c r="AH77" s="658"/>
    </row>
    <row r="78" spans="1:34" ht="19.2" customHeight="1">
      <c r="A78" s="642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658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644"/>
      <c r="AC78" s="644"/>
      <c r="AD78" s="344"/>
      <c r="AE78" s="344"/>
      <c r="AF78" s="48">
        <f t="shared" si="51"/>
        <v>0</v>
      </c>
      <c r="AG78" s="335" t="e">
        <f t="shared" si="52"/>
        <v>#DIV/0!</v>
      </c>
      <c r="AH78" s="658"/>
    </row>
    <row r="79" spans="1:34" ht="19.2" customHeight="1">
      <c r="A79" s="642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658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644"/>
      <c r="AC79" s="644"/>
      <c r="AD79" s="344"/>
      <c r="AE79" s="344"/>
      <c r="AF79" s="48">
        <f t="shared" si="51"/>
        <v>0</v>
      </c>
      <c r="AG79" s="335" t="e">
        <f t="shared" si="52"/>
        <v>#DIV/0!</v>
      </c>
      <c r="AH79" s="658"/>
    </row>
    <row r="80" spans="1:34" ht="19.2" customHeight="1">
      <c r="A80" s="642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658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644"/>
      <c r="AC80" s="644"/>
      <c r="AD80" s="344"/>
      <c r="AE80" s="344"/>
      <c r="AF80" s="48">
        <f t="shared" si="51"/>
        <v>0</v>
      </c>
      <c r="AG80" s="335" t="e">
        <f t="shared" si="52"/>
        <v>#DIV/0!</v>
      </c>
      <c r="AH80" s="658"/>
    </row>
    <row r="81" spans="1:34" ht="19.2" customHeight="1">
      <c r="A81" s="642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658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644"/>
      <c r="AC81" s="644"/>
      <c r="AD81" s="344"/>
      <c r="AE81" s="344"/>
      <c r="AF81" s="48"/>
      <c r="AG81" s="125"/>
      <c r="AH81" s="658"/>
    </row>
    <row r="82" spans="1:34" ht="19.2" customHeight="1">
      <c r="A82" s="685"/>
      <c r="B82" s="168">
        <v>0</v>
      </c>
      <c r="C82" s="100" t="s">
        <v>232</v>
      </c>
      <c r="D82" s="673" t="s">
        <v>221</v>
      </c>
      <c r="E82" s="673"/>
      <c r="F82" s="28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1366.0455446992028</v>
      </c>
      <c r="O82" s="184">
        <f t="shared" si="53"/>
        <v>79.109044297614616</v>
      </c>
      <c r="P82" s="116">
        <f>M82-J82</f>
        <v>0</v>
      </c>
      <c r="Q82" s="117">
        <f>N82-K82</f>
        <v>-126.62112196746398</v>
      </c>
      <c r="R82" s="172">
        <f>O82/L82</f>
        <v>0.91650767709479242</v>
      </c>
      <c r="S82" s="658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644"/>
      <c r="AC82" s="644"/>
      <c r="AD82" s="107">
        <f>SUM(AD70:AD81)</f>
        <v>0</v>
      </c>
      <c r="AE82" s="107">
        <f>SUM(AE70:AE81)</f>
        <v>1</v>
      </c>
      <c r="AF82" s="48">
        <f>N82-K82</f>
        <v>-126.62112196746398</v>
      </c>
      <c r="AG82" s="335">
        <f>N82/K82</f>
        <v>0.91517120011112285</v>
      </c>
      <c r="AH82" s="658"/>
    </row>
    <row r="83" spans="1:34" ht="19.2" customHeight="1">
      <c r="A83" s="686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2185.9500000000003</v>
      </c>
      <c r="H83" s="84">
        <f t="shared" ref="H83:H94" si="54">F83*G83</f>
        <v>133386.66900000002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1352.1340206185571</v>
      </c>
      <c r="O83" s="183">
        <f t="shared" ref="O83:O89" si="56">N83/M83</f>
        <v>79.537295330503355</v>
      </c>
      <c r="P83" s="54">
        <f t="shared" ref="P83:P85" si="57">M83-J83</f>
        <v>0</v>
      </c>
      <c r="Q83" s="88">
        <f t="shared" ref="Q83:Q85" si="58">O83-L83</f>
        <v>-5.1685870224378192</v>
      </c>
      <c r="R83" s="185">
        <f t="shared" ref="R83:R85" si="59">O83/L83</f>
        <v>0.93898195876288681</v>
      </c>
      <c r="S83" s="658">
        <f>R95</f>
        <v>0.82914761744041909</v>
      </c>
      <c r="T83" s="50">
        <v>0.33333333333333331</v>
      </c>
      <c r="U83" s="50">
        <v>0.40069444444444441</v>
      </c>
      <c r="V83" s="331">
        <v>5</v>
      </c>
      <c r="W83" s="328">
        <f t="shared" ref="W83:W93" si="60">(U83-T83)*24*60</f>
        <v>96.999999999999972</v>
      </c>
      <c r="X83" s="53"/>
      <c r="Y83" s="53"/>
      <c r="Z83" s="54"/>
      <c r="AA83" s="54"/>
      <c r="AB83" s="644"/>
      <c r="AC83" s="644"/>
      <c r="AD83" s="344"/>
      <c r="AE83" s="344"/>
      <c r="AF83" s="48">
        <f t="shared" ref="AF83:AF173" si="61">N83-K83</f>
        <v>-87.865979381442912</v>
      </c>
      <c r="AG83" s="335">
        <f t="shared" ref="AG83:AG173" si="62">N83/K83</f>
        <v>0.93898195876288681</v>
      </c>
      <c r="AH83" s="658">
        <f>AG95</f>
        <v>0.84371878515344834</v>
      </c>
    </row>
    <row r="84" spans="1:34" ht="19.2" customHeight="1">
      <c r="A84" s="687"/>
      <c r="B84" s="110" t="s">
        <v>102</v>
      </c>
      <c r="C84" s="341"/>
      <c r="D84" s="186" t="s">
        <v>187</v>
      </c>
      <c r="E84" s="43"/>
      <c r="F84" s="280">
        <v>53.27</v>
      </c>
      <c r="G84" s="44">
        <v>3013.4</v>
      </c>
      <c r="H84" s="84">
        <f t="shared" si="54"/>
        <v>160523.81800000003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1300.7482014388488</v>
      </c>
      <c r="O84" s="183">
        <f t="shared" si="56"/>
        <v>76.514600084638161</v>
      </c>
      <c r="P84" s="54">
        <f t="shared" si="57"/>
        <v>0</v>
      </c>
      <c r="Q84" s="88">
        <f t="shared" si="58"/>
        <v>-15.544223444773607</v>
      </c>
      <c r="R84" s="185">
        <f t="shared" si="59"/>
        <v>0.83114901050405665</v>
      </c>
      <c r="S84" s="658"/>
      <c r="T84" s="50">
        <v>0.41666666666666663</v>
      </c>
      <c r="U84" s="50">
        <v>0.5131944444444444</v>
      </c>
      <c r="V84" s="331">
        <v>23</v>
      </c>
      <c r="W84" s="328">
        <f t="shared" si="60"/>
        <v>139</v>
      </c>
      <c r="X84" s="53">
        <v>0.4055555555555555</v>
      </c>
      <c r="Y84" s="53">
        <v>0.4152777777777778</v>
      </c>
      <c r="Z84" s="54"/>
      <c r="AA84" s="54"/>
      <c r="AB84" s="644"/>
      <c r="AC84" s="644"/>
      <c r="AD84" s="344"/>
      <c r="AE84" s="344"/>
      <c r="AF84" s="48">
        <f t="shared" si="61"/>
        <v>-264.25179856115119</v>
      </c>
      <c r="AG84" s="335">
        <f t="shared" si="62"/>
        <v>0.83114901050405676</v>
      </c>
      <c r="AH84" s="658"/>
    </row>
    <row r="85" spans="1:34" ht="19.2" customHeight="1">
      <c r="A85" s="687"/>
      <c r="B85" s="110" t="s">
        <v>101</v>
      </c>
      <c r="C85" s="122"/>
      <c r="D85" s="186" t="s">
        <v>161</v>
      </c>
      <c r="E85" s="43"/>
      <c r="F85" s="280">
        <v>61.09</v>
      </c>
      <c r="G85" s="44">
        <v>2054.7000000000003</v>
      </c>
      <c r="H85" s="84">
        <f t="shared" si="54"/>
        <v>125521.62300000002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1297.7052631578949</v>
      </c>
      <c r="O85" s="183">
        <f t="shared" si="56"/>
        <v>76.335603715170294</v>
      </c>
      <c r="P85" s="54">
        <f t="shared" si="57"/>
        <v>0</v>
      </c>
      <c r="Q85" s="88">
        <f t="shared" si="58"/>
        <v>-8.3702786377708804</v>
      </c>
      <c r="R85" s="185">
        <f t="shared" si="59"/>
        <v>0.90118421052631603</v>
      </c>
      <c r="S85" s="658"/>
      <c r="T85" s="50">
        <v>0.55347222222222214</v>
      </c>
      <c r="U85" s="50">
        <v>0.61944444444444435</v>
      </c>
      <c r="V85" s="331">
        <v>5</v>
      </c>
      <c r="W85" s="328">
        <f t="shared" si="60"/>
        <v>94.999999999999986</v>
      </c>
      <c r="X85" s="53"/>
      <c r="Y85" s="53"/>
      <c r="Z85" s="54"/>
      <c r="AA85" s="54"/>
      <c r="AB85" s="644"/>
      <c r="AC85" s="644"/>
      <c r="AD85" s="344"/>
      <c r="AE85" s="344"/>
      <c r="AF85" s="48">
        <f t="shared" si="61"/>
        <v>-142.29473684210507</v>
      </c>
      <c r="AG85" s="335">
        <f t="shared" si="62"/>
        <v>0.90118421052631592</v>
      </c>
      <c r="AH85" s="658"/>
    </row>
    <row r="86" spans="1:34" ht="19.2" customHeight="1">
      <c r="A86" s="687"/>
      <c r="B86" s="110" t="s">
        <v>105</v>
      </c>
      <c r="C86" s="97"/>
      <c r="D86" s="186" t="s">
        <v>177</v>
      </c>
      <c r="E86" s="43"/>
      <c r="F86" s="280">
        <v>51.44</v>
      </c>
      <c r="G86" s="44">
        <v>1239.3</v>
      </c>
      <c r="H86" s="84">
        <f t="shared" si="54"/>
        <v>63749.591999999997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1282.0344827586216</v>
      </c>
      <c r="O86" s="183">
        <f t="shared" si="56"/>
        <v>64.101724137931086</v>
      </c>
      <c r="P86" s="54">
        <f>M86-J86</f>
        <v>0</v>
      </c>
      <c r="Q86" s="88">
        <f>O86-L86</f>
        <v>-7.898275862068914</v>
      </c>
      <c r="R86" s="185">
        <f>O86/L86</f>
        <v>0.89030172413793174</v>
      </c>
      <c r="S86" s="658"/>
      <c r="T86" s="50">
        <v>0.62499999999999989</v>
      </c>
      <c r="U86" s="50">
        <v>0.66527777777777763</v>
      </c>
      <c r="V86" s="331">
        <v>8</v>
      </c>
      <c r="W86" s="328">
        <f t="shared" si="60"/>
        <v>57.999999999999957</v>
      </c>
      <c r="X86" s="53"/>
      <c r="Y86" s="53"/>
      <c r="Z86" s="54"/>
      <c r="AA86" s="54"/>
      <c r="AB86" s="644"/>
      <c r="AC86" s="644"/>
      <c r="AD86" s="344"/>
      <c r="AE86" s="344"/>
      <c r="AF86" s="48">
        <f>N86-K86</f>
        <v>-157.96551724137839</v>
      </c>
      <c r="AG86" s="335">
        <f>N86/K86</f>
        <v>0.89030172413793163</v>
      </c>
      <c r="AH86" s="658"/>
    </row>
    <row r="87" spans="1:34" ht="19.2" customHeight="1">
      <c r="A87" s="687"/>
      <c r="B87" s="110" t="s">
        <v>101</v>
      </c>
      <c r="C87" s="97"/>
      <c r="D87" s="186" t="s">
        <v>154</v>
      </c>
      <c r="E87" s="43"/>
      <c r="F87" s="280">
        <v>61.02</v>
      </c>
      <c r="G87" s="44">
        <v>1177.05</v>
      </c>
      <c r="H87" s="84">
        <f t="shared" si="54"/>
        <v>71823.591</v>
      </c>
      <c r="I87" s="331">
        <v>1</v>
      </c>
      <c r="J87" s="87">
        <v>17</v>
      </c>
      <c r="K87" s="57">
        <v>1440</v>
      </c>
      <c r="L87" s="86">
        <v>84.705882352941174</v>
      </c>
      <c r="M87" s="334">
        <v>17</v>
      </c>
      <c r="N87" s="57">
        <f t="shared" si="55"/>
        <v>1284.0545454545461</v>
      </c>
      <c r="O87" s="183">
        <f t="shared" si="56"/>
        <v>75.532620320855656</v>
      </c>
      <c r="P87" s="54">
        <f>M87-J87</f>
        <v>0</v>
      </c>
      <c r="Q87" s="88">
        <f>O87-L87</f>
        <v>-9.1732620320855176</v>
      </c>
      <c r="R87" s="185">
        <f>O87/L87</f>
        <v>0.89170454545454592</v>
      </c>
      <c r="S87" s="658"/>
      <c r="T87" s="50">
        <v>0.68124999999999991</v>
      </c>
      <c r="U87" s="50">
        <v>0.71944444444444433</v>
      </c>
      <c r="V87" s="331">
        <v>23</v>
      </c>
      <c r="W87" s="328">
        <f t="shared" si="60"/>
        <v>54.999999999999964</v>
      </c>
      <c r="X87" s="53">
        <v>0.67013888888888884</v>
      </c>
      <c r="Y87" s="53">
        <v>0.68055555555555547</v>
      </c>
      <c r="Z87" s="54"/>
      <c r="AA87" s="54"/>
      <c r="AB87" s="644"/>
      <c r="AC87" s="644"/>
      <c r="AD87" s="344"/>
      <c r="AE87" s="344"/>
      <c r="AF87" s="48">
        <f>N87-K87</f>
        <v>-155.94545454545391</v>
      </c>
      <c r="AG87" s="335">
        <f>N87/K87</f>
        <v>0.89170454545454592</v>
      </c>
      <c r="AH87" s="658"/>
    </row>
    <row r="88" spans="1:34" ht="19.2" customHeight="1">
      <c r="A88" s="687"/>
      <c r="B88" s="110" t="s">
        <v>102</v>
      </c>
      <c r="C88" s="341"/>
      <c r="D88" s="186" t="s">
        <v>187</v>
      </c>
      <c r="E88" s="43"/>
      <c r="F88" s="280">
        <v>53.27</v>
      </c>
      <c r="G88" s="57">
        <v>1622.6</v>
      </c>
      <c r="H88" s="84">
        <f t="shared" si="54"/>
        <v>86435.902000000002</v>
      </c>
      <c r="I88" s="331">
        <v>1</v>
      </c>
      <c r="J88" s="87">
        <v>17</v>
      </c>
      <c r="K88" s="57">
        <v>1565</v>
      </c>
      <c r="L88" s="86">
        <v>92.058823529411768</v>
      </c>
      <c r="M88" s="334">
        <v>17</v>
      </c>
      <c r="N88" s="57">
        <f t="shared" si="55"/>
        <v>1248.1538461538455</v>
      </c>
      <c r="O88" s="183">
        <f t="shared" si="56"/>
        <v>73.420814479637968</v>
      </c>
      <c r="P88" s="54">
        <f t="shared" ref="P88:P89" si="63">M88-J88</f>
        <v>0</v>
      </c>
      <c r="Q88" s="88">
        <f t="shared" ref="Q88:Q89" si="64">O88-L88</f>
        <v>-18.6380090497738</v>
      </c>
      <c r="R88" s="185">
        <f t="shared" ref="R88:R89" si="65">O88/L88</f>
        <v>0.79754239370852742</v>
      </c>
      <c r="S88" s="658"/>
      <c r="T88" s="50">
        <v>0.72430555555555542</v>
      </c>
      <c r="U88" s="50">
        <v>0.77847222222222212</v>
      </c>
      <c r="V88" s="331">
        <v>7</v>
      </c>
      <c r="W88" s="328">
        <f t="shared" si="60"/>
        <v>78.000000000000043</v>
      </c>
      <c r="X88" s="53"/>
      <c r="Y88" s="53"/>
      <c r="Z88" s="54"/>
      <c r="AA88" s="54"/>
      <c r="AB88" s="644"/>
      <c r="AC88" s="644"/>
      <c r="AD88" s="344"/>
      <c r="AE88" s="344"/>
      <c r="AF88" s="48">
        <f>N88-K88</f>
        <v>-316.84615384615449</v>
      </c>
      <c r="AG88" s="335">
        <f>N88/K88</f>
        <v>0.79754239370852753</v>
      </c>
      <c r="AH88" s="658"/>
    </row>
    <row r="89" spans="1:34" ht="19.2" customHeight="1">
      <c r="A89" s="687"/>
      <c r="B89" s="110" t="s">
        <v>104</v>
      </c>
      <c r="C89" s="341"/>
      <c r="D89" s="42" t="s">
        <v>62</v>
      </c>
      <c r="E89" s="43"/>
      <c r="F89" s="280">
        <v>36.409999999999997</v>
      </c>
      <c r="G89" s="114">
        <v>1588.6000000000001</v>
      </c>
      <c r="H89" s="84">
        <f t="shared" si="54"/>
        <v>57840.925999999999</v>
      </c>
      <c r="I89" s="331">
        <v>1</v>
      </c>
      <c r="J89" s="87">
        <v>10</v>
      </c>
      <c r="K89" s="57">
        <v>2769</v>
      </c>
      <c r="L89" s="86">
        <v>276.89999999999998</v>
      </c>
      <c r="M89" s="334">
        <v>10</v>
      </c>
      <c r="N89" s="57">
        <f t="shared" si="55"/>
        <v>2072.0869565217395</v>
      </c>
      <c r="O89" s="183">
        <f t="shared" si="56"/>
        <v>207.20869565217396</v>
      </c>
      <c r="P89" s="54">
        <f t="shared" si="63"/>
        <v>0</v>
      </c>
      <c r="Q89" s="88">
        <f t="shared" si="64"/>
        <v>-69.691304347826019</v>
      </c>
      <c r="R89" s="185">
        <f t="shared" si="65"/>
        <v>0.74831598285364387</v>
      </c>
      <c r="S89" s="658"/>
      <c r="T89" s="50">
        <v>0.78402777777777766</v>
      </c>
      <c r="U89" s="50">
        <v>0.8159722222222221</v>
      </c>
      <c r="V89" s="331">
        <v>8</v>
      </c>
      <c r="W89" s="328">
        <f t="shared" si="60"/>
        <v>46</v>
      </c>
      <c r="X89" s="53"/>
      <c r="Y89" s="53"/>
      <c r="Z89" s="54"/>
      <c r="AA89" s="54"/>
      <c r="AB89" s="644"/>
      <c r="AC89" s="644"/>
      <c r="AD89" s="344">
        <v>2</v>
      </c>
      <c r="AE89" s="344">
        <v>1</v>
      </c>
      <c r="AF89" s="48">
        <f>N89-K89</f>
        <v>-696.91304347826053</v>
      </c>
      <c r="AG89" s="335">
        <f>N89/K89</f>
        <v>0.74831598285364376</v>
      </c>
      <c r="AH89" s="658"/>
    </row>
    <row r="90" spans="1:34" ht="19.2" customHeight="1">
      <c r="A90" s="687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658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644"/>
      <c r="AC90" s="644"/>
      <c r="AD90" s="344"/>
      <c r="AE90" s="344"/>
      <c r="AF90" s="48">
        <f t="shared" si="61"/>
        <v>0</v>
      </c>
      <c r="AG90" s="335" t="e">
        <f t="shared" si="62"/>
        <v>#DIV/0!</v>
      </c>
      <c r="AH90" s="658"/>
    </row>
    <row r="91" spans="1:34" ht="19.2" customHeight="1">
      <c r="A91" s="687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659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644"/>
      <c r="AC91" s="644"/>
      <c r="AD91" s="344"/>
      <c r="AE91" s="344"/>
      <c r="AF91" s="48">
        <f t="shared" si="61"/>
        <v>0</v>
      </c>
      <c r="AG91" s="335" t="e">
        <f t="shared" si="62"/>
        <v>#DIV/0!</v>
      </c>
      <c r="AH91" s="659"/>
    </row>
    <row r="92" spans="1:34" ht="19.2" customHeight="1">
      <c r="A92" s="687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659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644"/>
      <c r="AC92" s="644"/>
      <c r="AD92" s="344"/>
      <c r="AE92" s="344"/>
      <c r="AF92" s="48">
        <f t="shared" si="61"/>
        <v>0</v>
      </c>
      <c r="AG92" s="335" t="e">
        <f t="shared" si="62"/>
        <v>#DIV/0!</v>
      </c>
      <c r="AH92" s="659"/>
    </row>
    <row r="93" spans="1:34" ht="19.2" customHeight="1">
      <c r="A93" s="687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688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644"/>
      <c r="AC93" s="644"/>
      <c r="AD93" s="344"/>
      <c r="AE93" s="344"/>
      <c r="AF93" s="48">
        <f t="shared" si="61"/>
        <v>0</v>
      </c>
      <c r="AG93" s="335" t="e">
        <f t="shared" si="62"/>
        <v>#DIV/0!</v>
      </c>
      <c r="AH93" s="659"/>
    </row>
    <row r="94" spans="1:34" ht="19.2" customHeight="1">
      <c r="A94" s="687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688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644"/>
      <c r="AC94" s="644"/>
      <c r="AD94" s="344"/>
      <c r="AE94" s="344"/>
      <c r="AF94" s="48">
        <f t="shared" si="61"/>
        <v>0</v>
      </c>
      <c r="AG94" s="335" t="e">
        <f t="shared" si="62"/>
        <v>#DIV/0!</v>
      </c>
      <c r="AH94" s="659"/>
    </row>
    <row r="95" spans="1:34" ht="19.2" customHeight="1">
      <c r="A95" s="687"/>
      <c r="B95" s="197">
        <v>0</v>
      </c>
      <c r="C95" s="100" t="s">
        <v>234</v>
      </c>
      <c r="D95" s="673" t="s">
        <v>221</v>
      </c>
      <c r="E95" s="673"/>
      <c r="F95" s="274"/>
      <c r="G95" s="70"/>
      <c r="H95" s="198"/>
      <c r="I95" s="103"/>
      <c r="J95" s="199">
        <v>16.428571428571427</v>
      </c>
      <c r="K95" s="199">
        <v>1665.5714285714287</v>
      </c>
      <c r="L95" s="200">
        <v>112.44789915966385</v>
      </c>
      <c r="M95" s="199">
        <f t="shared" ref="M95:O95" si="66">AVERAGE(M83:M94)</f>
        <v>16.428571428571427</v>
      </c>
      <c r="N95" s="199">
        <f t="shared" si="66"/>
        <v>1405.2739023005793</v>
      </c>
      <c r="O95" s="200">
        <f t="shared" si="66"/>
        <v>93.235907674415785</v>
      </c>
      <c r="P95" s="201">
        <f>M95-J95</f>
        <v>0</v>
      </c>
      <c r="Q95" s="202">
        <f t="shared" ref="Q95:Q102" si="67">O95-L95</f>
        <v>-19.211991485248063</v>
      </c>
      <c r="R95" s="203">
        <f>O95/L95</f>
        <v>0.82914761744041909</v>
      </c>
      <c r="S95" s="65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44"/>
      <c r="AC95" s="644"/>
      <c r="AD95" s="107">
        <f>SUM(AD83:AD94)</f>
        <v>2</v>
      </c>
      <c r="AE95" s="107">
        <f>SUM(AE83:AE94)</f>
        <v>1</v>
      </c>
      <c r="AF95" s="65">
        <f t="shared" si="61"/>
        <v>-260.2975262708494</v>
      </c>
      <c r="AG95" s="336">
        <f t="shared" si="62"/>
        <v>0.84371878515344834</v>
      </c>
      <c r="AH95" s="659"/>
    </row>
    <row r="96" spans="1:34" ht="19.2" customHeight="1">
      <c r="A96" s="689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1486</v>
      </c>
      <c r="H96" s="45">
        <f t="shared" ref="H96:H105" si="68">F96*G96</f>
        <v>43777.56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9">G96/W96*60</f>
        <v>1087.3170731707312</v>
      </c>
      <c r="O96" s="47">
        <f t="shared" ref="O96:O102" si="70">N96/M96</f>
        <v>67.957317073170699</v>
      </c>
      <c r="P96" s="48">
        <f t="shared" ref="P96:P102" si="71">M96-J96</f>
        <v>0</v>
      </c>
      <c r="Q96" s="49">
        <f t="shared" si="67"/>
        <v>-18.605182926829301</v>
      </c>
      <c r="R96" s="335">
        <f t="shared" ref="R96:R102" si="72">O96/L96</f>
        <v>0.78506647882363267</v>
      </c>
      <c r="S96" s="658">
        <f>R108</f>
        <v>0.8354276439993491</v>
      </c>
      <c r="T96" s="89">
        <v>0.33333333333333331</v>
      </c>
      <c r="U96" s="89">
        <v>0.39027777777777778</v>
      </c>
      <c r="V96" s="344">
        <v>5</v>
      </c>
      <c r="W96" s="90">
        <f t="shared" ref="W96:W133" si="73">(U96-T96)*24*60</f>
        <v>82.000000000000028</v>
      </c>
      <c r="X96" s="96"/>
      <c r="Y96" s="96"/>
      <c r="Z96" s="54"/>
      <c r="AA96" s="54"/>
      <c r="AB96" s="644"/>
      <c r="AC96" s="644"/>
      <c r="AD96" s="344"/>
      <c r="AE96" s="344"/>
      <c r="AF96" s="54">
        <f t="shared" si="61"/>
        <v>-297.68292682926881</v>
      </c>
      <c r="AG96" s="338">
        <f t="shared" si="62"/>
        <v>0.78506647882363267</v>
      </c>
      <c r="AH96" s="667">
        <f>AG108</f>
        <v>0.83622446461561895</v>
      </c>
    </row>
    <row r="97" spans="1:34" s="212" customFormat="1" ht="19.2" customHeight="1">
      <c r="A97" s="689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3500</v>
      </c>
      <c r="H97" s="207">
        <f t="shared" si="68"/>
        <v>101896.02446483179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1249.9999999999995</v>
      </c>
      <c r="O97" s="47">
        <f t="shared" si="70"/>
        <v>62.499999999999979</v>
      </c>
      <c r="P97" s="48">
        <f t="shared" si="71"/>
        <v>0</v>
      </c>
      <c r="Q97" s="49">
        <f t="shared" si="67"/>
        <v>-6.7500000000000213</v>
      </c>
      <c r="R97" s="335">
        <f t="shared" si="72"/>
        <v>0.90252707581227409</v>
      </c>
      <c r="S97" s="658"/>
      <c r="T97" s="208">
        <v>0.40555555555555556</v>
      </c>
      <c r="U97" s="208">
        <v>0.52222222222222225</v>
      </c>
      <c r="V97" s="209">
        <v>22</v>
      </c>
      <c r="W97" s="90">
        <f t="shared" si="73"/>
        <v>168.00000000000006</v>
      </c>
      <c r="X97" s="53">
        <v>0.39444444444444443</v>
      </c>
      <c r="Y97" s="53">
        <v>0.40416666666666662</v>
      </c>
      <c r="Z97" s="54"/>
      <c r="AA97" s="54"/>
      <c r="AB97" s="644"/>
      <c r="AC97" s="644"/>
      <c r="AD97" s="209"/>
      <c r="AE97" s="209"/>
      <c r="AF97" s="210">
        <f t="shared" si="61"/>
        <v>-135.00000000000045</v>
      </c>
      <c r="AG97" s="211">
        <f t="shared" si="62"/>
        <v>0.90252707581227409</v>
      </c>
      <c r="AH97" s="667"/>
    </row>
    <row r="98" spans="1:34" s="215" customFormat="1" ht="19.2" customHeight="1">
      <c r="A98" s="689"/>
      <c r="B98" s="33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1179.9999999999995</v>
      </c>
      <c r="O98" s="47">
        <f t="shared" si="70"/>
        <v>65.555555555555529</v>
      </c>
      <c r="P98" s="48">
        <f t="shared" si="71"/>
        <v>0</v>
      </c>
      <c r="Q98" s="49">
        <f t="shared" si="67"/>
        <v>-11.388888888888914</v>
      </c>
      <c r="R98" s="335">
        <f t="shared" si="72"/>
        <v>0.85198555956678668</v>
      </c>
      <c r="S98" s="658"/>
      <c r="T98" s="89">
        <v>0.5625</v>
      </c>
      <c r="U98" s="89">
        <v>0.58958333333333335</v>
      </c>
      <c r="V98" s="344">
        <v>5</v>
      </c>
      <c r="W98" s="90">
        <f t="shared" si="73"/>
        <v>39.000000000000021</v>
      </c>
      <c r="X98" s="213"/>
      <c r="Y98" s="213"/>
      <c r="Z98" s="214"/>
      <c r="AA98" s="214"/>
      <c r="AB98" s="644"/>
      <c r="AC98" s="644"/>
      <c r="AD98" s="344"/>
      <c r="AE98" s="344"/>
      <c r="AF98" s="54">
        <f t="shared" si="61"/>
        <v>-205.00000000000045</v>
      </c>
      <c r="AG98" s="338">
        <f t="shared" si="62"/>
        <v>0.85198555956678668</v>
      </c>
      <c r="AH98" s="667"/>
    </row>
    <row r="99" spans="1:34" ht="19.2" customHeight="1">
      <c r="A99" s="689"/>
      <c r="B99" s="331" t="s">
        <v>101</v>
      </c>
      <c r="C99" s="81"/>
      <c r="D99" s="82" t="s">
        <v>58</v>
      </c>
      <c r="E99" s="83"/>
      <c r="F99" s="284">
        <v>59.54</v>
      </c>
      <c r="G99" s="57">
        <v>1471</v>
      </c>
      <c r="H99" s="207">
        <f t="shared" si="68"/>
        <v>87583.34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9"/>
        <v>1192.7027027027018</v>
      </c>
      <c r="O99" s="47">
        <f t="shared" si="70"/>
        <v>66.261261261261211</v>
      </c>
      <c r="P99" s="48">
        <f t="shared" si="71"/>
        <v>0</v>
      </c>
      <c r="Q99" s="49">
        <f t="shared" si="67"/>
        <v>-10.683183183183232</v>
      </c>
      <c r="R99" s="335">
        <f t="shared" si="72"/>
        <v>0.8611571860669327</v>
      </c>
      <c r="S99" s="658"/>
      <c r="T99" s="89">
        <v>0.59375</v>
      </c>
      <c r="U99" s="89">
        <v>0.64513888888888893</v>
      </c>
      <c r="V99" s="344">
        <v>6</v>
      </c>
      <c r="W99" s="90">
        <f t="shared" si="73"/>
        <v>74.000000000000057</v>
      </c>
      <c r="X99" s="180"/>
      <c r="Y99" s="180"/>
      <c r="Z99" s="124"/>
      <c r="AA99" s="124"/>
      <c r="AB99" s="644"/>
      <c r="AC99" s="644"/>
      <c r="AD99" s="344"/>
      <c r="AE99" s="344"/>
      <c r="AF99" s="210">
        <f t="shared" si="61"/>
        <v>-192.2972972972982</v>
      </c>
      <c r="AG99" s="211">
        <f t="shared" si="62"/>
        <v>0.8611571860669327</v>
      </c>
      <c r="AH99" s="667"/>
    </row>
    <row r="100" spans="1:34" s="215" customFormat="1" ht="19.2" customHeight="1">
      <c r="A100" s="689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1795</v>
      </c>
      <c r="H100" s="207">
        <f t="shared" si="68"/>
        <v>86878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9"/>
        <v>2197.9591836734703</v>
      </c>
      <c r="O100" s="47">
        <f t="shared" si="70"/>
        <v>129.29171668667473</v>
      </c>
      <c r="P100" s="48">
        <f t="shared" si="71"/>
        <v>0</v>
      </c>
      <c r="Q100" s="49">
        <f t="shared" si="67"/>
        <v>-21.94357743097234</v>
      </c>
      <c r="R100" s="335">
        <f t="shared" si="72"/>
        <v>0.8549043888267096</v>
      </c>
      <c r="S100" s="658"/>
      <c r="T100" s="208">
        <v>0.65069444444444446</v>
      </c>
      <c r="U100" s="208">
        <v>0.68472222222222223</v>
      </c>
      <c r="V100" s="209">
        <v>8</v>
      </c>
      <c r="W100" s="90">
        <f t="shared" si="73"/>
        <v>48.999999999999986</v>
      </c>
      <c r="X100" s="216"/>
      <c r="Y100" s="216"/>
      <c r="Z100" s="214"/>
      <c r="AA100" s="214"/>
      <c r="AB100" s="644"/>
      <c r="AC100" s="644"/>
      <c r="AD100" s="344"/>
      <c r="AE100" s="344"/>
      <c r="AF100" s="54">
        <f t="shared" si="61"/>
        <v>-373.04081632652969</v>
      </c>
      <c r="AG100" s="338">
        <f t="shared" si="62"/>
        <v>0.8549043888267096</v>
      </c>
      <c r="AH100" s="667"/>
    </row>
    <row r="101" spans="1:34" s="215" customFormat="1" ht="19.2" customHeight="1">
      <c r="A101" s="689"/>
      <c r="B101" s="331" t="s">
        <v>103</v>
      </c>
      <c r="C101" s="55"/>
      <c r="D101" s="82" t="s">
        <v>60</v>
      </c>
      <c r="E101" s="83"/>
      <c r="F101" s="284">
        <v>43.14</v>
      </c>
      <c r="G101" s="57">
        <v>395.8</v>
      </c>
      <c r="H101" s="207">
        <f t="shared" si="68"/>
        <v>17074.812000000002</v>
      </c>
      <c r="I101" s="344">
        <v>1</v>
      </c>
      <c r="J101" s="46">
        <v>17</v>
      </c>
      <c r="K101" s="44">
        <v>1500</v>
      </c>
      <c r="L101" s="47">
        <v>88.235294117647058</v>
      </c>
      <c r="M101" s="87">
        <v>17</v>
      </c>
      <c r="N101" s="44">
        <f t="shared" si="69"/>
        <v>1249.8947368421098</v>
      </c>
      <c r="O101" s="47">
        <f t="shared" si="70"/>
        <v>73.523219814241756</v>
      </c>
      <c r="P101" s="48">
        <f t="shared" si="71"/>
        <v>0</v>
      </c>
      <c r="Q101" s="49">
        <f t="shared" si="67"/>
        <v>-14.712074303405302</v>
      </c>
      <c r="R101" s="335">
        <f t="shared" si="72"/>
        <v>0.83326315789473993</v>
      </c>
      <c r="S101" s="658"/>
      <c r="T101" s="208">
        <v>0.7</v>
      </c>
      <c r="U101" s="89">
        <v>0.71319444444444435</v>
      </c>
      <c r="V101" s="209">
        <v>22</v>
      </c>
      <c r="W101" s="90">
        <f t="shared" si="73"/>
        <v>18.999999999999932</v>
      </c>
      <c r="X101" s="217">
        <v>0.68888888888888899</v>
      </c>
      <c r="Y101" s="217">
        <v>0.69861111111111107</v>
      </c>
      <c r="Z101" s="214"/>
      <c r="AA101" s="214"/>
      <c r="AB101" s="644"/>
      <c r="AC101" s="644"/>
      <c r="AD101" s="344"/>
      <c r="AE101" s="344"/>
      <c r="AF101" s="210">
        <f t="shared" si="61"/>
        <v>-250.10526315789025</v>
      </c>
      <c r="AG101" s="211">
        <f t="shared" si="62"/>
        <v>0.83326315789473981</v>
      </c>
      <c r="AH101" s="667"/>
    </row>
    <row r="102" spans="1:34" s="215" customFormat="1" ht="19.2" customHeight="1">
      <c r="A102" s="689"/>
      <c r="B102" s="331" t="s">
        <v>101</v>
      </c>
      <c r="C102" s="175"/>
      <c r="D102" s="176" t="s">
        <v>69</v>
      </c>
      <c r="E102" s="177"/>
      <c r="F102" s="284">
        <v>53.36</v>
      </c>
      <c r="G102" s="57">
        <v>582</v>
      </c>
      <c r="H102" s="207">
        <f t="shared" si="68"/>
        <v>31055.52</v>
      </c>
      <c r="I102" s="33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1247.1428571428546</v>
      </c>
      <c r="O102" s="47">
        <f t="shared" si="70"/>
        <v>65.639097744360768</v>
      </c>
      <c r="P102" s="48">
        <f t="shared" si="71"/>
        <v>0</v>
      </c>
      <c r="Q102" s="49">
        <f t="shared" si="67"/>
        <v>-20.466165413533972</v>
      </c>
      <c r="R102" s="335">
        <f t="shared" si="72"/>
        <v>0.76231225986727047</v>
      </c>
      <c r="S102" s="658"/>
      <c r="T102" s="208">
        <v>0.71805555555555545</v>
      </c>
      <c r="U102" s="208">
        <v>0.73749999999999993</v>
      </c>
      <c r="V102" s="209">
        <v>7</v>
      </c>
      <c r="W102" s="90">
        <f t="shared" si="73"/>
        <v>28.00000000000006</v>
      </c>
      <c r="X102" s="217"/>
      <c r="Y102" s="217"/>
      <c r="Z102" s="214"/>
      <c r="AA102" s="214"/>
      <c r="AB102" s="644"/>
      <c r="AC102" s="644"/>
      <c r="AD102" s="344">
        <v>1</v>
      </c>
      <c r="AE102" s="344"/>
      <c r="AF102" s="54">
        <f t="shared" si="61"/>
        <v>-388.85714285714539</v>
      </c>
      <c r="AG102" s="338">
        <f t="shared" si="62"/>
        <v>0.76231225986727058</v>
      </c>
      <c r="AH102" s="667"/>
    </row>
    <row r="103" spans="1:34" s="215" customFormat="1" ht="19.2" customHeight="1">
      <c r="A103" s="689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658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644"/>
      <c r="AC103" s="644"/>
      <c r="AD103" s="344"/>
      <c r="AE103" s="344"/>
      <c r="AF103" s="54">
        <f t="shared" si="61"/>
        <v>0</v>
      </c>
      <c r="AG103" s="338" t="e">
        <f t="shared" si="62"/>
        <v>#DIV/0!</v>
      </c>
      <c r="AH103" s="667"/>
    </row>
    <row r="104" spans="1:34" s="215" customFormat="1" ht="19.2" customHeight="1">
      <c r="A104" s="689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65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644"/>
      <c r="AC104" s="644"/>
      <c r="AD104" s="344"/>
      <c r="AE104" s="344"/>
      <c r="AF104" s="210">
        <f t="shared" si="61"/>
        <v>0</v>
      </c>
      <c r="AG104" s="211" t="e">
        <f t="shared" si="62"/>
        <v>#DIV/0!</v>
      </c>
      <c r="AH104" s="667"/>
    </row>
    <row r="105" spans="1:34" s="215" customFormat="1" ht="19.2" customHeight="1">
      <c r="A105" s="689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65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644"/>
      <c r="AC105" s="644"/>
      <c r="AD105" s="344"/>
      <c r="AE105" s="344"/>
      <c r="AF105" s="54">
        <f t="shared" si="61"/>
        <v>0</v>
      </c>
      <c r="AG105" s="338" t="e">
        <f t="shared" si="62"/>
        <v>#DIV/0!</v>
      </c>
      <c r="AH105" s="667"/>
    </row>
    <row r="106" spans="1:34" s="215" customFormat="1" ht="19.2" customHeight="1">
      <c r="A106" s="68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68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644"/>
      <c r="AC106" s="644"/>
      <c r="AD106" s="344"/>
      <c r="AE106" s="344"/>
      <c r="AF106" s="54">
        <f t="shared" si="61"/>
        <v>0</v>
      </c>
      <c r="AG106" s="338" t="e">
        <f t="shared" si="62"/>
        <v>#DIV/0!</v>
      </c>
      <c r="AH106" s="667"/>
    </row>
    <row r="107" spans="1:34" s="215" customFormat="1" ht="19.2" customHeight="1">
      <c r="A107" s="68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68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644"/>
      <c r="AC107" s="644"/>
      <c r="AD107" s="344"/>
      <c r="AE107" s="344"/>
      <c r="AF107" s="214"/>
      <c r="AG107" s="338"/>
      <c r="AH107" s="667"/>
    </row>
    <row r="108" spans="1:34" ht="19.2" customHeight="1">
      <c r="A108" s="689"/>
      <c r="B108" s="110">
        <v>0</v>
      </c>
      <c r="C108" s="100" t="s">
        <v>236</v>
      </c>
      <c r="D108" s="673" t="s">
        <v>221</v>
      </c>
      <c r="E108" s="673"/>
      <c r="F108" s="285"/>
      <c r="G108" s="101"/>
      <c r="H108" s="102"/>
      <c r="I108" s="103"/>
      <c r="J108" s="101">
        <v>17.857142857142858</v>
      </c>
      <c r="K108" s="101">
        <v>1606.7142857142858</v>
      </c>
      <c r="L108" s="104">
        <v>90.753891468868261</v>
      </c>
      <c r="M108" s="101">
        <f t="shared" ref="M108:O108" si="74">AVERAGE(M96:M107)</f>
        <v>17.857142857142858</v>
      </c>
      <c r="N108" s="101">
        <f t="shared" si="74"/>
        <v>1343.5737933616952</v>
      </c>
      <c r="O108" s="104">
        <f t="shared" si="74"/>
        <v>75.81830973360924</v>
      </c>
      <c r="P108" s="54">
        <f t="shared" ref="P108:P119" si="75">M108-J108</f>
        <v>0</v>
      </c>
      <c r="Q108" s="88">
        <f t="shared" ref="Q108:Q119" si="76">O108-L108</f>
        <v>-14.935581735259021</v>
      </c>
      <c r="R108" s="105">
        <f t="shared" ref="R108:R119" si="77">O108/L108</f>
        <v>0.8354276439993491</v>
      </c>
      <c r="S108" s="65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44"/>
      <c r="AC108" s="644"/>
      <c r="AD108" s="107">
        <f>SUM(AD96:AD107)</f>
        <v>1</v>
      </c>
      <c r="AE108" s="107">
        <f>SUM(AE96:AE107)</f>
        <v>0</v>
      </c>
      <c r="AF108" s="54">
        <f t="shared" si="61"/>
        <v>-263.14049235259063</v>
      </c>
      <c r="AG108" s="338">
        <f t="shared" si="62"/>
        <v>0.83622446461561895</v>
      </c>
      <c r="AH108" s="667"/>
    </row>
    <row r="109" spans="1:34" ht="19.2" customHeight="1">
      <c r="A109" s="690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1930</v>
      </c>
      <c r="H109" s="45">
        <f t="shared" ref="H109:H119" si="78">F109*G109</f>
        <v>57833.402346445815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9" si="79">G109/W109*60</f>
        <v>1218.9473684210527</v>
      </c>
      <c r="O109" s="47">
        <f t="shared" ref="O109:O119" si="80">N109/M109</f>
        <v>64.15512465373962</v>
      </c>
      <c r="P109" s="48">
        <f t="shared" si="75"/>
        <v>1</v>
      </c>
      <c r="Q109" s="49">
        <f t="shared" si="76"/>
        <v>-2.5115420129270518</v>
      </c>
      <c r="R109" s="335">
        <f t="shared" si="77"/>
        <v>0.96232686980609428</v>
      </c>
      <c r="S109" s="693">
        <f>R121</f>
        <v>0.8931803217519011</v>
      </c>
      <c r="T109" s="223">
        <v>0.5</v>
      </c>
      <c r="U109" s="223">
        <v>0.56597222222222221</v>
      </c>
      <c r="V109" s="224">
        <v>5</v>
      </c>
      <c r="W109" s="328">
        <f t="shared" si="73"/>
        <v>94.999999999999986</v>
      </c>
      <c r="X109" s="53"/>
      <c r="Y109" s="53"/>
      <c r="Z109" s="54"/>
      <c r="AA109" s="54"/>
      <c r="AB109" s="644"/>
      <c r="AC109" s="644"/>
      <c r="AD109" s="344"/>
      <c r="AE109" s="344"/>
      <c r="AF109" s="48">
        <f t="shared" si="61"/>
        <v>18.947368421052715</v>
      </c>
      <c r="AG109" s="125">
        <f t="shared" si="62"/>
        <v>1.0157894736842106</v>
      </c>
      <c r="AH109" s="667">
        <f>AG121</f>
        <v>0.89293056234984514</v>
      </c>
    </row>
    <row r="110" spans="1:34" ht="19.2" customHeight="1">
      <c r="A110" s="691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149</v>
      </c>
      <c r="H110" s="45">
        <f t="shared" si="78"/>
        <v>11525.15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9"/>
        <v>1117.5000000000041</v>
      </c>
      <c r="O110" s="47">
        <f t="shared" si="80"/>
        <v>58.815789473684426</v>
      </c>
      <c r="P110" s="48">
        <f t="shared" si="75"/>
        <v>0</v>
      </c>
      <c r="Q110" s="49">
        <f t="shared" si="76"/>
        <v>-16.973684210526095</v>
      </c>
      <c r="R110" s="335">
        <f t="shared" si="77"/>
        <v>0.77604166666666952</v>
      </c>
      <c r="S110" s="694"/>
      <c r="T110" s="223">
        <v>0.57152777777777775</v>
      </c>
      <c r="U110" s="223">
        <v>0.57708333333333328</v>
      </c>
      <c r="V110" s="224">
        <v>8</v>
      </c>
      <c r="W110" s="328">
        <f t="shared" si="73"/>
        <v>7.9999999999999716</v>
      </c>
      <c r="X110" s="188"/>
      <c r="Y110" s="188"/>
      <c r="Z110" s="54"/>
      <c r="AA110" s="54"/>
      <c r="AB110" s="644"/>
      <c r="AC110" s="644"/>
      <c r="AD110" s="344"/>
      <c r="AE110" s="344"/>
      <c r="AF110" s="48">
        <f t="shared" si="61"/>
        <v>-322.49999999999591</v>
      </c>
      <c r="AG110" s="125">
        <f t="shared" si="62"/>
        <v>0.77604166666666952</v>
      </c>
      <c r="AH110" s="667"/>
    </row>
    <row r="111" spans="1:34" ht="19.2" customHeight="1">
      <c r="A111" s="691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617</v>
      </c>
      <c r="H111" s="45">
        <f t="shared" si="78"/>
        <v>47718.78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1322.1428571428544</v>
      </c>
      <c r="O111" s="47">
        <f t="shared" si="80"/>
        <v>73.452380952380793</v>
      </c>
      <c r="P111" s="48">
        <f t="shared" si="75"/>
        <v>0</v>
      </c>
      <c r="Q111" s="49">
        <f t="shared" si="76"/>
        <v>-6.5476190476192073</v>
      </c>
      <c r="R111" s="335">
        <f t="shared" si="77"/>
        <v>0.91815476190475986</v>
      </c>
      <c r="S111" s="694"/>
      <c r="T111" s="223">
        <v>0.58124999999999993</v>
      </c>
      <c r="U111" s="223">
        <v>0.60069444444444442</v>
      </c>
      <c r="V111" s="224">
        <v>6</v>
      </c>
      <c r="W111" s="328">
        <f t="shared" si="73"/>
        <v>28.00000000000006</v>
      </c>
      <c r="X111" s="53"/>
      <c r="Y111" s="53"/>
      <c r="Z111" s="54"/>
      <c r="AA111" s="54"/>
      <c r="AB111" s="644"/>
      <c r="AC111" s="644"/>
      <c r="AD111" s="344"/>
      <c r="AE111" s="344"/>
      <c r="AF111" s="48">
        <f t="shared" si="61"/>
        <v>-117.85714285714562</v>
      </c>
      <c r="AG111" s="125">
        <f t="shared" si="62"/>
        <v>0.91815476190475998</v>
      </c>
      <c r="AH111" s="667"/>
    </row>
    <row r="112" spans="1:34" ht="19.2" customHeight="1">
      <c r="A112" s="691"/>
      <c r="B112" s="331" t="s">
        <v>104</v>
      </c>
      <c r="C112" s="175"/>
      <c r="D112" s="176" t="s">
        <v>87</v>
      </c>
      <c r="E112" s="83"/>
      <c r="F112" s="273">
        <v>34.229999999999997</v>
      </c>
      <c r="G112" s="57">
        <v>1226.75</v>
      </c>
      <c r="H112" s="45">
        <f t="shared" si="78"/>
        <v>41991.652499999997</v>
      </c>
      <c r="I112" s="344">
        <v>1</v>
      </c>
      <c r="J112" s="46">
        <v>13</v>
      </c>
      <c r="K112" s="44">
        <v>2250</v>
      </c>
      <c r="L112" s="47">
        <v>173.07692307692307</v>
      </c>
      <c r="M112" s="329">
        <v>13</v>
      </c>
      <c r="N112" s="44">
        <f t="shared" si="79"/>
        <v>2164.852941176468</v>
      </c>
      <c r="O112" s="47">
        <f t="shared" si="80"/>
        <v>166.52714932126676</v>
      </c>
      <c r="P112" s="48">
        <f t="shared" si="75"/>
        <v>0</v>
      </c>
      <c r="Q112" s="49">
        <f t="shared" si="76"/>
        <v>-6.5497737556563038</v>
      </c>
      <c r="R112" s="335">
        <f t="shared" si="77"/>
        <v>0.96215686274509693</v>
      </c>
      <c r="S112" s="694"/>
      <c r="T112" s="223">
        <v>0.61597222222222214</v>
      </c>
      <c r="U112" s="223">
        <v>0.63958333333333328</v>
      </c>
      <c r="V112" s="224">
        <v>22</v>
      </c>
      <c r="W112" s="328">
        <f t="shared" si="73"/>
        <v>34.000000000000043</v>
      </c>
      <c r="X112" s="213">
        <v>0.60555555555555551</v>
      </c>
      <c r="Y112" s="213">
        <v>0.61527777777777781</v>
      </c>
      <c r="Z112" s="54"/>
      <c r="AA112" s="54"/>
      <c r="AB112" s="644"/>
      <c r="AC112" s="644"/>
      <c r="AD112" s="344"/>
      <c r="AE112" s="344">
        <v>1</v>
      </c>
      <c r="AF112" s="48">
        <f t="shared" si="61"/>
        <v>-85.147058823532006</v>
      </c>
      <c r="AG112" s="125">
        <f t="shared" si="62"/>
        <v>0.96215686274509693</v>
      </c>
      <c r="AH112" s="667"/>
    </row>
    <row r="113" spans="1:34" s="215" customFormat="1" ht="19.2" customHeight="1">
      <c r="A113" s="691"/>
      <c r="B113" s="331" t="s">
        <v>102</v>
      </c>
      <c r="C113" s="175"/>
      <c r="D113" s="176" t="s">
        <v>149</v>
      </c>
      <c r="E113" s="83"/>
      <c r="F113" s="273">
        <v>49.91</v>
      </c>
      <c r="G113" s="57">
        <v>843</v>
      </c>
      <c r="H113" s="45">
        <f t="shared" si="78"/>
        <v>42074.13</v>
      </c>
      <c r="I113" s="344">
        <v>1</v>
      </c>
      <c r="J113" s="46">
        <v>17</v>
      </c>
      <c r="K113" s="44">
        <v>1565</v>
      </c>
      <c r="L113" s="47">
        <v>92.058823529411768</v>
      </c>
      <c r="M113" s="334">
        <v>17</v>
      </c>
      <c r="N113" s="44">
        <f t="shared" si="79"/>
        <v>1445.1428571428555</v>
      </c>
      <c r="O113" s="47">
        <f t="shared" si="80"/>
        <v>85.008403361344449</v>
      </c>
      <c r="P113" s="48">
        <f t="shared" si="75"/>
        <v>0</v>
      </c>
      <c r="Q113" s="49">
        <f t="shared" si="76"/>
        <v>-7.0504201680673191</v>
      </c>
      <c r="R113" s="335">
        <f t="shared" si="77"/>
        <v>0.92341396622546679</v>
      </c>
      <c r="S113" s="694"/>
      <c r="T113" s="223">
        <v>0.64444444444444438</v>
      </c>
      <c r="U113" s="223">
        <v>0.66874999999999996</v>
      </c>
      <c r="V113" s="224">
        <v>7</v>
      </c>
      <c r="W113" s="328">
        <f t="shared" si="73"/>
        <v>35.000000000000036</v>
      </c>
      <c r="X113" s="213"/>
      <c r="Y113" s="213"/>
      <c r="Z113" s="214"/>
      <c r="AA113" s="214"/>
      <c r="AB113" s="644"/>
      <c r="AC113" s="644"/>
      <c r="AD113" s="218"/>
      <c r="AE113" s="218"/>
      <c r="AF113" s="48">
        <f t="shared" si="61"/>
        <v>-119.85714285714448</v>
      </c>
      <c r="AG113" s="125">
        <f t="shared" si="62"/>
        <v>0.92341396622546679</v>
      </c>
      <c r="AH113" s="667"/>
    </row>
    <row r="114" spans="1:34" s="215" customFormat="1" ht="19.2" customHeight="1">
      <c r="A114" s="691"/>
      <c r="B114" s="331" t="s">
        <v>105</v>
      </c>
      <c r="C114" s="175"/>
      <c r="D114" s="176" t="s">
        <v>172</v>
      </c>
      <c r="E114" s="43"/>
      <c r="F114" s="273">
        <v>54.09</v>
      </c>
      <c r="G114" s="44">
        <v>592</v>
      </c>
      <c r="H114" s="45">
        <f t="shared" si="78"/>
        <v>32021.280000000002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9"/>
        <v>1109.9999999999984</v>
      </c>
      <c r="O114" s="47">
        <f t="shared" si="80"/>
        <v>69.374999999999901</v>
      </c>
      <c r="P114" s="48">
        <f t="shared" si="75"/>
        <v>0</v>
      </c>
      <c r="Q114" s="49">
        <f t="shared" si="76"/>
        <v>-20.625000000000099</v>
      </c>
      <c r="R114" s="335">
        <f t="shared" si="77"/>
        <v>0.77083333333333226</v>
      </c>
      <c r="S114" s="694"/>
      <c r="T114" s="223">
        <v>0.70833333333333326</v>
      </c>
      <c r="U114" s="223">
        <v>0.73055555555555551</v>
      </c>
      <c r="V114" s="224">
        <v>4</v>
      </c>
      <c r="W114" s="328">
        <f t="shared" si="73"/>
        <v>32.000000000000043</v>
      </c>
      <c r="X114" s="213"/>
      <c r="Y114" s="213"/>
      <c r="Z114" s="214"/>
      <c r="AA114" s="214"/>
      <c r="AB114" s="644"/>
      <c r="AC114" s="644"/>
      <c r="AD114" s="218"/>
      <c r="AE114" s="218"/>
      <c r="AF114" s="48">
        <f t="shared" si="61"/>
        <v>-330.00000000000159</v>
      </c>
      <c r="AG114" s="125">
        <f t="shared" si="62"/>
        <v>0.77083333333333226</v>
      </c>
      <c r="AH114" s="667"/>
    </row>
    <row r="115" spans="1:34" s="215" customFormat="1" ht="19.2" customHeight="1">
      <c r="A115" s="691"/>
      <c r="B115" s="331" t="s">
        <v>105</v>
      </c>
      <c r="C115" s="175"/>
      <c r="D115" s="82" t="s">
        <v>76</v>
      </c>
      <c r="E115" s="83"/>
      <c r="F115" s="273">
        <v>55.56</v>
      </c>
      <c r="G115" s="226">
        <v>1314</v>
      </c>
      <c r="H115" s="45">
        <f t="shared" si="78"/>
        <v>73005.84</v>
      </c>
      <c r="I115" s="344"/>
      <c r="J115" s="46">
        <v>16</v>
      </c>
      <c r="K115" s="44">
        <v>1440</v>
      </c>
      <c r="L115" s="47">
        <v>90</v>
      </c>
      <c r="M115" s="334">
        <v>16</v>
      </c>
      <c r="N115" s="44">
        <f t="shared" si="79"/>
        <v>1314.0000000000011</v>
      </c>
      <c r="O115" s="47">
        <f t="shared" si="80"/>
        <v>82.125000000000071</v>
      </c>
      <c r="P115" s="48">
        <f t="shared" si="75"/>
        <v>0</v>
      </c>
      <c r="Q115" s="49">
        <f t="shared" si="76"/>
        <v>-7.8749999999999289</v>
      </c>
      <c r="R115" s="335">
        <f t="shared" si="77"/>
        <v>0.91250000000000075</v>
      </c>
      <c r="S115" s="694"/>
      <c r="T115" s="223">
        <v>0.73472222222222217</v>
      </c>
      <c r="U115" s="223">
        <v>0.7763888888888888</v>
      </c>
      <c r="V115" s="224">
        <v>6</v>
      </c>
      <c r="W115" s="328">
        <f t="shared" si="73"/>
        <v>59.999999999999943</v>
      </c>
      <c r="X115" s="213"/>
      <c r="Y115" s="213"/>
      <c r="Z115" s="214"/>
      <c r="AA115" s="214"/>
      <c r="AB115" s="644"/>
      <c r="AC115" s="644"/>
      <c r="AD115" s="218"/>
      <c r="AE115" s="218"/>
      <c r="AF115" s="48">
        <f t="shared" si="61"/>
        <v>-125.99999999999886</v>
      </c>
      <c r="AG115" s="125">
        <f t="shared" si="62"/>
        <v>0.91250000000000075</v>
      </c>
      <c r="AH115" s="667"/>
    </row>
    <row r="116" spans="1:34" s="215" customFormat="1" ht="19.2" customHeight="1">
      <c r="A116" s="691"/>
      <c r="B116" s="331" t="s">
        <v>105</v>
      </c>
      <c r="C116" s="55"/>
      <c r="D116" s="82" t="s">
        <v>162</v>
      </c>
      <c r="E116" s="83"/>
      <c r="F116" s="273">
        <v>51.06</v>
      </c>
      <c r="G116" s="226">
        <v>1642</v>
      </c>
      <c r="H116" s="45">
        <f t="shared" si="78"/>
        <v>83840.52</v>
      </c>
      <c r="I116" s="344"/>
      <c r="J116" s="46">
        <v>16</v>
      </c>
      <c r="K116" s="44">
        <v>1500</v>
      </c>
      <c r="L116" s="47">
        <v>93.75</v>
      </c>
      <c r="M116" s="334">
        <v>16</v>
      </c>
      <c r="N116" s="44">
        <f t="shared" si="79"/>
        <v>1313.599999999999</v>
      </c>
      <c r="O116" s="47">
        <f t="shared" si="80"/>
        <v>82.099999999999937</v>
      </c>
      <c r="P116" s="48">
        <f t="shared" si="75"/>
        <v>0</v>
      </c>
      <c r="Q116" s="49">
        <f t="shared" si="76"/>
        <v>-11.650000000000063</v>
      </c>
      <c r="R116" s="335">
        <f t="shared" si="77"/>
        <v>0.8757333333333327</v>
      </c>
      <c r="S116" s="694"/>
      <c r="T116" s="223">
        <v>0.78124999999999989</v>
      </c>
      <c r="U116" s="223">
        <v>0.83333333333333326</v>
      </c>
      <c r="V116" s="224">
        <v>7</v>
      </c>
      <c r="W116" s="328">
        <f t="shared" si="73"/>
        <v>75.000000000000057</v>
      </c>
      <c r="X116" s="213"/>
      <c r="Y116" s="213"/>
      <c r="Z116" s="214"/>
      <c r="AA116" s="214"/>
      <c r="AB116" s="644"/>
      <c r="AC116" s="644"/>
      <c r="AD116" s="218"/>
      <c r="AE116" s="218"/>
      <c r="AF116" s="48">
        <f t="shared" si="61"/>
        <v>-186.400000000001</v>
      </c>
      <c r="AG116" s="125">
        <f t="shared" si="62"/>
        <v>0.8757333333333327</v>
      </c>
      <c r="AH116" s="667"/>
    </row>
    <row r="117" spans="1:34" s="215" customFormat="1" ht="19.2" customHeight="1">
      <c r="A117" s="691"/>
      <c r="B117" s="331" t="s">
        <v>105</v>
      </c>
      <c r="C117" s="55"/>
      <c r="D117" s="82" t="s">
        <v>184</v>
      </c>
      <c r="E117" s="83"/>
      <c r="F117" s="273">
        <v>54.09</v>
      </c>
      <c r="G117" s="226">
        <v>1650</v>
      </c>
      <c r="H117" s="45">
        <f t="shared" si="78"/>
        <v>89248.5</v>
      </c>
      <c r="I117" s="344"/>
      <c r="J117" s="46">
        <v>19</v>
      </c>
      <c r="K117" s="44">
        <v>1440</v>
      </c>
      <c r="L117" s="47">
        <v>75.78947368421052</v>
      </c>
      <c r="M117" s="334">
        <v>19</v>
      </c>
      <c r="N117" s="44">
        <f t="shared" si="79"/>
        <v>1302.6315789473674</v>
      </c>
      <c r="O117" s="47">
        <f t="shared" si="80"/>
        <v>68.559556786703553</v>
      </c>
      <c r="P117" s="48">
        <f t="shared" si="75"/>
        <v>0</v>
      </c>
      <c r="Q117" s="49">
        <f t="shared" si="76"/>
        <v>-7.2299168975069676</v>
      </c>
      <c r="R117" s="335">
        <f t="shared" si="77"/>
        <v>0.90460526315789413</v>
      </c>
      <c r="S117" s="694"/>
      <c r="T117" s="223">
        <v>0.84861111111111098</v>
      </c>
      <c r="U117" s="223">
        <v>0.9013888888888888</v>
      </c>
      <c r="V117" s="224">
        <v>22</v>
      </c>
      <c r="W117" s="328">
        <f t="shared" si="73"/>
        <v>76.000000000000057</v>
      </c>
      <c r="X117" s="213">
        <v>0.83750000000000002</v>
      </c>
      <c r="Y117" s="213">
        <v>0.84722222222222221</v>
      </c>
      <c r="Z117" s="214"/>
      <c r="AA117" s="214"/>
      <c r="AB117" s="644"/>
      <c r="AC117" s="644"/>
      <c r="AD117" s="218"/>
      <c r="AE117" s="218"/>
      <c r="AF117" s="48">
        <f t="shared" si="61"/>
        <v>-137.36842105263258</v>
      </c>
      <c r="AG117" s="125">
        <f t="shared" si="62"/>
        <v>0.90460526315789402</v>
      </c>
      <c r="AH117" s="667"/>
    </row>
    <row r="118" spans="1:34" s="215" customFormat="1" ht="19.2" customHeight="1">
      <c r="A118" s="691"/>
      <c r="B118" s="331" t="s">
        <v>105</v>
      </c>
      <c r="C118" s="163"/>
      <c r="D118" s="176" t="s">
        <v>186</v>
      </c>
      <c r="E118" s="43"/>
      <c r="F118" s="273">
        <v>57.3</v>
      </c>
      <c r="G118" s="44">
        <v>1205</v>
      </c>
      <c r="H118" s="45">
        <f t="shared" si="78"/>
        <v>69046.5</v>
      </c>
      <c r="I118" s="344"/>
      <c r="J118" s="46">
        <v>17</v>
      </c>
      <c r="K118" s="44">
        <v>1440</v>
      </c>
      <c r="L118" s="47">
        <v>84.705882352941174</v>
      </c>
      <c r="M118" s="334">
        <v>17</v>
      </c>
      <c r="N118" s="44">
        <f t="shared" si="79"/>
        <v>1338.8888888888896</v>
      </c>
      <c r="O118" s="47">
        <f t="shared" si="80"/>
        <v>78.758169934640563</v>
      </c>
      <c r="P118" s="48">
        <f t="shared" si="75"/>
        <v>0</v>
      </c>
      <c r="Q118" s="49">
        <f t="shared" si="76"/>
        <v>-5.9477124183006111</v>
      </c>
      <c r="R118" s="335">
        <f t="shared" si="77"/>
        <v>0.92978395061728447</v>
      </c>
      <c r="S118" s="694"/>
      <c r="T118" s="223">
        <v>0.90624999999999989</v>
      </c>
      <c r="U118" s="223">
        <v>0.94374999999999987</v>
      </c>
      <c r="V118" s="224">
        <v>7</v>
      </c>
      <c r="W118" s="328">
        <f t="shared" si="73"/>
        <v>53.999999999999972</v>
      </c>
      <c r="X118" s="213"/>
      <c r="Y118" s="213"/>
      <c r="Z118" s="214"/>
      <c r="AA118" s="214"/>
      <c r="AB118" s="644"/>
      <c r="AC118" s="644"/>
      <c r="AD118" s="218"/>
      <c r="AE118" s="218"/>
      <c r="AF118" s="48">
        <f t="shared" si="61"/>
        <v>-101.1111111111104</v>
      </c>
      <c r="AG118" s="125">
        <f t="shared" si="62"/>
        <v>0.92978395061728447</v>
      </c>
      <c r="AH118" s="667"/>
    </row>
    <row r="119" spans="1:34" s="215" customFormat="1" ht="19.2" customHeight="1">
      <c r="A119" s="691"/>
      <c r="B119" s="331" t="s">
        <v>105</v>
      </c>
      <c r="C119" s="220"/>
      <c r="D119" s="82" t="s">
        <v>182</v>
      </c>
      <c r="E119" s="83"/>
      <c r="F119" s="273">
        <v>54.5</v>
      </c>
      <c r="G119" s="226">
        <v>1229</v>
      </c>
      <c r="H119" s="45">
        <f t="shared" si="78"/>
        <v>66980.5</v>
      </c>
      <c r="I119" s="344"/>
      <c r="J119" s="46">
        <v>21</v>
      </c>
      <c r="K119" s="44">
        <v>1440</v>
      </c>
      <c r="L119" s="47">
        <v>68.571428571428569</v>
      </c>
      <c r="M119" s="334">
        <v>21</v>
      </c>
      <c r="N119" s="44">
        <f t="shared" si="79"/>
        <v>1170.4761904761917</v>
      </c>
      <c r="O119" s="47">
        <f t="shared" si="80"/>
        <v>55.736961451247225</v>
      </c>
      <c r="P119" s="48">
        <f t="shared" si="75"/>
        <v>0</v>
      </c>
      <c r="Q119" s="49">
        <f t="shared" si="76"/>
        <v>-12.834467120181344</v>
      </c>
      <c r="R119" s="335">
        <f t="shared" si="77"/>
        <v>0.81283068783068868</v>
      </c>
      <c r="S119" s="694"/>
      <c r="T119" s="223">
        <v>0.94791666666666652</v>
      </c>
      <c r="U119" s="223">
        <v>0.99166666666666647</v>
      </c>
      <c r="V119" s="224">
        <v>6</v>
      </c>
      <c r="W119" s="328">
        <f t="shared" si="73"/>
        <v>62.999999999999936</v>
      </c>
      <c r="X119" s="213"/>
      <c r="Y119" s="213"/>
      <c r="Z119" s="214"/>
      <c r="AA119" s="214"/>
      <c r="AB119" s="644"/>
      <c r="AC119" s="644"/>
      <c r="AD119" s="218"/>
      <c r="AE119" s="218"/>
      <c r="AF119" s="48">
        <f t="shared" si="61"/>
        <v>-269.52380952380827</v>
      </c>
      <c r="AG119" s="125">
        <f t="shared" si="62"/>
        <v>0.81283068783068868</v>
      </c>
      <c r="AH119" s="667"/>
    </row>
    <row r="120" spans="1:34" s="215" customFormat="1" ht="19.2" customHeight="1">
      <c r="A120" s="691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694"/>
      <c r="T120" s="223"/>
      <c r="U120" s="223"/>
      <c r="V120" s="224"/>
      <c r="W120" s="328">
        <f t="shared" si="73"/>
        <v>0</v>
      </c>
      <c r="X120" s="213"/>
      <c r="Y120" s="213"/>
      <c r="Z120" s="214"/>
      <c r="AA120" s="214"/>
      <c r="AB120" s="644"/>
      <c r="AC120" s="644"/>
      <c r="AD120" s="218"/>
      <c r="AE120" s="218"/>
      <c r="AF120" s="48">
        <f t="shared" si="61"/>
        <v>0</v>
      </c>
      <c r="AG120" s="125" t="e">
        <f t="shared" si="62"/>
        <v>#DIV/0!</v>
      </c>
      <c r="AH120" s="667"/>
    </row>
    <row r="121" spans="1:34" ht="19.2" customHeight="1">
      <c r="A121" s="692"/>
      <c r="B121" s="121">
        <v>0</v>
      </c>
      <c r="C121" s="100" t="s">
        <v>254</v>
      </c>
      <c r="D121" s="229" t="s">
        <v>221</v>
      </c>
      <c r="E121" s="230"/>
      <c r="F121" s="282"/>
      <c r="G121" s="231"/>
      <c r="H121" s="232"/>
      <c r="I121" s="233"/>
      <c r="J121" s="199">
        <v>17.272727272727273</v>
      </c>
      <c r="K121" s="199">
        <v>1508.6363636363637</v>
      </c>
      <c r="L121" s="200">
        <v>90.037151960526572</v>
      </c>
      <c r="M121" s="199">
        <f t="shared" ref="M121:O121" si="81">AVERAGE(M109:M120)</f>
        <v>17.363636363636363</v>
      </c>
      <c r="N121" s="199">
        <f t="shared" si="81"/>
        <v>1347.1075165632437</v>
      </c>
      <c r="O121" s="200">
        <f t="shared" si="81"/>
        <v>80.419412357727936</v>
      </c>
      <c r="P121" s="48">
        <f t="shared" ref="P121:P131" si="82">M121-J121</f>
        <v>9.090909090908994E-2</v>
      </c>
      <c r="Q121" s="49">
        <f t="shared" ref="Q121:Q131" si="83">O121-L121</f>
        <v>-9.6177396027986362</v>
      </c>
      <c r="R121" s="172">
        <f t="shared" ref="R121:R131" si="84">O121/L121</f>
        <v>0.8931803217519011</v>
      </c>
      <c r="S121" s="672"/>
      <c r="T121" s="50"/>
      <c r="U121" s="50"/>
      <c r="V121" s="44"/>
      <c r="W121" s="32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44"/>
      <c r="AC121" s="644"/>
      <c r="AD121" s="107">
        <f>SUM(AD109:AD120)</f>
        <v>0</v>
      </c>
      <c r="AE121" s="107">
        <f>SUM(AE109:AE120)</f>
        <v>1</v>
      </c>
      <c r="AF121" s="48">
        <f>N121-K121</f>
        <v>-161.52884707312001</v>
      </c>
      <c r="AG121" s="125">
        <f>N121/K121</f>
        <v>0.89293056234984514</v>
      </c>
      <c r="AH121" s="667"/>
    </row>
    <row r="122" spans="1:34" ht="19.2" customHeight="1">
      <c r="A122" s="695" t="s">
        <v>255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681</v>
      </c>
      <c r="H122" s="45">
        <f t="shared" ref="H122:H132" si="85">F122*G122</f>
        <v>43529.520000000004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1" si="86">G122/W122*60</f>
        <v>1318.0645161290302</v>
      </c>
      <c r="O122" s="234">
        <f t="shared" ref="O122:O131" si="87">N122/M122</f>
        <v>69.371816638370007</v>
      </c>
      <c r="P122" s="108">
        <f t="shared" si="82"/>
        <v>0</v>
      </c>
      <c r="Q122" s="182">
        <f t="shared" si="83"/>
        <v>-6.4176570458405138</v>
      </c>
      <c r="R122" s="109">
        <f t="shared" si="84"/>
        <v>0.91532258064515992</v>
      </c>
      <c r="S122" s="658">
        <f>R134</f>
        <v>0.8967158178876502</v>
      </c>
      <c r="T122" s="50">
        <v>0.5</v>
      </c>
      <c r="U122" s="50">
        <v>0.52152777777777781</v>
      </c>
      <c r="V122" s="224">
        <v>5</v>
      </c>
      <c r="W122" s="328">
        <f t="shared" si="73"/>
        <v>31.00000000000005</v>
      </c>
      <c r="X122" s="53"/>
      <c r="Y122" s="53"/>
      <c r="Z122" s="54"/>
      <c r="AA122" s="54"/>
      <c r="AB122" s="644"/>
      <c r="AC122" s="644"/>
      <c r="AD122" s="344"/>
      <c r="AE122" s="344"/>
      <c r="AF122" s="48">
        <f t="shared" si="61"/>
        <v>-121.93548387096985</v>
      </c>
      <c r="AG122" s="335">
        <f t="shared" si="62"/>
        <v>0.91532258064515981</v>
      </c>
      <c r="AH122" s="672">
        <f>AG134</f>
        <v>0.89817686903256622</v>
      </c>
    </row>
    <row r="123" spans="1:34" ht="19.2" customHeight="1">
      <c r="A123" s="69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2016</v>
      </c>
      <c r="H123" s="45">
        <f t="shared" si="85"/>
        <v>118278.72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6"/>
        <v>1344</v>
      </c>
      <c r="O123" s="86">
        <f t="shared" si="87"/>
        <v>70.736842105263165</v>
      </c>
      <c r="P123" s="54">
        <f t="shared" si="82"/>
        <v>0</v>
      </c>
      <c r="Q123" s="88">
        <f t="shared" si="83"/>
        <v>-5.0526315789473557</v>
      </c>
      <c r="R123" s="338">
        <f t="shared" si="84"/>
        <v>0.93333333333333346</v>
      </c>
      <c r="S123" s="658"/>
      <c r="T123" s="50">
        <v>0.52569444444444446</v>
      </c>
      <c r="U123" s="50">
        <v>0.58819444444444446</v>
      </c>
      <c r="V123" s="224">
        <v>6</v>
      </c>
      <c r="W123" s="328">
        <f t="shared" si="73"/>
        <v>90</v>
      </c>
      <c r="X123" s="53"/>
      <c r="Y123" s="53"/>
      <c r="Z123" s="54"/>
      <c r="AA123" s="54"/>
      <c r="AB123" s="644"/>
      <c r="AC123" s="644"/>
      <c r="AD123" s="344"/>
      <c r="AE123" s="344"/>
      <c r="AF123" s="48">
        <f t="shared" si="61"/>
        <v>-96</v>
      </c>
      <c r="AG123" s="335">
        <f t="shared" si="62"/>
        <v>0.93333333333333335</v>
      </c>
      <c r="AH123" s="658"/>
    </row>
    <row r="124" spans="1:34" ht="19.2" customHeight="1">
      <c r="A124" s="69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2015</v>
      </c>
      <c r="H124" s="45">
        <f t="shared" si="85"/>
        <v>119932.8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6"/>
        <v>1286.1702127659578</v>
      </c>
      <c r="O124" s="234">
        <f t="shared" si="87"/>
        <v>61.24620060790275</v>
      </c>
      <c r="P124" s="108">
        <f t="shared" si="82"/>
        <v>0</v>
      </c>
      <c r="Q124" s="182">
        <f t="shared" si="83"/>
        <v>-4.7061803444781987</v>
      </c>
      <c r="R124" s="109">
        <f t="shared" si="84"/>
        <v>0.92864275289960851</v>
      </c>
      <c r="S124" s="696"/>
      <c r="T124" s="50">
        <v>0.60347222222222219</v>
      </c>
      <c r="U124" s="50">
        <v>0.66874999999999996</v>
      </c>
      <c r="V124" s="224">
        <v>22</v>
      </c>
      <c r="W124" s="328">
        <f t="shared" si="73"/>
        <v>93.999999999999986</v>
      </c>
      <c r="X124" s="188">
        <v>0.59305555555555556</v>
      </c>
      <c r="Y124" s="188">
        <v>0.60277777777777775</v>
      </c>
      <c r="Z124" s="54"/>
      <c r="AA124" s="54"/>
      <c r="AB124" s="644"/>
      <c r="AC124" s="644"/>
      <c r="AD124" s="344">
        <v>1</v>
      </c>
      <c r="AE124" s="344"/>
      <c r="AF124" s="108">
        <f t="shared" si="61"/>
        <v>-98.829787234042215</v>
      </c>
      <c r="AG124" s="109">
        <f t="shared" si="62"/>
        <v>0.92864275289960851</v>
      </c>
      <c r="AH124" s="658"/>
    </row>
    <row r="125" spans="1:34" ht="19.2" customHeight="1">
      <c r="A125" s="695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228.3</v>
      </c>
      <c r="H125" s="45">
        <f t="shared" si="85"/>
        <v>13946.847000000002</v>
      </c>
      <c r="I125" s="331">
        <v>1</v>
      </c>
      <c r="J125" s="46">
        <v>17</v>
      </c>
      <c r="K125" s="44">
        <v>1440</v>
      </c>
      <c r="L125" s="47">
        <v>84.705882352941174</v>
      </c>
      <c r="M125" s="329">
        <v>17</v>
      </c>
      <c r="N125" s="174">
        <f t="shared" si="86"/>
        <v>1245.2727272727318</v>
      </c>
      <c r="O125" s="234">
        <f t="shared" si="87"/>
        <v>73.251336898395991</v>
      </c>
      <c r="P125" s="108">
        <f t="shared" si="82"/>
        <v>0</v>
      </c>
      <c r="Q125" s="182">
        <f t="shared" si="83"/>
        <v>-11.454545454545183</v>
      </c>
      <c r="R125" s="109">
        <f t="shared" si="84"/>
        <v>0.86477272727273047</v>
      </c>
      <c r="S125" s="696"/>
      <c r="T125" s="50">
        <v>0.67361111111111105</v>
      </c>
      <c r="U125" s="50">
        <v>0.68124999999999991</v>
      </c>
      <c r="V125" s="224">
        <v>7</v>
      </c>
      <c r="W125" s="328">
        <f t="shared" si="73"/>
        <v>10.999999999999961</v>
      </c>
      <c r="X125" s="64"/>
      <c r="Y125" s="64"/>
      <c r="Z125" s="54"/>
      <c r="AA125" s="54"/>
      <c r="AB125" s="644"/>
      <c r="AC125" s="644"/>
      <c r="AD125" s="344"/>
      <c r="AE125" s="344"/>
      <c r="AF125" s="48">
        <f t="shared" si="61"/>
        <v>-194.7272727272682</v>
      </c>
      <c r="AG125" s="335">
        <f t="shared" si="62"/>
        <v>0.86477272727273047</v>
      </c>
      <c r="AH125" s="659"/>
    </row>
    <row r="126" spans="1:34" ht="19.2" customHeight="1">
      <c r="A126" s="695"/>
      <c r="B126" s="130" t="s">
        <v>105</v>
      </c>
      <c r="C126" s="344"/>
      <c r="D126" s="321" t="s">
        <v>79</v>
      </c>
      <c r="E126" s="177"/>
      <c r="F126" s="273">
        <v>56.79</v>
      </c>
      <c r="G126" s="57">
        <v>1483</v>
      </c>
      <c r="H126" s="45">
        <f t="shared" si="85"/>
        <v>84219.569999999992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6"/>
        <v>1412.3809523809537</v>
      </c>
      <c r="O126" s="86">
        <f t="shared" si="87"/>
        <v>78.46560846560854</v>
      </c>
      <c r="P126" s="54">
        <f t="shared" si="82"/>
        <v>0</v>
      </c>
      <c r="Q126" s="88">
        <f t="shared" si="83"/>
        <v>-12.423280423280346</v>
      </c>
      <c r="R126" s="338">
        <f t="shared" si="84"/>
        <v>0.86331354057515508</v>
      </c>
      <c r="S126" s="696"/>
      <c r="T126" s="50">
        <v>0.72083333333333321</v>
      </c>
      <c r="U126" s="50">
        <v>0.76458333333333317</v>
      </c>
      <c r="V126" s="224">
        <v>4</v>
      </c>
      <c r="W126" s="328">
        <f t="shared" si="73"/>
        <v>62.999999999999936</v>
      </c>
      <c r="X126" s="64"/>
      <c r="Y126" s="64"/>
      <c r="Z126" s="54"/>
      <c r="AA126" s="54"/>
      <c r="AB126" s="644"/>
      <c r="AC126" s="644"/>
      <c r="AD126" s="344"/>
      <c r="AE126" s="344"/>
      <c r="AF126" s="108">
        <f t="shared" si="61"/>
        <v>-223.61904761904634</v>
      </c>
      <c r="AG126" s="109">
        <f t="shared" si="62"/>
        <v>0.86331354057515508</v>
      </c>
      <c r="AH126" s="659"/>
    </row>
    <row r="127" spans="1:34" ht="19.2" customHeight="1">
      <c r="A127" s="695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1172</v>
      </c>
      <c r="H127" s="45">
        <f t="shared" si="85"/>
        <v>66651.64</v>
      </c>
      <c r="I127" s="218"/>
      <c r="J127" s="46">
        <v>18</v>
      </c>
      <c r="K127" s="44">
        <v>1636</v>
      </c>
      <c r="L127" s="47">
        <v>90.888888888888886</v>
      </c>
      <c r="M127" s="329">
        <v>18</v>
      </c>
      <c r="N127" s="57">
        <f t="shared" si="86"/>
        <v>1435.102040816327</v>
      </c>
      <c r="O127" s="86">
        <f t="shared" si="87"/>
        <v>79.727891156462604</v>
      </c>
      <c r="P127" s="54">
        <f t="shared" si="82"/>
        <v>0</v>
      </c>
      <c r="Q127" s="88">
        <f t="shared" si="83"/>
        <v>-11.160997732426281</v>
      </c>
      <c r="R127" s="338">
        <f t="shared" si="84"/>
        <v>0.87720173644029764</v>
      </c>
      <c r="S127" s="696"/>
      <c r="T127" s="50">
        <v>0.76944444444444426</v>
      </c>
      <c r="U127" s="50">
        <v>0.80347222222222203</v>
      </c>
      <c r="V127" s="331">
        <v>7</v>
      </c>
      <c r="W127" s="328">
        <f t="shared" si="73"/>
        <v>48.999999999999986</v>
      </c>
      <c r="X127" s="64"/>
      <c r="Y127" s="64"/>
      <c r="Z127" s="54"/>
      <c r="AA127" s="54"/>
      <c r="AB127" s="644"/>
      <c r="AC127" s="644"/>
      <c r="AD127" s="344"/>
      <c r="AE127" s="344"/>
      <c r="AF127" s="108">
        <f t="shared" si="61"/>
        <v>-200.89795918367304</v>
      </c>
      <c r="AG127" s="109">
        <f t="shared" si="62"/>
        <v>0.87720173644029764</v>
      </c>
      <c r="AH127" s="659"/>
    </row>
    <row r="128" spans="1:34" ht="19.2" customHeight="1">
      <c r="A128" s="695"/>
      <c r="B128" s="130" t="s">
        <v>105</v>
      </c>
      <c r="C128" s="157"/>
      <c r="D128" s="59" t="s">
        <v>81</v>
      </c>
      <c r="E128" s="83"/>
      <c r="F128" s="273">
        <v>47.6</v>
      </c>
      <c r="G128" s="57">
        <v>1491</v>
      </c>
      <c r="H128" s="45">
        <f t="shared" si="85"/>
        <v>70971.600000000006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1296.5217391304334</v>
      </c>
      <c r="O128" s="86">
        <f t="shared" si="87"/>
        <v>68.237986270022816</v>
      </c>
      <c r="P128" s="54">
        <f t="shared" si="82"/>
        <v>0</v>
      </c>
      <c r="Q128" s="88">
        <f t="shared" si="83"/>
        <v>-7.5514874141877044</v>
      </c>
      <c r="R128" s="338">
        <f t="shared" si="84"/>
        <v>0.90036231884057893</v>
      </c>
      <c r="S128" s="696"/>
      <c r="T128" s="50">
        <v>0.80763888888888868</v>
      </c>
      <c r="U128" s="50">
        <v>0.8555555555555554</v>
      </c>
      <c r="V128" s="331">
        <v>6</v>
      </c>
      <c r="W128" s="328">
        <f t="shared" si="73"/>
        <v>69.000000000000071</v>
      </c>
      <c r="X128" s="64"/>
      <c r="Y128" s="64"/>
      <c r="Z128" s="54"/>
      <c r="AA128" s="54"/>
      <c r="AB128" s="644"/>
      <c r="AC128" s="644"/>
      <c r="AD128" s="344"/>
      <c r="AE128" s="344"/>
      <c r="AF128" s="48">
        <f t="shared" si="61"/>
        <v>-143.47826086956661</v>
      </c>
      <c r="AG128" s="335">
        <f t="shared" si="62"/>
        <v>0.90036231884057871</v>
      </c>
      <c r="AH128" s="659"/>
    </row>
    <row r="129" spans="1:34" ht="19.2" customHeight="1">
      <c r="A129" s="695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1352</v>
      </c>
      <c r="H129" s="45">
        <f t="shared" si="85"/>
        <v>68505.84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1398.6206896551735</v>
      </c>
      <c r="O129" s="86">
        <f t="shared" si="87"/>
        <v>77.701149425287412</v>
      </c>
      <c r="P129" s="54">
        <f t="shared" si="82"/>
        <v>0</v>
      </c>
      <c r="Q129" s="88">
        <f t="shared" si="83"/>
        <v>-5.6321839080459171</v>
      </c>
      <c r="R129" s="338">
        <f t="shared" si="84"/>
        <v>0.93241379310344896</v>
      </c>
      <c r="S129" s="696"/>
      <c r="T129" s="50">
        <v>0.87083333333333313</v>
      </c>
      <c r="U129" s="50">
        <v>0.91111111111111087</v>
      </c>
      <c r="V129" s="331">
        <v>22</v>
      </c>
      <c r="W129" s="328">
        <f t="shared" si="73"/>
        <v>57.999999999999957</v>
      </c>
      <c r="X129" s="64">
        <v>0.85972222222222217</v>
      </c>
      <c r="Y129" s="64">
        <v>0.86944444444444446</v>
      </c>
      <c r="Z129" s="54"/>
      <c r="AA129" s="54"/>
      <c r="AB129" s="644"/>
      <c r="AC129" s="644"/>
      <c r="AD129" s="344"/>
      <c r="AE129" s="344"/>
      <c r="AF129" s="108">
        <f t="shared" si="61"/>
        <v>-101.37931034482654</v>
      </c>
      <c r="AG129" s="109">
        <f t="shared" si="62"/>
        <v>0.93241379310344896</v>
      </c>
      <c r="AH129" s="659"/>
    </row>
    <row r="130" spans="1:34" ht="19.2" customHeight="1">
      <c r="A130" s="695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1082</v>
      </c>
      <c r="H130" s="45">
        <f t="shared" si="85"/>
        <v>62939.94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6"/>
        <v>1411.304347826087</v>
      </c>
      <c r="O130" s="86">
        <f t="shared" si="87"/>
        <v>88.206521739130437</v>
      </c>
      <c r="P130" s="54">
        <f t="shared" si="82"/>
        <v>0</v>
      </c>
      <c r="Q130" s="88">
        <f t="shared" si="83"/>
        <v>-14.043478260869563</v>
      </c>
      <c r="R130" s="338">
        <f t="shared" si="84"/>
        <v>0.86265546933134907</v>
      </c>
      <c r="S130" s="696"/>
      <c r="T130" s="50">
        <v>0.91597222222222197</v>
      </c>
      <c r="U130" s="50">
        <v>0.94791666666666641</v>
      </c>
      <c r="V130" s="331">
        <v>7</v>
      </c>
      <c r="W130" s="328">
        <f t="shared" si="73"/>
        <v>46</v>
      </c>
      <c r="X130" s="64"/>
      <c r="Y130" s="64"/>
      <c r="Z130" s="54"/>
      <c r="AA130" s="54"/>
      <c r="AB130" s="644"/>
      <c r="AC130" s="644"/>
      <c r="AD130" s="344"/>
      <c r="AE130" s="344"/>
      <c r="AF130" s="108">
        <f t="shared" si="61"/>
        <v>-224.695652173913</v>
      </c>
      <c r="AG130" s="109">
        <f t="shared" si="62"/>
        <v>0.86265546933134907</v>
      </c>
      <c r="AH130" s="659"/>
    </row>
    <row r="131" spans="1:34" ht="19.2" customHeight="1">
      <c r="A131" s="695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1231</v>
      </c>
      <c r="H131" s="45">
        <f t="shared" si="85"/>
        <v>70536.3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1318.9285714285725</v>
      </c>
      <c r="O131" s="86">
        <f t="shared" si="87"/>
        <v>69.417293233082759</v>
      </c>
      <c r="P131" s="54">
        <f t="shared" si="82"/>
        <v>0</v>
      </c>
      <c r="Q131" s="88">
        <f t="shared" si="83"/>
        <v>-6.3721804511277611</v>
      </c>
      <c r="R131" s="338">
        <f t="shared" si="84"/>
        <v>0.91592261904761985</v>
      </c>
      <c r="S131" s="696"/>
      <c r="T131" s="50">
        <v>0.95208333333333306</v>
      </c>
      <c r="U131" s="50">
        <v>0.99097222222222192</v>
      </c>
      <c r="V131" s="331">
        <v>6</v>
      </c>
      <c r="W131" s="328">
        <f t="shared" si="73"/>
        <v>55.999999999999957</v>
      </c>
      <c r="X131" s="64"/>
      <c r="Y131" s="64"/>
      <c r="Z131" s="54"/>
      <c r="AA131" s="54"/>
      <c r="AB131" s="644"/>
      <c r="AC131" s="644"/>
      <c r="AD131" s="344"/>
      <c r="AE131" s="344"/>
      <c r="AF131" s="48">
        <f t="shared" si="61"/>
        <v>-121.07142857142753</v>
      </c>
      <c r="AG131" s="335">
        <f t="shared" si="62"/>
        <v>0.91592261904761973</v>
      </c>
      <c r="AH131" s="659"/>
    </row>
    <row r="132" spans="1:34" ht="19.2" customHeight="1">
      <c r="A132" s="69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696"/>
      <c r="T132" s="50"/>
      <c r="U132" s="50"/>
      <c r="V132" s="331"/>
      <c r="W132" s="328">
        <f t="shared" si="73"/>
        <v>0</v>
      </c>
      <c r="X132" s="64"/>
      <c r="Y132" s="64"/>
      <c r="Z132" s="54"/>
      <c r="AA132" s="54"/>
      <c r="AB132" s="644"/>
      <c r="AC132" s="644"/>
      <c r="AD132" s="344"/>
      <c r="AE132" s="344"/>
      <c r="AF132" s="65"/>
      <c r="AG132" s="336"/>
      <c r="AH132" s="659"/>
    </row>
    <row r="133" spans="1:34" ht="19.2" customHeight="1">
      <c r="A133" s="69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696"/>
      <c r="T133" s="50"/>
      <c r="U133" s="50"/>
      <c r="V133" s="331"/>
      <c r="W133" s="236">
        <f t="shared" si="73"/>
        <v>0</v>
      </c>
      <c r="X133" s="64"/>
      <c r="Y133" s="64"/>
      <c r="Z133" s="54"/>
      <c r="AA133" s="54"/>
      <c r="AB133" s="644"/>
      <c r="AC133" s="644"/>
      <c r="AD133" s="344"/>
      <c r="AE133" s="344"/>
      <c r="AF133" s="65"/>
      <c r="AG133" s="336"/>
      <c r="AH133" s="659"/>
    </row>
    <row r="134" spans="1:34" ht="19.2" customHeight="1">
      <c r="A134" s="695"/>
      <c r="B134" s="168">
        <v>0</v>
      </c>
      <c r="C134" s="100" t="s">
        <v>241</v>
      </c>
      <c r="D134" s="673" t="s">
        <v>221</v>
      </c>
      <c r="E134" s="673"/>
      <c r="F134" s="283"/>
      <c r="G134" s="101"/>
      <c r="H134" s="102"/>
      <c r="I134" s="238"/>
      <c r="J134" s="239">
        <v>18.399999999999999</v>
      </c>
      <c r="K134" s="239">
        <v>1499.3</v>
      </c>
      <c r="L134" s="240">
        <v>82.117726915327538</v>
      </c>
      <c r="M134" s="239">
        <f t="shared" ref="M134:O134" si="88">AVERAGE(M122:M133)</f>
        <v>18.399999999999999</v>
      </c>
      <c r="N134" s="239">
        <f t="shared" si="88"/>
        <v>1346.6365797405265</v>
      </c>
      <c r="O134" s="240">
        <f t="shared" si="88"/>
        <v>73.636264653952637</v>
      </c>
      <c r="P134" s="51">
        <f t="shared" ref="P134" si="89">M134-J134</f>
        <v>0</v>
      </c>
      <c r="Q134" s="139">
        <f t="shared" ref="Q134" si="90">O134-L134</f>
        <v>-8.4814622613749009</v>
      </c>
      <c r="R134" s="241">
        <f t="shared" ref="R134" si="91">O134/L134</f>
        <v>0.8967158178876502</v>
      </c>
      <c r="S134" s="658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644"/>
      <c r="AC134" s="644"/>
      <c r="AD134" s="107">
        <f>SUM(AD122:AD133)</f>
        <v>1</v>
      </c>
      <c r="AE134" s="107">
        <f>SUM(AE122:AE133)</f>
        <v>0</v>
      </c>
      <c r="AF134" s="48">
        <f t="shared" si="61"/>
        <v>-152.66342025947347</v>
      </c>
      <c r="AG134" s="335">
        <f t="shared" si="62"/>
        <v>0.89817686903256622</v>
      </c>
      <c r="AH134" s="659"/>
    </row>
    <row r="135" spans="1:34" ht="19.2" customHeight="1">
      <c r="A135" s="697" t="s">
        <v>242</v>
      </c>
      <c r="B135" s="331" t="s">
        <v>105</v>
      </c>
      <c r="C135" s="344"/>
      <c r="D135" s="82" t="s">
        <v>115</v>
      </c>
      <c r="E135" s="83"/>
      <c r="F135" s="273">
        <v>54.09</v>
      </c>
      <c r="G135" s="57">
        <v>1883.6999999999998</v>
      </c>
      <c r="H135" s="242">
        <f t="shared" ref="H135:H146" si="92">F135*G135</f>
        <v>101889.333</v>
      </c>
      <c r="I135" s="344"/>
      <c r="J135" s="46">
        <v>16</v>
      </c>
      <c r="K135" s="57">
        <v>1500</v>
      </c>
      <c r="L135" s="86">
        <v>93.75</v>
      </c>
      <c r="M135" s="225">
        <v>17</v>
      </c>
      <c r="N135" s="57">
        <v>1395.3333333333339</v>
      </c>
      <c r="O135" s="115">
        <v>82.078431372549062</v>
      </c>
      <c r="P135" s="54">
        <v>1</v>
      </c>
      <c r="Q135" s="88">
        <v>-11.671568627450938</v>
      </c>
      <c r="R135" s="338">
        <v>0.87550326797385669</v>
      </c>
      <c r="S135" s="694">
        <f>R147</f>
        <v>0.8897536335423557</v>
      </c>
      <c r="T135" s="243">
        <v>0.45833333333333331</v>
      </c>
      <c r="U135" s="50">
        <v>0.51458333333333328</v>
      </c>
      <c r="V135" s="142">
        <v>5</v>
      </c>
      <c r="W135" s="244">
        <f t="shared" ref="W135:W147" si="93">(U135-T135)*24*60</f>
        <v>80.999999999999957</v>
      </c>
      <c r="X135" s="53"/>
      <c r="Y135" s="53"/>
      <c r="Z135" s="54"/>
      <c r="AA135" s="54"/>
      <c r="AB135" s="644"/>
      <c r="AC135" s="644"/>
      <c r="AD135" s="344">
        <v>1</v>
      </c>
      <c r="AE135" s="344"/>
      <c r="AF135" s="116">
        <f t="shared" si="61"/>
        <v>-104.66666666666606</v>
      </c>
      <c r="AG135" s="120">
        <f t="shared" si="62"/>
        <v>0.93022222222222262</v>
      </c>
      <c r="AH135" s="667">
        <f>AG147</f>
        <v>0.90895433155340744</v>
      </c>
    </row>
    <row r="136" spans="1:34" ht="19.2" customHeight="1">
      <c r="A136" s="698"/>
      <c r="B136" s="331" t="s">
        <v>105</v>
      </c>
      <c r="C136" s="344"/>
      <c r="D136" s="82" t="s">
        <v>74</v>
      </c>
      <c r="E136" s="83"/>
      <c r="F136" s="273">
        <v>57.734999999999999</v>
      </c>
      <c r="G136" s="57">
        <v>1833</v>
      </c>
      <c r="H136" s="84">
        <f t="shared" si="92"/>
        <v>105828.255</v>
      </c>
      <c r="I136" s="344"/>
      <c r="J136" s="46">
        <v>16</v>
      </c>
      <c r="K136" s="57">
        <v>1565</v>
      </c>
      <c r="L136" s="86">
        <v>97.8125</v>
      </c>
      <c r="M136" s="334">
        <v>16</v>
      </c>
      <c r="N136" s="57">
        <v>1374.7499999999995</v>
      </c>
      <c r="O136" s="86">
        <v>85.921874999999972</v>
      </c>
      <c r="P136" s="54">
        <v>0</v>
      </c>
      <c r="Q136" s="88">
        <v>-11.890625000000028</v>
      </c>
      <c r="R136" s="338">
        <v>0.87843450479233198</v>
      </c>
      <c r="S136" s="694"/>
      <c r="T136" s="243">
        <v>0.52013888888888882</v>
      </c>
      <c r="U136" s="50">
        <v>0.5756944444444444</v>
      </c>
      <c r="V136" s="142">
        <v>8</v>
      </c>
      <c r="W136" s="244">
        <f t="shared" si="93"/>
        <v>80.000000000000028</v>
      </c>
      <c r="X136" s="53"/>
      <c r="Y136" s="53"/>
      <c r="Z136" s="54"/>
      <c r="AA136" s="54"/>
      <c r="AB136" s="644"/>
      <c r="AC136" s="644"/>
      <c r="AD136" s="344"/>
      <c r="AE136" s="344"/>
      <c r="AF136" s="48">
        <f t="shared" si="61"/>
        <v>-190.25000000000045</v>
      </c>
      <c r="AG136" s="125">
        <f t="shared" si="62"/>
        <v>0.87843450479233198</v>
      </c>
      <c r="AH136" s="667"/>
    </row>
    <row r="137" spans="1:34" ht="19.2" customHeight="1">
      <c r="A137" s="698"/>
      <c r="B137" s="331" t="s">
        <v>105</v>
      </c>
      <c r="C137" s="344"/>
      <c r="D137" s="82" t="s">
        <v>160</v>
      </c>
      <c r="E137" s="83"/>
      <c r="F137" s="273">
        <v>53.27</v>
      </c>
      <c r="G137" s="206">
        <v>1330</v>
      </c>
      <c r="H137" s="84">
        <f t="shared" si="92"/>
        <v>70849.100000000006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v>1352.5423728813571</v>
      </c>
      <c r="O137" s="86">
        <v>84.533898305084819</v>
      </c>
      <c r="P137" s="54">
        <v>0</v>
      </c>
      <c r="Q137" s="88">
        <v>-9.2161016949151815</v>
      </c>
      <c r="R137" s="338">
        <v>0.90169491525423806</v>
      </c>
      <c r="S137" s="694"/>
      <c r="T137" s="50">
        <v>0.59166666666666656</v>
      </c>
      <c r="U137" s="50">
        <v>0.63263888888888875</v>
      </c>
      <c r="V137" s="246">
        <v>23</v>
      </c>
      <c r="W137" s="244">
        <f t="shared" si="93"/>
        <v>58.99999999999995</v>
      </c>
      <c r="X137" s="53">
        <v>0.57986111111111105</v>
      </c>
      <c r="Y137" s="53">
        <v>0.59027777777777779</v>
      </c>
      <c r="Z137" s="54"/>
      <c r="AA137" s="54"/>
      <c r="AB137" s="644"/>
      <c r="AC137" s="644"/>
      <c r="AD137" s="344"/>
      <c r="AE137" s="344"/>
      <c r="AF137" s="48">
        <f t="shared" si="61"/>
        <v>-147.4576271186429</v>
      </c>
      <c r="AG137" s="125">
        <f t="shared" si="62"/>
        <v>0.90169491525423806</v>
      </c>
      <c r="AH137" s="667"/>
    </row>
    <row r="138" spans="1:34" ht="19.2" customHeight="1">
      <c r="A138" s="698"/>
      <c r="B138" s="331" t="s">
        <v>105</v>
      </c>
      <c r="C138" s="220"/>
      <c r="D138" s="82" t="s">
        <v>146</v>
      </c>
      <c r="E138" s="83"/>
      <c r="F138" s="273">
        <v>50.67</v>
      </c>
      <c r="G138" s="57">
        <v>904.4</v>
      </c>
      <c r="H138" s="84">
        <f t="shared" si="92"/>
        <v>45825.948000000004</v>
      </c>
      <c r="I138" s="344">
        <v>1</v>
      </c>
      <c r="J138" s="87">
        <v>18</v>
      </c>
      <c r="K138" s="57">
        <v>1500</v>
      </c>
      <c r="L138" s="86">
        <v>83.333333333333329</v>
      </c>
      <c r="M138" s="225">
        <v>18</v>
      </c>
      <c r="N138" s="57">
        <v>1391.3846153846146</v>
      </c>
      <c r="O138" s="86">
        <v>77.299145299145252</v>
      </c>
      <c r="P138" s="54">
        <v>0</v>
      </c>
      <c r="Q138" s="88">
        <v>-6.0341880341880767</v>
      </c>
      <c r="R138" s="343">
        <v>0.92758974358974311</v>
      </c>
      <c r="S138" s="694"/>
      <c r="T138" s="50">
        <v>0.6368055555555554</v>
      </c>
      <c r="U138" s="50">
        <v>0.66388888888888875</v>
      </c>
      <c r="V138" s="246">
        <v>6</v>
      </c>
      <c r="W138" s="244">
        <f t="shared" si="93"/>
        <v>39.000000000000021</v>
      </c>
      <c r="X138" s="53"/>
      <c r="Y138" s="53"/>
      <c r="Z138" s="54"/>
      <c r="AA138" s="54"/>
      <c r="AB138" s="644"/>
      <c r="AC138" s="644"/>
      <c r="AD138" s="344"/>
      <c r="AE138" s="344"/>
      <c r="AF138" s="48">
        <f t="shared" si="61"/>
        <v>-108.61538461538544</v>
      </c>
      <c r="AG138" s="125">
        <f t="shared" si="62"/>
        <v>0.927589743589743</v>
      </c>
      <c r="AH138" s="667"/>
    </row>
    <row r="139" spans="1:34" ht="19.2" customHeight="1">
      <c r="A139" s="698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1585</v>
      </c>
      <c r="H139" s="84">
        <f t="shared" si="92"/>
        <v>80803.299999999988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v>1320.8333333333323</v>
      </c>
      <c r="O139" s="86">
        <v>66.041666666666615</v>
      </c>
      <c r="P139" s="54">
        <v>0</v>
      </c>
      <c r="Q139" s="88">
        <v>-5.9583333333333854</v>
      </c>
      <c r="R139" s="338">
        <v>0.91724537037036968</v>
      </c>
      <c r="S139" s="694"/>
      <c r="T139" s="50">
        <v>0.70833333333333337</v>
      </c>
      <c r="U139" s="50">
        <v>0.75833333333333341</v>
      </c>
      <c r="V139" s="247">
        <v>5</v>
      </c>
      <c r="W139" s="244">
        <f t="shared" si="93"/>
        <v>72.000000000000057</v>
      </c>
      <c r="X139" s="53"/>
      <c r="Y139" s="53"/>
      <c r="Z139" s="54"/>
      <c r="AA139" s="54"/>
      <c r="AB139" s="644"/>
      <c r="AC139" s="644"/>
      <c r="AD139" s="344"/>
      <c r="AE139" s="344"/>
      <c r="AF139" s="48">
        <f t="shared" si="61"/>
        <v>-119.16666666666765</v>
      </c>
      <c r="AG139" s="125">
        <f t="shared" si="62"/>
        <v>0.91724537037036968</v>
      </c>
      <c r="AH139" s="667"/>
    </row>
    <row r="140" spans="1:34" ht="19.2" customHeight="1">
      <c r="A140" s="699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1078</v>
      </c>
      <c r="H140" s="84">
        <f t="shared" si="92"/>
        <v>54622.26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v>1376.1702127659578</v>
      </c>
      <c r="O140" s="86">
        <v>80.951188986232808</v>
      </c>
      <c r="P140" s="54">
        <v>0</v>
      </c>
      <c r="Q140" s="88">
        <v>-7.2841051314142504</v>
      </c>
      <c r="R140" s="338">
        <v>0.91744680851063853</v>
      </c>
      <c r="S140" s="701"/>
      <c r="T140" s="63">
        <v>0.76319444444444451</v>
      </c>
      <c r="U140" s="249">
        <v>0.79583333333333339</v>
      </c>
      <c r="V140" s="250">
        <v>7</v>
      </c>
      <c r="W140" s="244">
        <f t="shared" si="93"/>
        <v>46.999999999999993</v>
      </c>
      <c r="X140" s="53"/>
      <c r="Y140" s="53"/>
      <c r="Z140" s="54"/>
      <c r="AA140" s="54"/>
      <c r="AB140" s="644"/>
      <c r="AC140" s="644"/>
      <c r="AD140" s="344"/>
      <c r="AE140" s="344"/>
      <c r="AF140" s="48">
        <f t="shared" si="61"/>
        <v>-123.82978723404221</v>
      </c>
      <c r="AG140" s="125">
        <f t="shared" si="62"/>
        <v>0.91744680851063853</v>
      </c>
      <c r="AH140" s="667"/>
    </row>
    <row r="141" spans="1:34" ht="19.2" customHeight="1">
      <c r="A141" s="699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1736</v>
      </c>
      <c r="H141" s="84">
        <f t="shared" si="92"/>
        <v>88397.12000000001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v>1335.3846153846148</v>
      </c>
      <c r="O141" s="86">
        <v>70.283400809716568</v>
      </c>
      <c r="P141" s="54">
        <v>0</v>
      </c>
      <c r="Q141" s="88">
        <v>-5.5060728744939524</v>
      </c>
      <c r="R141" s="338">
        <v>0.92735042735042705</v>
      </c>
      <c r="S141" s="701"/>
      <c r="T141" s="63">
        <v>0.80069444444444449</v>
      </c>
      <c r="U141" s="249">
        <v>0.85486111111111118</v>
      </c>
      <c r="V141" s="55">
        <v>7</v>
      </c>
      <c r="W141" s="244">
        <f t="shared" si="93"/>
        <v>78.000000000000043</v>
      </c>
      <c r="X141" s="53"/>
      <c r="Y141" s="53"/>
      <c r="Z141" s="54"/>
      <c r="AA141" s="54"/>
      <c r="AB141" s="644"/>
      <c r="AC141" s="644"/>
      <c r="AD141" s="344"/>
      <c r="AE141" s="344"/>
      <c r="AF141" s="48">
        <f t="shared" si="61"/>
        <v>-104.61538461538521</v>
      </c>
      <c r="AG141" s="125">
        <f t="shared" si="62"/>
        <v>0.92735042735042694</v>
      </c>
      <c r="AH141" s="667"/>
    </row>
    <row r="142" spans="1:34" ht="19.2" customHeight="1">
      <c r="A142" s="699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1196</v>
      </c>
      <c r="H142" s="84">
        <f t="shared" si="92"/>
        <v>67490.28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v>1353.9622641509441</v>
      </c>
      <c r="O142" s="86">
        <v>79.644839067702591</v>
      </c>
      <c r="P142" s="54">
        <v>1</v>
      </c>
      <c r="Q142" s="88">
        <v>-14.105160932297409</v>
      </c>
      <c r="R142" s="338">
        <v>0.84954495005549435</v>
      </c>
      <c r="S142" s="701"/>
      <c r="T142" s="63">
        <v>0.87013888888888891</v>
      </c>
      <c r="U142" s="249">
        <v>0.90694444444444444</v>
      </c>
      <c r="V142" s="55">
        <v>22</v>
      </c>
      <c r="W142" s="244">
        <f t="shared" si="93"/>
        <v>52.999999999999972</v>
      </c>
      <c r="X142" s="53">
        <v>0.85972222222222217</v>
      </c>
      <c r="Y142" s="53">
        <v>0.86944444444444446</v>
      </c>
      <c r="Z142" s="54"/>
      <c r="AA142" s="54"/>
      <c r="AB142" s="644"/>
      <c r="AC142" s="644"/>
      <c r="AD142" s="344"/>
      <c r="AE142" s="344"/>
      <c r="AF142" s="48">
        <f t="shared" si="61"/>
        <v>-146.03773584905593</v>
      </c>
      <c r="AG142" s="125">
        <f t="shared" si="62"/>
        <v>0.90264150943396271</v>
      </c>
      <c r="AH142" s="667"/>
    </row>
    <row r="143" spans="1:34" ht="19.2" customHeight="1">
      <c r="A143" s="699"/>
      <c r="B143" s="331" t="s">
        <v>105</v>
      </c>
      <c r="C143" s="252"/>
      <c r="D143" s="82" t="s">
        <v>85</v>
      </c>
      <c r="E143" s="83"/>
      <c r="F143" s="273">
        <v>50.67</v>
      </c>
      <c r="G143" s="57">
        <v>902</v>
      </c>
      <c r="H143" s="84">
        <f t="shared" si="92"/>
        <v>45704.340000000004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v>1288.571428571428</v>
      </c>
      <c r="O143" s="86">
        <v>75.798319327731065</v>
      </c>
      <c r="P143" s="54">
        <v>0</v>
      </c>
      <c r="Q143" s="88">
        <v>-8.9075630252101092</v>
      </c>
      <c r="R143" s="338">
        <v>0.89484126984126955</v>
      </c>
      <c r="S143" s="701"/>
      <c r="T143" s="63">
        <v>0.91180555555555554</v>
      </c>
      <c r="U143" s="249">
        <v>0.94097222222222221</v>
      </c>
      <c r="V143" s="55">
        <v>7</v>
      </c>
      <c r="W143" s="244">
        <f t="shared" si="93"/>
        <v>42.000000000000014</v>
      </c>
      <c r="X143" s="53"/>
      <c r="Y143" s="53"/>
      <c r="Z143" s="54"/>
      <c r="AA143" s="54"/>
      <c r="AB143" s="644"/>
      <c r="AC143" s="644"/>
      <c r="AD143" s="344"/>
      <c r="AE143" s="344"/>
      <c r="AF143" s="48">
        <f t="shared" si="61"/>
        <v>-151.42857142857201</v>
      </c>
      <c r="AG143" s="125">
        <f t="shared" si="62"/>
        <v>0.89484126984126944</v>
      </c>
      <c r="AH143" s="667"/>
    </row>
    <row r="144" spans="1:34" ht="19.2" customHeight="1">
      <c r="A144" s="699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1222</v>
      </c>
      <c r="H144" s="84">
        <f t="shared" si="92"/>
        <v>61698.78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v>1286.3157894736851</v>
      </c>
      <c r="O144" s="86">
        <v>85.754385964912345</v>
      </c>
      <c r="P144" s="54">
        <v>1</v>
      </c>
      <c r="Q144" s="88">
        <v>-17.102756892230516</v>
      </c>
      <c r="R144" s="338">
        <v>0.8337231968810922</v>
      </c>
      <c r="S144" s="701"/>
      <c r="T144" s="63">
        <v>0.94513888888888886</v>
      </c>
      <c r="U144" s="249">
        <v>0.98472222222222217</v>
      </c>
      <c r="V144" s="55">
        <v>6</v>
      </c>
      <c r="W144" s="244">
        <f t="shared" si="93"/>
        <v>56.999999999999957</v>
      </c>
      <c r="X144" s="53"/>
      <c r="Y144" s="53"/>
      <c r="Z144" s="54"/>
      <c r="AA144" s="54"/>
      <c r="AB144" s="644"/>
      <c r="AC144" s="644"/>
      <c r="AD144" s="344"/>
      <c r="AE144" s="344"/>
      <c r="AF144" s="48">
        <f t="shared" si="61"/>
        <v>-153.68421052631493</v>
      </c>
      <c r="AG144" s="125">
        <f t="shared" si="62"/>
        <v>0.89327485380117022</v>
      </c>
      <c r="AH144" s="667"/>
    </row>
    <row r="145" spans="1:34" ht="19.2" customHeight="1">
      <c r="A145" s="699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338"/>
      <c r="S145" s="701"/>
      <c r="T145" s="63"/>
      <c r="U145" s="249"/>
      <c r="V145" s="55"/>
      <c r="W145" s="244">
        <f t="shared" si="93"/>
        <v>0</v>
      </c>
      <c r="X145" s="53"/>
      <c r="Y145" s="53"/>
      <c r="Z145" s="54"/>
      <c r="AA145" s="54"/>
      <c r="AB145" s="644"/>
      <c r="AC145" s="644"/>
      <c r="AD145" s="344"/>
      <c r="AE145" s="344"/>
      <c r="AF145" s="48">
        <f t="shared" si="61"/>
        <v>0</v>
      </c>
      <c r="AG145" s="125" t="e">
        <f t="shared" si="62"/>
        <v>#DIV/0!</v>
      </c>
      <c r="AH145" s="667"/>
    </row>
    <row r="146" spans="1:34" ht="19.2" customHeight="1">
      <c r="A146" s="699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338"/>
      <c r="S146" s="701"/>
      <c r="T146" s="63"/>
      <c r="U146" s="249"/>
      <c r="V146" s="55"/>
      <c r="W146" s="244">
        <f t="shared" si="93"/>
        <v>0</v>
      </c>
      <c r="X146" s="53"/>
      <c r="Y146" s="53"/>
      <c r="Z146" s="54"/>
      <c r="AA146" s="54"/>
      <c r="AB146" s="644"/>
      <c r="AC146" s="644"/>
      <c r="AD146" s="344"/>
      <c r="AE146" s="344"/>
      <c r="AF146" s="54"/>
      <c r="AG146" s="338"/>
      <c r="AH146" s="667"/>
    </row>
    <row r="147" spans="1:34" ht="19.2" customHeight="1">
      <c r="A147" s="700"/>
      <c r="B147" s="254">
        <v>0</v>
      </c>
      <c r="C147" s="100" t="s">
        <v>243</v>
      </c>
      <c r="D147" s="673" t="s">
        <v>221</v>
      </c>
      <c r="E147" s="673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4">AVERAGE(M135:M146)</f>
        <v>17.2</v>
      </c>
      <c r="N147" s="239">
        <f t="shared" si="94"/>
        <v>1347.5247965279266</v>
      </c>
      <c r="O147" s="240">
        <f t="shared" si="94"/>
        <v>78.830715079974112</v>
      </c>
      <c r="P147" s="51">
        <f t="shared" ref="P147:P153" si="95">M147-J147</f>
        <v>0.30000000000000071</v>
      </c>
      <c r="Q147" s="139">
        <f t="shared" ref="Q147:Q153" si="96">O147-L147</f>
        <v>-9.7676475545533776</v>
      </c>
      <c r="R147" s="255">
        <f t="shared" ref="R147:R153" si="97">O147/L147</f>
        <v>0.8897536335423557</v>
      </c>
      <c r="S147" s="702"/>
      <c r="T147" s="63"/>
      <c r="U147" s="63"/>
      <c r="V147" s="55"/>
      <c r="W147" s="328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44"/>
      <c r="AC147" s="644"/>
      <c r="AD147" s="107">
        <f>SUM(AD135:AD146)</f>
        <v>1</v>
      </c>
      <c r="AE147" s="107">
        <f>SUM(AE135:AE146)</f>
        <v>0</v>
      </c>
      <c r="AF147" s="201">
        <f t="shared" si="61"/>
        <v>-134.97520347207342</v>
      </c>
      <c r="AG147" s="256">
        <f t="shared" si="62"/>
        <v>0.90895433155340744</v>
      </c>
      <c r="AH147" s="667"/>
    </row>
    <row r="148" spans="1:34" ht="19.2" customHeight="1">
      <c r="A148" s="704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2705</v>
      </c>
      <c r="H148" s="84">
        <f t="shared" ref="H148:H172" si="98">F148*G148</f>
        <v>99868.6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99">G148/W148*60</f>
        <v>1545.7142857142853</v>
      </c>
      <c r="O148" s="47">
        <f t="shared" ref="O148:O153" si="100">N148/M148</f>
        <v>128.80952380952377</v>
      </c>
      <c r="P148" s="48">
        <f t="shared" si="95"/>
        <v>0</v>
      </c>
      <c r="Q148" s="49">
        <f t="shared" si="96"/>
        <v>-37.85714285714289</v>
      </c>
      <c r="R148" s="335">
        <f t="shared" si="97"/>
        <v>0.77285714285714269</v>
      </c>
      <c r="S148" s="705">
        <f>R160</f>
        <v>0.82688455906280711</v>
      </c>
      <c r="T148" s="243">
        <v>0.45833333333333331</v>
      </c>
      <c r="U148" s="50">
        <v>0.53125</v>
      </c>
      <c r="V148" s="331">
        <v>5</v>
      </c>
      <c r="W148" s="328">
        <f>(U148-T148)*24*60</f>
        <v>105.00000000000003</v>
      </c>
      <c r="X148" s="53"/>
      <c r="Y148" s="53"/>
      <c r="Z148" s="54"/>
      <c r="AA148" s="54"/>
      <c r="AB148" s="644"/>
      <c r="AC148" s="644"/>
      <c r="AD148" s="344"/>
      <c r="AE148" s="344"/>
      <c r="AF148" s="48">
        <f t="shared" si="61"/>
        <v>-454.28571428571468</v>
      </c>
      <c r="AG148" s="125">
        <f t="shared" si="62"/>
        <v>0.77285714285714269</v>
      </c>
      <c r="AH148" s="667">
        <f>AG160</f>
        <v>0.82323621553884874</v>
      </c>
    </row>
    <row r="149" spans="1:34" ht="19.2" customHeight="1">
      <c r="A149" s="704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910.34999999999991</v>
      </c>
      <c r="H149" s="84">
        <f t="shared" si="98"/>
        <v>24124.274999999998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99"/>
        <v>1517.2499999999986</v>
      </c>
      <c r="O149" s="47">
        <f t="shared" si="100"/>
        <v>126.43749999999989</v>
      </c>
      <c r="P149" s="48">
        <f t="shared" si="95"/>
        <v>0</v>
      </c>
      <c r="Q149" s="49">
        <f t="shared" si="96"/>
        <v>-40.229166666666771</v>
      </c>
      <c r="R149" s="335">
        <f t="shared" si="97"/>
        <v>0.75862499999999933</v>
      </c>
      <c r="S149" s="706"/>
      <c r="T149" s="243">
        <v>0.53472222222222221</v>
      </c>
      <c r="U149" s="50">
        <v>0.55972222222222223</v>
      </c>
      <c r="V149" s="331">
        <v>5</v>
      </c>
      <c r="W149" s="328">
        <f t="shared" ref="W149:W159" si="101">(U149-T149)*24*60</f>
        <v>36.000000000000028</v>
      </c>
      <c r="X149" s="53"/>
      <c r="Y149" s="53"/>
      <c r="Z149" s="54"/>
      <c r="AA149" s="54"/>
      <c r="AB149" s="644"/>
      <c r="AC149" s="644"/>
      <c r="AD149" s="344"/>
      <c r="AE149" s="344"/>
      <c r="AF149" s="48">
        <f t="shared" si="61"/>
        <v>-482.75000000000136</v>
      </c>
      <c r="AG149" s="125">
        <f t="shared" si="62"/>
        <v>0.75862499999999933</v>
      </c>
      <c r="AH149" s="708"/>
    </row>
    <row r="150" spans="1:34" ht="19.2" customHeight="1">
      <c r="A150" s="704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148</v>
      </c>
      <c r="H150" s="84">
        <f t="shared" si="98"/>
        <v>8215.48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335">
        <f t="shared" si="97"/>
        <v>0.84571428571428864</v>
      </c>
      <c r="S150" s="706"/>
      <c r="T150" s="243">
        <v>0.70833333333333337</v>
      </c>
      <c r="U150" s="50">
        <v>0.71319444444444446</v>
      </c>
      <c r="V150" s="331">
        <v>5</v>
      </c>
      <c r="W150" s="328">
        <f t="shared" si="101"/>
        <v>6.9999999999999751</v>
      </c>
      <c r="X150" s="213"/>
      <c r="Y150" s="213"/>
      <c r="Z150" s="214"/>
      <c r="AA150" s="214"/>
      <c r="AB150" s="644"/>
      <c r="AC150" s="644"/>
      <c r="AD150" s="344"/>
      <c r="AE150" s="344"/>
      <c r="AF150" s="48">
        <f t="shared" si="61"/>
        <v>-231.42857142856701</v>
      </c>
      <c r="AG150" s="125">
        <f t="shared" si="62"/>
        <v>0.84571428571428864</v>
      </c>
      <c r="AH150" s="708"/>
    </row>
    <row r="151" spans="1:34" s="215" customFormat="1" ht="19.2" customHeight="1">
      <c r="A151" s="704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1293</v>
      </c>
      <c r="H151" s="84">
        <f t="shared" si="98"/>
        <v>36941.01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99"/>
        <v>1385.357142857144</v>
      </c>
      <c r="O151" s="47">
        <f t="shared" si="100"/>
        <v>115.44642857142867</v>
      </c>
      <c r="P151" s="48">
        <f t="shared" si="95"/>
        <v>0</v>
      </c>
      <c r="Q151" s="49">
        <f t="shared" si="96"/>
        <v>-9.5535714285713311</v>
      </c>
      <c r="R151" s="335">
        <f t="shared" si="97"/>
        <v>0.92357142857142938</v>
      </c>
      <c r="S151" s="706"/>
      <c r="T151" s="243">
        <v>0.71666666666666667</v>
      </c>
      <c r="U151" s="50">
        <v>0.75555555555555554</v>
      </c>
      <c r="V151" s="331">
        <v>5</v>
      </c>
      <c r="W151" s="328">
        <f t="shared" si="101"/>
        <v>55.999999999999957</v>
      </c>
      <c r="X151" s="213"/>
      <c r="Y151" s="213"/>
      <c r="Z151" s="214"/>
      <c r="AA151" s="214"/>
      <c r="AB151" s="644"/>
      <c r="AC151" s="644"/>
      <c r="AD151" s="218"/>
      <c r="AE151" s="218"/>
      <c r="AF151" s="48">
        <f t="shared" si="61"/>
        <v>-114.64285714285597</v>
      </c>
      <c r="AG151" s="125">
        <f t="shared" si="62"/>
        <v>0.92357142857142938</v>
      </c>
      <c r="AH151" s="708"/>
    </row>
    <row r="152" spans="1:34" s="215" customFormat="1" ht="19.2" customHeight="1">
      <c r="A152" s="704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461</v>
      </c>
      <c r="H152" s="84">
        <f t="shared" si="98"/>
        <v>8722.1200000000008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99"/>
        <v>1844.0000000000064</v>
      </c>
      <c r="O152" s="47">
        <f t="shared" si="100"/>
        <v>368.80000000000126</v>
      </c>
      <c r="P152" s="48">
        <f t="shared" si="95"/>
        <v>0</v>
      </c>
      <c r="Q152" s="49">
        <f t="shared" si="96"/>
        <v>-71.199999999998738</v>
      </c>
      <c r="R152" s="335">
        <f t="shared" si="97"/>
        <v>0.83818181818182103</v>
      </c>
      <c r="S152" s="706"/>
      <c r="T152" s="258">
        <v>0.75902777777777775</v>
      </c>
      <c r="U152" s="63">
        <v>0.76944444444444438</v>
      </c>
      <c r="V152" s="332">
        <v>5</v>
      </c>
      <c r="W152" s="328">
        <f t="shared" si="101"/>
        <v>14.999999999999947</v>
      </c>
      <c r="X152" s="216"/>
      <c r="Y152" s="216"/>
      <c r="Z152" s="214"/>
      <c r="AA152" s="214"/>
      <c r="AB152" s="644"/>
      <c r="AC152" s="644"/>
      <c r="AD152" s="218"/>
      <c r="AE152" s="218"/>
      <c r="AF152" s="48">
        <f t="shared" si="61"/>
        <v>-355.99999999999363</v>
      </c>
      <c r="AG152" s="125">
        <f t="shared" si="62"/>
        <v>0.83818181818182103</v>
      </c>
      <c r="AH152" s="708"/>
    </row>
    <row r="153" spans="1:34" s="215" customFormat="1" ht="19.2" customHeight="1">
      <c r="A153" s="704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304</v>
      </c>
      <c r="H153" s="84">
        <f t="shared" si="98"/>
        <v>5383.84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99"/>
        <v>1824.0000000000066</v>
      </c>
      <c r="O153" s="47">
        <f t="shared" si="100"/>
        <v>364.80000000000132</v>
      </c>
      <c r="P153" s="48">
        <f t="shared" si="95"/>
        <v>0</v>
      </c>
      <c r="Q153" s="49">
        <f t="shared" si="96"/>
        <v>-75.199999999998681</v>
      </c>
      <c r="R153" s="335">
        <f t="shared" si="97"/>
        <v>0.8290909090909121</v>
      </c>
      <c r="S153" s="706"/>
      <c r="T153" s="258">
        <v>0.77291666666666659</v>
      </c>
      <c r="U153" s="63">
        <v>0.77986111111111101</v>
      </c>
      <c r="V153" s="332">
        <v>5</v>
      </c>
      <c r="W153" s="328">
        <f t="shared" si="101"/>
        <v>9.9999999999999645</v>
      </c>
      <c r="X153" s="216"/>
      <c r="Y153" s="216"/>
      <c r="Z153" s="214"/>
      <c r="AA153" s="214"/>
      <c r="AB153" s="644"/>
      <c r="AC153" s="644"/>
      <c r="AD153" s="218"/>
      <c r="AE153" s="218"/>
      <c r="AF153" s="48">
        <f t="shared" si="61"/>
        <v>-375.99999999999341</v>
      </c>
      <c r="AG153" s="125">
        <f t="shared" si="62"/>
        <v>0.8290909090909121</v>
      </c>
      <c r="AH153" s="708"/>
    </row>
    <row r="154" spans="1:34" s="215" customFormat="1" ht="19.2" customHeight="1">
      <c r="A154" s="704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98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706"/>
      <c r="T154" s="258"/>
      <c r="U154" s="63"/>
      <c r="V154" s="332"/>
      <c r="W154" s="328">
        <f t="shared" si="101"/>
        <v>0</v>
      </c>
      <c r="X154" s="216"/>
      <c r="Y154" s="216"/>
      <c r="Z154" s="214"/>
      <c r="AA154" s="214"/>
      <c r="AB154" s="644"/>
      <c r="AC154" s="644"/>
      <c r="AD154" s="218"/>
      <c r="AE154" s="218"/>
      <c r="AF154" s="48">
        <f t="shared" si="61"/>
        <v>0</v>
      </c>
      <c r="AG154" s="125" t="e">
        <f t="shared" si="62"/>
        <v>#DIV/0!</v>
      </c>
      <c r="AH154" s="708"/>
    </row>
    <row r="155" spans="1:34" s="215" customFormat="1" ht="19.2" customHeight="1">
      <c r="A155" s="704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98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706"/>
      <c r="T155" s="258"/>
      <c r="U155" s="63"/>
      <c r="V155" s="332"/>
      <c r="W155" s="328">
        <f t="shared" si="101"/>
        <v>0</v>
      </c>
      <c r="X155" s="216"/>
      <c r="Y155" s="216"/>
      <c r="Z155" s="214"/>
      <c r="AA155" s="214"/>
      <c r="AB155" s="644"/>
      <c r="AC155" s="644"/>
      <c r="AD155" s="218"/>
      <c r="AE155" s="218"/>
      <c r="AF155" s="48">
        <f t="shared" si="61"/>
        <v>0</v>
      </c>
      <c r="AG155" s="125" t="e">
        <f t="shared" si="62"/>
        <v>#DIV/0!</v>
      </c>
      <c r="AH155" s="708"/>
    </row>
    <row r="156" spans="1:34" s="215" customFormat="1" ht="19.2" customHeight="1">
      <c r="A156" s="70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8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706"/>
      <c r="T156" s="258"/>
      <c r="U156" s="63"/>
      <c r="V156" s="332"/>
      <c r="W156" s="262">
        <f t="shared" si="101"/>
        <v>0</v>
      </c>
      <c r="X156" s="216"/>
      <c r="Y156" s="216"/>
      <c r="Z156" s="214"/>
      <c r="AA156" s="214"/>
      <c r="AB156" s="644"/>
      <c r="AC156" s="644"/>
      <c r="AD156" s="218"/>
      <c r="AE156" s="218"/>
      <c r="AF156" s="261"/>
      <c r="AG156" s="129"/>
      <c r="AH156" s="708"/>
    </row>
    <row r="157" spans="1:34" s="215" customFormat="1" ht="19.2" customHeight="1">
      <c r="A157" s="70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8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706"/>
      <c r="T157" s="258"/>
      <c r="U157" s="63"/>
      <c r="V157" s="332"/>
      <c r="W157" s="262">
        <f t="shared" si="101"/>
        <v>0</v>
      </c>
      <c r="X157" s="216"/>
      <c r="Y157" s="216"/>
      <c r="Z157" s="214"/>
      <c r="AA157" s="214"/>
      <c r="AB157" s="644"/>
      <c r="AC157" s="644"/>
      <c r="AD157" s="218"/>
      <c r="AE157" s="218"/>
      <c r="AF157" s="261"/>
      <c r="AG157" s="129"/>
      <c r="AH157" s="708"/>
    </row>
    <row r="158" spans="1:34" s="215" customFormat="1" ht="19.2" customHeight="1">
      <c r="A158" s="70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8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706"/>
      <c r="T158" s="258"/>
      <c r="U158" s="63"/>
      <c r="V158" s="332"/>
      <c r="W158" s="262">
        <f t="shared" si="101"/>
        <v>0</v>
      </c>
      <c r="X158" s="216"/>
      <c r="Y158" s="216"/>
      <c r="Z158" s="214"/>
      <c r="AA158" s="214"/>
      <c r="AB158" s="644"/>
      <c r="AC158" s="644"/>
      <c r="AD158" s="218"/>
      <c r="AE158" s="218"/>
      <c r="AF158" s="261"/>
      <c r="AG158" s="129"/>
      <c r="AH158" s="708"/>
    </row>
    <row r="159" spans="1:34" s="215" customFormat="1" ht="19.2" customHeight="1">
      <c r="A159" s="70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8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706"/>
      <c r="T159" s="258"/>
      <c r="U159" s="63"/>
      <c r="V159" s="332"/>
      <c r="W159" s="263">
        <f t="shared" si="101"/>
        <v>0</v>
      </c>
      <c r="X159" s="216"/>
      <c r="Y159" s="216"/>
      <c r="Z159" s="214"/>
      <c r="AA159" s="214"/>
      <c r="AB159" s="644"/>
      <c r="AC159" s="644"/>
      <c r="AD159" s="218"/>
      <c r="AE159" s="218"/>
      <c r="AF159" s="261"/>
      <c r="AG159" s="129"/>
      <c r="AH159" s="708"/>
    </row>
    <row r="160" spans="1:34" ht="19.2" customHeight="1">
      <c r="A160" s="704"/>
      <c r="B160" s="264">
        <v>0</v>
      </c>
      <c r="C160" s="265" t="s">
        <v>245</v>
      </c>
      <c r="D160" s="703" t="s">
        <v>221</v>
      </c>
      <c r="E160" s="664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2">AVERAGE(M148:M159)</f>
        <v>9.6666666666666661</v>
      </c>
      <c r="N160" s="266">
        <f t="shared" si="102"/>
        <v>1564.1488095238126</v>
      </c>
      <c r="O160" s="267">
        <f t="shared" si="102"/>
        <v>201.66795634920683</v>
      </c>
      <c r="P160" s="65">
        <f t="shared" ref="P160:P165" si="103">M160-J160</f>
        <v>0</v>
      </c>
      <c r="Q160" s="74">
        <f t="shared" ref="Q160:Q165" si="104">O160-L160</f>
        <v>-42.220932539682053</v>
      </c>
      <c r="R160" s="268">
        <f>O160/L160</f>
        <v>0.82688455906280711</v>
      </c>
      <c r="S160" s="70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644"/>
      <c r="AC160" s="644"/>
      <c r="AD160" s="79">
        <f>SUM(AD148:AD159)</f>
        <v>0</v>
      </c>
      <c r="AE160" s="79">
        <f>SUM(AE148:AE159)</f>
        <v>0</v>
      </c>
      <c r="AF160" s="65">
        <f t="shared" si="61"/>
        <v>-335.85119047618741</v>
      </c>
      <c r="AG160" s="129">
        <f t="shared" si="62"/>
        <v>0.82323621553884874</v>
      </c>
      <c r="AH160" s="708"/>
    </row>
    <row r="161" spans="1:36" ht="19.2" customHeight="1">
      <c r="A161" s="66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3934</v>
      </c>
      <c r="H161" s="84">
        <f t="shared" ref="H161:H170" si="105">F161*G161</f>
        <v>118531.42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1162.7586206896551</v>
      </c>
      <c r="O161" s="86">
        <f t="shared" ref="O161:O165" si="107">N161/M161</f>
        <v>64.597701149425291</v>
      </c>
      <c r="P161" s="54">
        <f t="shared" si="103"/>
        <v>0</v>
      </c>
      <c r="Q161" s="88">
        <f t="shared" si="104"/>
        <v>-2.0689655172413808</v>
      </c>
      <c r="R161" s="338">
        <f t="shared" ref="R161:R165" si="108">O161/L161</f>
        <v>0.96896551724137925</v>
      </c>
      <c r="S161" s="667">
        <f>R173</f>
        <v>0.91942018856654761</v>
      </c>
      <c r="T161" s="89">
        <v>0.16666666666666666</v>
      </c>
      <c r="U161" s="89">
        <v>0.30763888888888891</v>
      </c>
      <c r="V161" s="344">
        <v>5</v>
      </c>
      <c r="W161" s="90">
        <f t="shared" ref="W161:W172" si="109">(U161-T161)*24*60</f>
        <v>203.00000000000003</v>
      </c>
      <c r="X161" s="96"/>
      <c r="Y161" s="96"/>
      <c r="Z161" s="54"/>
      <c r="AA161" s="54"/>
      <c r="AB161" s="644"/>
      <c r="AC161" s="644"/>
      <c r="AD161" s="344"/>
      <c r="AE161" s="344"/>
      <c r="AF161" s="54">
        <f t="shared" si="61"/>
        <v>-37.241379310344882</v>
      </c>
      <c r="AG161" s="338">
        <f t="shared" si="62"/>
        <v>0.96896551724137925</v>
      </c>
      <c r="AH161" s="667">
        <f>AG173</f>
        <v>0.92352494609929903</v>
      </c>
    </row>
    <row r="162" spans="1:36" ht="19.2" customHeight="1">
      <c r="A162" s="66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2011</v>
      </c>
      <c r="H162" s="84">
        <f t="shared" si="105"/>
        <v>71048.62999999999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1978.0327868852453</v>
      </c>
      <c r="O162" s="86">
        <f t="shared" si="107"/>
        <v>164.83606557377044</v>
      </c>
      <c r="P162" s="54">
        <f t="shared" si="103"/>
        <v>0</v>
      </c>
      <c r="Q162" s="88">
        <f t="shared" si="104"/>
        <v>-11.663934426229559</v>
      </c>
      <c r="R162" s="338">
        <f t="shared" si="108"/>
        <v>0.93391538568708465</v>
      </c>
      <c r="S162" s="667"/>
      <c r="T162" s="89">
        <v>0.32291666666666669</v>
      </c>
      <c r="U162" s="89">
        <v>0.36527777777777781</v>
      </c>
      <c r="V162" s="344">
        <v>22</v>
      </c>
      <c r="W162" s="90">
        <f t="shared" si="109"/>
        <v>61.000000000000021</v>
      </c>
      <c r="X162" s="96">
        <v>0.3125</v>
      </c>
      <c r="Y162" s="96">
        <v>0.32222222222222224</v>
      </c>
      <c r="Z162" s="54"/>
      <c r="AA162" s="54"/>
      <c r="AB162" s="644"/>
      <c r="AC162" s="644"/>
      <c r="AD162" s="344"/>
      <c r="AE162" s="344"/>
      <c r="AF162" s="54">
        <f t="shared" si="61"/>
        <v>-139.96721311475471</v>
      </c>
      <c r="AG162" s="338">
        <f t="shared" si="62"/>
        <v>0.93391538568708465</v>
      </c>
      <c r="AH162" s="667"/>
    </row>
    <row r="163" spans="1:36" ht="19.2" customHeight="1">
      <c r="A163" s="66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3477</v>
      </c>
      <c r="H163" s="84">
        <f t="shared" si="105"/>
        <v>124580.90999999999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2128.7755102040824</v>
      </c>
      <c r="O163" s="86">
        <f t="shared" si="107"/>
        <v>193.52504638218932</v>
      </c>
      <c r="P163" s="54">
        <f t="shared" si="103"/>
        <v>0</v>
      </c>
      <c r="Q163" s="88">
        <f t="shared" si="104"/>
        <v>-11.020408163265216</v>
      </c>
      <c r="R163" s="338">
        <f t="shared" si="108"/>
        <v>0.9461224489795923</v>
      </c>
      <c r="S163" s="667"/>
      <c r="T163" s="89">
        <v>0.37013888888888891</v>
      </c>
      <c r="U163" s="89">
        <v>0.43819444444444444</v>
      </c>
      <c r="V163" s="344">
        <v>7</v>
      </c>
      <c r="W163" s="90">
        <f t="shared" si="109"/>
        <v>97.999999999999972</v>
      </c>
      <c r="X163" s="96"/>
      <c r="Y163" s="96"/>
      <c r="Z163" s="54"/>
      <c r="AA163" s="54"/>
      <c r="AB163" s="644"/>
      <c r="AC163" s="644"/>
      <c r="AD163" s="344"/>
      <c r="AE163" s="344">
        <v>1</v>
      </c>
      <c r="AF163" s="54">
        <f t="shared" si="61"/>
        <v>-121.22448979591763</v>
      </c>
      <c r="AG163" s="338">
        <f t="shared" si="62"/>
        <v>0.94612244897959219</v>
      </c>
      <c r="AH163" s="667"/>
    </row>
    <row r="164" spans="1:36" ht="19.2" customHeight="1">
      <c r="A164" s="66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6354.4000000000005</v>
      </c>
      <c r="H164" s="84">
        <f t="shared" si="105"/>
        <v>231363.704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2368.0993788819869</v>
      </c>
      <c r="O164" s="86">
        <f t="shared" si="107"/>
        <v>236.8099378881987</v>
      </c>
      <c r="P164" s="54">
        <f t="shared" si="103"/>
        <v>0</v>
      </c>
      <c r="Q164" s="88">
        <f t="shared" si="104"/>
        <v>-40.090062111801274</v>
      </c>
      <c r="R164" s="338">
        <f t="shared" si="108"/>
        <v>0.85521826611844975</v>
      </c>
      <c r="S164" s="667"/>
      <c r="T164" s="89">
        <v>0.47847222222222219</v>
      </c>
      <c r="U164" s="89">
        <v>0.59027777777777779</v>
      </c>
      <c r="V164" s="344">
        <v>5</v>
      </c>
      <c r="W164" s="90">
        <f t="shared" si="109"/>
        <v>161.00000000000006</v>
      </c>
      <c r="X164" s="96"/>
      <c r="Y164" s="96"/>
      <c r="Z164" s="54"/>
      <c r="AA164" s="54"/>
      <c r="AB164" s="644"/>
      <c r="AC164" s="644"/>
      <c r="AD164" s="344"/>
      <c r="AE164" s="344"/>
      <c r="AF164" s="54">
        <f>N164-K164</f>
        <v>-400.90062111801308</v>
      </c>
      <c r="AG164" s="338">
        <f>N164/K164</f>
        <v>0.85521826611844964</v>
      </c>
      <c r="AH164" s="667"/>
    </row>
    <row r="165" spans="1:36" ht="19.2" customHeight="1">
      <c r="A165" s="66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2318</v>
      </c>
      <c r="H165" s="84">
        <f t="shared" si="105"/>
        <v>83053.94</v>
      </c>
      <c r="I165" s="344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6"/>
        <v>2139.6923076923099</v>
      </c>
      <c r="O165" s="86">
        <f t="shared" si="107"/>
        <v>194.5174825174827</v>
      </c>
      <c r="P165" s="54">
        <f t="shared" si="103"/>
        <v>0</v>
      </c>
      <c r="Q165" s="88">
        <f t="shared" si="104"/>
        <v>-10.027972027971828</v>
      </c>
      <c r="R165" s="338">
        <f t="shared" si="108"/>
        <v>0.95097435897436</v>
      </c>
      <c r="S165" s="667"/>
      <c r="T165" s="89">
        <v>0.60624999999999996</v>
      </c>
      <c r="U165" s="89">
        <v>0.6513888888888888</v>
      </c>
      <c r="V165" s="344">
        <v>23</v>
      </c>
      <c r="W165" s="90">
        <f t="shared" si="109"/>
        <v>64.999999999999929</v>
      </c>
      <c r="X165" s="96">
        <v>0.59444444444444444</v>
      </c>
      <c r="Y165" s="96">
        <v>0.60555555555555551</v>
      </c>
      <c r="Z165" s="54"/>
      <c r="AA165" s="54"/>
      <c r="AB165" s="644"/>
      <c r="AC165" s="644"/>
      <c r="AD165" s="344"/>
      <c r="AE165" s="344"/>
      <c r="AF165" s="54">
        <f>N165-K165</f>
        <v>-110.3076923076901</v>
      </c>
      <c r="AG165" s="338">
        <f>N165/K165</f>
        <v>0.95097435897436</v>
      </c>
      <c r="AH165" s="667"/>
    </row>
    <row r="166" spans="1:36" ht="19.2" customHeight="1">
      <c r="A166" s="66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5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667"/>
      <c r="T166" s="89"/>
      <c r="U166" s="89"/>
      <c r="V166" s="344"/>
      <c r="W166" s="90">
        <f t="shared" si="109"/>
        <v>0</v>
      </c>
      <c r="X166" s="96"/>
      <c r="Y166" s="96"/>
      <c r="Z166" s="54"/>
      <c r="AA166" s="54"/>
      <c r="AB166" s="644"/>
      <c r="AC166" s="644"/>
      <c r="AD166" s="344"/>
      <c r="AE166" s="344"/>
      <c r="AF166" s="54">
        <f>N166-K166</f>
        <v>0</v>
      </c>
      <c r="AG166" s="338" t="e">
        <f>N166/K166</f>
        <v>#DIV/0!</v>
      </c>
      <c r="AH166" s="667"/>
    </row>
    <row r="167" spans="1:36" ht="19.2" customHeight="1">
      <c r="A167" s="66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5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667"/>
      <c r="T167" s="89"/>
      <c r="U167" s="89"/>
      <c r="V167" s="344" t="s">
        <v>15</v>
      </c>
      <c r="W167" s="90">
        <f t="shared" si="109"/>
        <v>0</v>
      </c>
      <c r="X167" s="96"/>
      <c r="Y167" s="96"/>
      <c r="Z167" s="54"/>
      <c r="AA167" s="54"/>
      <c r="AB167" s="644"/>
      <c r="AC167" s="644"/>
      <c r="AD167" s="344"/>
      <c r="AE167" s="344"/>
      <c r="AF167" s="54">
        <f t="shared" si="61"/>
        <v>0</v>
      </c>
      <c r="AG167" s="338" t="e">
        <f t="shared" si="62"/>
        <v>#DIV/0!</v>
      </c>
      <c r="AH167" s="667"/>
    </row>
    <row r="168" spans="1:36" ht="19.2" customHeight="1">
      <c r="A168" s="66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5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667"/>
      <c r="T168" s="89"/>
      <c r="U168" s="89"/>
      <c r="V168" s="344"/>
      <c r="W168" s="90">
        <f t="shared" si="109"/>
        <v>0</v>
      </c>
      <c r="X168" s="96"/>
      <c r="Y168" s="96"/>
      <c r="Z168" s="54"/>
      <c r="AA168" s="54"/>
      <c r="AB168" s="644"/>
      <c r="AC168" s="644"/>
      <c r="AD168" s="344"/>
      <c r="AE168" s="344"/>
      <c r="AF168" s="54">
        <f t="shared" si="61"/>
        <v>0</v>
      </c>
      <c r="AG168" s="338" t="e">
        <f t="shared" si="62"/>
        <v>#DIV/0!</v>
      </c>
      <c r="AH168" s="667"/>
    </row>
    <row r="169" spans="1:36" ht="19.2" customHeight="1">
      <c r="A169" s="66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5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667"/>
      <c r="T169" s="89"/>
      <c r="U169" s="89"/>
      <c r="V169" s="344"/>
      <c r="W169" s="90">
        <f t="shared" si="109"/>
        <v>0</v>
      </c>
      <c r="X169" s="96"/>
      <c r="Y169" s="96"/>
      <c r="Z169" s="54"/>
      <c r="AA169" s="54"/>
      <c r="AB169" s="644"/>
      <c r="AC169" s="644"/>
      <c r="AD169" s="344"/>
      <c r="AE169" s="344"/>
      <c r="AF169" s="54">
        <f t="shared" si="61"/>
        <v>0</v>
      </c>
      <c r="AG169" s="338" t="e">
        <f t="shared" si="62"/>
        <v>#DIV/0!</v>
      </c>
      <c r="AH169" s="667"/>
    </row>
    <row r="170" spans="1:36" ht="19.2" customHeight="1">
      <c r="A170" s="66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5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667"/>
      <c r="T170" s="89"/>
      <c r="U170" s="89"/>
      <c r="V170" s="344"/>
      <c r="W170" s="90">
        <f t="shared" si="109"/>
        <v>0</v>
      </c>
      <c r="X170" s="96"/>
      <c r="Y170" s="96"/>
      <c r="Z170" s="54"/>
      <c r="AA170" s="54"/>
      <c r="AB170" s="644"/>
      <c r="AC170" s="644"/>
      <c r="AD170" s="344"/>
      <c r="AE170" s="344"/>
      <c r="AF170" s="54">
        <f t="shared" si="61"/>
        <v>0</v>
      </c>
      <c r="AG170" s="338" t="e">
        <f t="shared" si="62"/>
        <v>#DIV/0!</v>
      </c>
      <c r="AH170" s="667"/>
    </row>
    <row r="171" spans="1:36" ht="19.2" customHeight="1">
      <c r="A171" s="66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8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667"/>
      <c r="T171" s="89"/>
      <c r="U171" s="89"/>
      <c r="V171" s="344"/>
      <c r="W171" s="90">
        <f t="shared" si="109"/>
        <v>0</v>
      </c>
      <c r="X171" s="96"/>
      <c r="Y171" s="96"/>
      <c r="Z171" s="54"/>
      <c r="AA171" s="54"/>
      <c r="AB171" s="644"/>
      <c r="AC171" s="644"/>
      <c r="AD171" s="344"/>
      <c r="AE171" s="344"/>
      <c r="AF171" s="54"/>
      <c r="AG171" s="338"/>
      <c r="AH171" s="667"/>
    </row>
    <row r="172" spans="1:36" ht="19.2" customHeight="1">
      <c r="A172" s="66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8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667"/>
      <c r="T172" s="89"/>
      <c r="U172" s="89"/>
      <c r="V172" s="344"/>
      <c r="W172" s="90">
        <f t="shared" si="109"/>
        <v>0</v>
      </c>
      <c r="X172" s="96"/>
      <c r="Y172" s="96"/>
      <c r="Z172" s="54"/>
      <c r="AA172" s="54"/>
      <c r="AB172" s="644"/>
      <c r="AC172" s="644"/>
      <c r="AD172" s="344"/>
      <c r="AE172" s="344"/>
      <c r="AF172" s="54"/>
      <c r="AG172" s="338"/>
      <c r="AH172" s="667"/>
    </row>
    <row r="173" spans="1:36" ht="19.2" customHeight="1">
      <c r="A173" s="666"/>
      <c r="B173" s="121">
        <v>0</v>
      </c>
      <c r="C173" s="100" t="s">
        <v>247</v>
      </c>
      <c r="D173" s="673" t="s">
        <v>221</v>
      </c>
      <c r="E173" s="673"/>
      <c r="F173" s="277"/>
      <c r="G173" s="101"/>
      <c r="H173" s="102"/>
      <c r="I173" s="103"/>
      <c r="J173" s="101">
        <v>12.4</v>
      </c>
      <c r="K173" s="101">
        <v>2117.4</v>
      </c>
      <c r="L173" s="104">
        <v>185.83151515151513</v>
      </c>
      <c r="M173" s="101">
        <f t="shared" ref="M173:O173" si="110">AVERAGE(M161:M172)</f>
        <v>12.4</v>
      </c>
      <c r="N173" s="101">
        <f t="shared" si="110"/>
        <v>1955.4717208706559</v>
      </c>
      <c r="O173" s="104">
        <f t="shared" si="110"/>
        <v>170.8572467022133</v>
      </c>
      <c r="P173" s="54">
        <f>M173-J173</f>
        <v>0</v>
      </c>
      <c r="Q173" s="88">
        <f>O173-L173</f>
        <v>-14.974268449301832</v>
      </c>
      <c r="R173" s="105">
        <f>O173/L173</f>
        <v>0.91942018856654761</v>
      </c>
      <c r="S173" s="66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07"/>
      <c r="AC173" s="707"/>
      <c r="AD173" s="107">
        <f>SUM(AD161:AD172)</f>
        <v>0</v>
      </c>
      <c r="AE173" s="107">
        <f>SUM(AE161:AE172)</f>
        <v>1</v>
      </c>
      <c r="AF173" s="54">
        <f t="shared" si="61"/>
        <v>-161.92827912934422</v>
      </c>
      <c r="AG173" s="338">
        <f t="shared" si="62"/>
        <v>0.92352494609929903</v>
      </c>
      <c r="AH173" s="66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15" sqref="V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2" t="s">
        <v>0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1"/>
      <c r="O1" s="1"/>
    </row>
    <row r="2" spans="2:17" ht="27.75" customHeight="1">
      <c r="B2" s="502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4"/>
      <c r="N2" s="1"/>
      <c r="O2" s="1"/>
    </row>
    <row r="3" spans="2:17" ht="46.5" customHeight="1">
      <c r="B3" s="505" t="s">
        <v>1</v>
      </c>
      <c r="C3" s="506"/>
      <c r="D3" s="507" t="s">
        <v>369</v>
      </c>
      <c r="E3" s="508"/>
      <c r="F3" s="505" t="s">
        <v>2</v>
      </c>
      <c r="G3" s="506"/>
      <c r="H3" s="509">
        <v>275697.25</v>
      </c>
      <c r="I3" s="510"/>
      <c r="J3" s="505" t="s">
        <v>3</v>
      </c>
      <c r="K3" s="506"/>
      <c r="L3" s="500">
        <v>9212206.1612279508</v>
      </c>
      <c r="M3" s="501"/>
      <c r="N3" s="289"/>
      <c r="O3" s="289"/>
      <c r="P3" s="289"/>
      <c r="Q3" s="289"/>
    </row>
    <row r="4" spans="2:17" ht="24" customHeight="1">
      <c r="B4" s="505" t="s">
        <v>107</v>
      </c>
      <c r="C4" s="506"/>
      <c r="D4" s="522" t="s">
        <v>107</v>
      </c>
      <c r="E4" s="523"/>
      <c r="F4" s="498" t="s">
        <v>108</v>
      </c>
      <c r="G4" s="499"/>
      <c r="H4" s="498" t="s">
        <v>109</v>
      </c>
      <c r="I4" s="499"/>
      <c r="J4" s="498" t="s">
        <v>110</v>
      </c>
      <c r="K4" s="499"/>
      <c r="L4" s="500" t="s">
        <v>111</v>
      </c>
      <c r="M4" s="501"/>
      <c r="N4" s="514" t="s">
        <v>4</v>
      </c>
      <c r="O4" s="515"/>
      <c r="P4" s="515" t="s">
        <v>5</v>
      </c>
      <c r="Q4" s="515"/>
    </row>
    <row r="5" spans="2:17" ht="24" customHeight="1">
      <c r="B5" s="516" t="s">
        <v>35</v>
      </c>
      <c r="C5" s="517"/>
      <c r="D5" s="522" t="s">
        <v>112</v>
      </c>
      <c r="E5" s="523"/>
      <c r="F5" s="522" t="s">
        <v>6</v>
      </c>
      <c r="G5" s="523"/>
      <c r="H5" s="524" t="s">
        <v>7</v>
      </c>
      <c r="I5" s="525"/>
      <c r="J5" s="526" t="s">
        <v>8</v>
      </c>
      <c r="K5" s="527"/>
      <c r="L5" s="528" t="s">
        <v>9</v>
      </c>
      <c r="M5" s="52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518"/>
      <c r="C6" s="519"/>
      <c r="D6" s="505" t="s">
        <v>10</v>
      </c>
      <c r="E6" s="506"/>
      <c r="F6" s="530">
        <f>AVERAGE(D13:O13,P13:Q13,D30:E30,G30:H30,K30:M30)</f>
        <v>359.0572034636009</v>
      </c>
      <c r="G6" s="531"/>
      <c r="H6" s="543">
        <f>AVERAGE(D13:P13,Q13)</f>
        <v>142.51437662397277</v>
      </c>
      <c r="I6" s="544"/>
      <c r="J6" s="543">
        <f>AVERAGE(D30:E30,G30:H30)</f>
        <v>711.25</v>
      </c>
      <c r="K6" s="544"/>
      <c r="L6" s="545">
        <f>AVERAGE(K30:M30)</f>
        <v>900</v>
      </c>
      <c r="M6" s="546"/>
      <c r="N6" s="547">
        <v>0</v>
      </c>
      <c r="O6" s="534">
        <v>0</v>
      </c>
      <c r="P6" s="511">
        <v>11</v>
      </c>
      <c r="Q6" s="534">
        <v>8</v>
      </c>
    </row>
    <row r="7" spans="2:17" s="5" customFormat="1" ht="39.6" customHeight="1">
      <c r="B7" s="518"/>
      <c r="C7" s="519"/>
      <c r="D7" s="535" t="s">
        <v>11</v>
      </c>
      <c r="E7" s="536"/>
      <c r="F7" s="537">
        <f>AVERAGE(D14:O14,P14:Q14,D31:E31,K31:M31,G31:H31)</f>
        <v>328.92357869075812</v>
      </c>
      <c r="G7" s="538"/>
      <c r="H7" s="539">
        <f>AVERAGE(D14:P14,Q14)</f>
        <v>127.77511901473342</v>
      </c>
      <c r="I7" s="540"/>
      <c r="J7" s="539">
        <f>AVERAGE(D31:E31,G31:H31)</f>
        <v>710.71564748672336</v>
      </c>
      <c r="K7" s="540"/>
      <c r="L7" s="541">
        <f>AVERAGE(K31:M31)</f>
        <v>758.56029878425318</v>
      </c>
      <c r="M7" s="542"/>
      <c r="N7" s="547"/>
      <c r="O7" s="534"/>
      <c r="P7" s="511"/>
      <c r="Q7" s="534"/>
    </row>
    <row r="8" spans="2:17" s="5" customFormat="1" ht="39.6" customHeight="1">
      <c r="B8" s="520"/>
      <c r="C8" s="521"/>
      <c r="D8" s="535" t="s">
        <v>12</v>
      </c>
      <c r="E8" s="536"/>
      <c r="F8" s="512">
        <f>AVERAGE(D15:O15,P15:Q15,D32:E32,G32:H32,K32:M32)</f>
        <v>0.89681476101237034</v>
      </c>
      <c r="G8" s="513"/>
      <c r="H8" s="512">
        <f>AVERAGE(D15:O15,P15:Q15)</f>
        <v>0.89229528663434698</v>
      </c>
      <c r="I8" s="513"/>
      <c r="J8" s="512">
        <f>AVERAGE(D32:E32,G32:H32)</f>
        <v>0.95311040977451911</v>
      </c>
      <c r="K8" s="513"/>
      <c r="L8" s="512">
        <f>AVERAGE(K32:M32)</f>
        <v>0.84284477642694799</v>
      </c>
      <c r="M8" s="513"/>
      <c r="N8" s="547"/>
      <c r="O8" s="534"/>
      <c r="P8" s="511"/>
      <c r="Q8" s="53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548" t="s">
        <v>116</v>
      </c>
      <c r="C10" s="549"/>
      <c r="D10" s="550" t="s">
        <v>117</v>
      </c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2"/>
    </row>
    <row r="11" spans="2:17" ht="17.25" customHeight="1">
      <c r="B11" s="553" t="s">
        <v>118</v>
      </c>
      <c r="C11" s="51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554"/>
      <c r="C12" s="52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555" t="s">
        <v>35</v>
      </c>
      <c r="C13" s="14" t="s">
        <v>132</v>
      </c>
      <c r="D13" s="19">
        <v>137.9874195292152</v>
      </c>
      <c r="E13" s="19">
        <v>116.28191434468522</v>
      </c>
      <c r="F13" s="19">
        <v>136.96133173242305</v>
      </c>
      <c r="G13" s="19">
        <v>314.44047619047615</v>
      </c>
      <c r="H13" s="19">
        <v>228.57142857142858</v>
      </c>
      <c r="I13" s="19">
        <v>85.809486952675798</v>
      </c>
      <c r="J13" s="19">
        <v>84.199279711884742</v>
      </c>
      <c r="K13" s="19">
        <v>79.562131815445468</v>
      </c>
      <c r="L13" s="19">
        <v>122.08741258741259</v>
      </c>
      <c r="M13" s="19">
        <v>81.830154088926022</v>
      </c>
      <c r="N13" s="19">
        <v>88.59836263452749</v>
      </c>
      <c r="O13" s="19">
        <v>190.84207659672057</v>
      </c>
      <c r="P13" s="19">
        <v>178.02979797979799</v>
      </c>
      <c r="Q13" s="21">
        <v>150</v>
      </c>
    </row>
    <row r="14" spans="2:17" ht="39.9" customHeight="1">
      <c r="B14" s="556"/>
      <c r="C14" s="14" t="s">
        <v>133</v>
      </c>
      <c r="D14" s="19">
        <v>128.19112506171737</v>
      </c>
      <c r="E14" s="19">
        <v>100.58266497579852</v>
      </c>
      <c r="F14" s="19">
        <v>118.02409846610747</v>
      </c>
      <c r="G14" s="19">
        <v>279.68909915757945</v>
      </c>
      <c r="H14" s="19">
        <v>219.91147815679597</v>
      </c>
      <c r="I14" s="19">
        <v>76.425305585819046</v>
      </c>
      <c r="J14" s="19">
        <v>71.969541618243611</v>
      </c>
      <c r="K14" s="19">
        <v>67.290164111542268</v>
      </c>
      <c r="L14" s="19">
        <v>114.54919333324651</v>
      </c>
      <c r="M14" s="19">
        <v>73.19051322703794</v>
      </c>
      <c r="N14" s="19">
        <v>79.630151284060361</v>
      </c>
      <c r="O14" s="19">
        <v>163.60553626397308</v>
      </c>
      <c r="P14" s="19">
        <v>159.12628907204888</v>
      </c>
      <c r="Q14" s="9">
        <v>136.66650589229769</v>
      </c>
    </row>
    <row r="15" spans="2:17" ht="39.9" customHeight="1">
      <c r="B15" s="557"/>
      <c r="C15" s="290" t="s">
        <v>134</v>
      </c>
      <c r="D15" s="10">
        <f t="shared" ref="D15:Q15" si="0">D14/D13</f>
        <v>0.92900588690678632</v>
      </c>
      <c r="E15" s="10">
        <f t="shared" si="0"/>
        <v>0.86498975823230206</v>
      </c>
      <c r="F15" s="10">
        <f t="shared" si="0"/>
        <v>0.86173299407373871</v>
      </c>
      <c r="G15" s="10">
        <f t="shared" si="0"/>
        <v>0.88948185852560013</v>
      </c>
      <c r="H15" s="10">
        <f t="shared" si="0"/>
        <v>0.96211271693598233</v>
      </c>
      <c r="I15" s="10">
        <f t="shared" si="0"/>
        <v>0.89063934886323048</v>
      </c>
      <c r="J15" s="10">
        <f t="shared" si="0"/>
        <v>0.85475246183234388</v>
      </c>
      <c r="K15" s="10">
        <f t="shared" si="0"/>
        <v>0.84575617289429095</v>
      </c>
      <c r="L15" s="10">
        <f t="shared" si="0"/>
        <v>0.93825555727320509</v>
      </c>
      <c r="M15" s="10">
        <f t="shared" si="0"/>
        <v>0.89441983877362297</v>
      </c>
      <c r="N15" s="10">
        <f t="shared" si="0"/>
        <v>0.89877678228139013</v>
      </c>
      <c r="O15" s="10">
        <f t="shared" si="0"/>
        <v>0.85728230996824351</v>
      </c>
      <c r="P15" s="292">
        <f t="shared" si="0"/>
        <v>0.89381828703813848</v>
      </c>
      <c r="Q15" s="11">
        <f t="shared" si="0"/>
        <v>0.91111003928198464</v>
      </c>
    </row>
    <row r="16" spans="2:17" ht="22.8" customHeight="1">
      <c r="B16" s="558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0.4826388888888889</v>
      </c>
    </row>
    <row r="17" spans="2:23" ht="22.8" customHeight="1">
      <c r="B17" s="559"/>
      <c r="C17" s="290" t="s">
        <v>36</v>
      </c>
      <c r="D17" s="12">
        <v>0.64444444444444449</v>
      </c>
      <c r="E17" s="12">
        <v>0.64652777777777759</v>
      </c>
      <c r="F17" s="12">
        <v>0.56805555555555542</v>
      </c>
      <c r="G17" s="12">
        <v>0.63194444444444442</v>
      </c>
      <c r="H17" s="12">
        <v>0.62638888888888888</v>
      </c>
      <c r="I17" s="12">
        <v>0.71319444444444435</v>
      </c>
      <c r="J17" s="12">
        <v>0.80208333333333326</v>
      </c>
      <c r="K17" s="12">
        <v>0.77222222222222214</v>
      </c>
      <c r="L17" s="12">
        <v>0.93888888888888866</v>
      </c>
      <c r="M17" s="12">
        <v>0.96458333333333324</v>
      </c>
      <c r="N17" s="12">
        <v>0.99583333333333313</v>
      </c>
      <c r="O17" s="22">
        <v>0.93611111111111101</v>
      </c>
      <c r="P17" s="12">
        <v>0.64722222222222214</v>
      </c>
      <c r="Q17" s="293">
        <v>0.67013888888888884</v>
      </c>
    </row>
    <row r="18" spans="2:23" ht="22.8" customHeight="1">
      <c r="B18" s="53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53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53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2</v>
      </c>
      <c r="K20" s="295">
        <v>2</v>
      </c>
      <c r="L20" s="295">
        <v>2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533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>
        <v>1</v>
      </c>
      <c r="K21" s="295" t="s">
        <v>15</v>
      </c>
      <c r="L21" s="295">
        <v>1</v>
      </c>
      <c r="M21" s="295">
        <v>2</v>
      </c>
      <c r="N21" s="295">
        <v>1</v>
      </c>
      <c r="O21" s="295">
        <v>2</v>
      </c>
      <c r="P21" s="295" t="s">
        <v>15</v>
      </c>
      <c r="Q21" s="296"/>
    </row>
    <row r="22" spans="2:23" ht="22.8" customHeight="1">
      <c r="B22" s="560" t="s">
        <v>140</v>
      </c>
      <c r="C22" s="506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560" t="s">
        <v>141</v>
      </c>
      <c r="C23" s="50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0" t="s">
        <v>142</v>
      </c>
      <c r="C24" s="50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1" t="s">
        <v>143</v>
      </c>
      <c r="C25" s="56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548"/>
      <c r="C27" s="573"/>
      <c r="D27" s="565" t="s">
        <v>144</v>
      </c>
      <c r="E27" s="566"/>
      <c r="F27" s="566"/>
      <c r="G27" s="566"/>
      <c r="H27" s="567"/>
      <c r="I27" s="568" t="s">
        <v>145</v>
      </c>
      <c r="J27" s="569"/>
      <c r="K27" s="569"/>
      <c r="L27" s="569"/>
      <c r="M27" s="570"/>
      <c r="N27" s="289"/>
      <c r="O27" s="289"/>
      <c r="P27" s="289"/>
      <c r="Q27" s="289"/>
    </row>
    <row r="28" spans="2:23" ht="17.25" customHeight="1">
      <c r="B28" s="553" t="s">
        <v>118</v>
      </c>
      <c r="C28" s="571"/>
      <c r="D28" s="299">
        <v>1</v>
      </c>
      <c r="E28" s="43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554"/>
      <c r="C29" s="57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555" t="s">
        <v>35</v>
      </c>
      <c r="C30" s="303" t="s">
        <v>132</v>
      </c>
      <c r="D30" s="20">
        <v>220</v>
      </c>
      <c r="E30" s="4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556"/>
      <c r="C31" s="303" t="s">
        <v>133</v>
      </c>
      <c r="D31" s="305">
        <v>166.11137973137974</v>
      </c>
      <c r="E31" s="8">
        <v>823.89682678821862</v>
      </c>
      <c r="F31" s="8">
        <v>0</v>
      </c>
      <c r="G31" s="8">
        <v>911.99253993555283</v>
      </c>
      <c r="H31" s="306">
        <v>940.86184349174198</v>
      </c>
      <c r="I31" s="305">
        <v>0</v>
      </c>
      <c r="J31" s="8">
        <v>0</v>
      </c>
      <c r="K31" s="8">
        <v>608.85714285714209</v>
      </c>
      <c r="L31" s="8">
        <v>760.19327731191436</v>
      </c>
      <c r="M31" s="306">
        <v>906.63047618370331</v>
      </c>
      <c r="N31" s="289"/>
      <c r="O31" s="289"/>
      <c r="P31" s="289"/>
      <c r="Q31" s="289"/>
    </row>
    <row r="32" spans="2:23" ht="39.9" customHeight="1">
      <c r="B32" s="557"/>
      <c r="C32" s="438" t="s">
        <v>134</v>
      </c>
      <c r="D32" s="307">
        <f t="shared" ref="D32:M32" si="1">D31/D30</f>
        <v>0.7550517260517261</v>
      </c>
      <c r="E32" s="10">
        <f t="shared" si="1"/>
        <v>0.99866282034935594</v>
      </c>
      <c r="F32" s="10">
        <f t="shared" si="1"/>
        <v>0</v>
      </c>
      <c r="G32" s="10">
        <f t="shared" si="1"/>
        <v>1.0133250443728365</v>
      </c>
      <c r="H32" s="10">
        <f t="shared" si="1"/>
        <v>1.0454020483241577</v>
      </c>
      <c r="I32" s="305">
        <f t="shared" si="1"/>
        <v>0</v>
      </c>
      <c r="J32" s="10">
        <f t="shared" si="1"/>
        <v>0</v>
      </c>
      <c r="K32" s="10">
        <f t="shared" si="1"/>
        <v>0.67650793650793561</v>
      </c>
      <c r="L32" s="10">
        <f t="shared" si="1"/>
        <v>0.84465919701323822</v>
      </c>
      <c r="M32" s="11">
        <f t="shared" si="1"/>
        <v>1.0073671957596704</v>
      </c>
      <c r="N32" s="289"/>
      <c r="O32" s="289"/>
      <c r="P32" s="289"/>
      <c r="Q32" s="289"/>
    </row>
    <row r="33" spans="2:17" ht="25.8" customHeight="1">
      <c r="B33" s="558" t="s">
        <v>135</v>
      </c>
      <c r="C33" s="43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4.1666666666666664E-2</v>
      </c>
      <c r="N33" s="289"/>
      <c r="O33" s="289"/>
      <c r="P33" s="289"/>
      <c r="Q33" s="289"/>
    </row>
    <row r="34" spans="2:17" ht="25.8" customHeight="1">
      <c r="B34" s="559"/>
      <c r="C34" s="438" t="s">
        <v>36</v>
      </c>
      <c r="D34" s="308">
        <v>0.4201388888888889</v>
      </c>
      <c r="E34" s="12">
        <v>0.35625000000000001</v>
      </c>
      <c r="F34" s="12">
        <v>0</v>
      </c>
      <c r="G34" s="12">
        <v>1063.999999999998</v>
      </c>
      <c r="H34" s="293">
        <v>0.49513888888888885</v>
      </c>
      <c r="I34" s="23">
        <v>0</v>
      </c>
      <c r="J34" s="12">
        <v>0</v>
      </c>
      <c r="K34" s="12">
        <v>0.80555555555555547</v>
      </c>
      <c r="L34" s="12">
        <v>46238.079861111109</v>
      </c>
      <c r="M34" s="13">
        <v>46238.027777777781</v>
      </c>
      <c r="N34" s="289"/>
      <c r="O34" s="289"/>
      <c r="P34" s="289"/>
      <c r="Q34" s="289"/>
    </row>
    <row r="35" spans="2:17" ht="25.8" customHeight="1">
      <c r="B35" s="560" t="s">
        <v>140</v>
      </c>
      <c r="C35" s="56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560" t="s">
        <v>141</v>
      </c>
      <c r="C36" s="56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560" t="s">
        <v>142</v>
      </c>
      <c r="C37" s="56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561" t="s">
        <v>143</v>
      </c>
      <c r="C38" s="56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9" sqref="B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370</v>
      </c>
      <c r="B1" s="347"/>
      <c r="C1" s="348"/>
      <c r="D1" s="349" t="s">
        <v>371</v>
      </c>
      <c r="E1" s="350">
        <f>SUM(G5:G124)</f>
        <v>82083</v>
      </c>
      <c r="F1" s="351" t="s">
        <v>3</v>
      </c>
      <c r="G1" s="352">
        <f>SUM(H5:H124)</f>
        <v>1530595.9083116886</v>
      </c>
      <c r="H1" s="353" t="s">
        <v>372</v>
      </c>
      <c r="I1" s="354">
        <f>+J16+J64+J24+J38+J51+J81+J100+J91+J57+J124+J111</f>
        <v>44.002380952380953</v>
      </c>
      <c r="J1" s="615" t="s">
        <v>373</v>
      </c>
      <c r="K1" s="616"/>
      <c r="L1" s="617"/>
      <c r="M1" s="615" t="s">
        <v>374</v>
      </c>
      <c r="N1" s="616"/>
      <c r="O1" s="616"/>
      <c r="P1" s="616"/>
      <c r="Q1" s="616"/>
      <c r="R1" s="617"/>
    </row>
    <row r="2" spans="1:18" ht="26.25" customHeight="1" thickBot="1">
      <c r="A2" s="621" t="s">
        <v>375</v>
      </c>
      <c r="B2" s="622"/>
      <c r="C2" s="356"/>
      <c r="D2" s="440" t="s">
        <v>376</v>
      </c>
      <c r="E2" s="358">
        <f>AVERAGE(L16,L24,L38,L51,L100,L111,L91)</f>
        <v>499.68598569276054</v>
      </c>
      <c r="F2" s="359" t="s">
        <v>40</v>
      </c>
      <c r="G2" s="360">
        <f>G1/E1</f>
        <v>18.646929428891347</v>
      </c>
      <c r="H2" s="361" t="s">
        <v>377</v>
      </c>
      <c r="I2" s="362">
        <f>COUNT(I5:I124)</f>
        <v>0</v>
      </c>
      <c r="J2" s="618"/>
      <c r="K2" s="619"/>
      <c r="L2" s="620"/>
      <c r="M2" s="618"/>
      <c r="N2" s="619"/>
      <c r="O2" s="619"/>
      <c r="P2" s="619"/>
      <c r="Q2" s="619"/>
      <c r="R2" s="620"/>
    </row>
    <row r="3" spans="1:18" ht="23.25" customHeight="1">
      <c r="A3" s="623" t="s">
        <v>378</v>
      </c>
      <c r="B3" s="625" t="s">
        <v>379</v>
      </c>
      <c r="C3" s="442"/>
      <c r="D3" s="626" t="s">
        <v>380</v>
      </c>
      <c r="E3" s="626"/>
      <c r="F3" s="627" t="s">
        <v>43</v>
      </c>
      <c r="G3" s="628" t="s">
        <v>381</v>
      </c>
      <c r="H3" s="629" t="s">
        <v>382</v>
      </c>
      <c r="I3" s="630" t="s">
        <v>383</v>
      </c>
      <c r="J3" s="603" t="s">
        <v>384</v>
      </c>
      <c r="K3" s="605" t="s">
        <v>385</v>
      </c>
      <c r="L3" s="607" t="s">
        <v>376</v>
      </c>
      <c r="M3" s="632" t="s">
        <v>48</v>
      </c>
      <c r="N3" s="632"/>
      <c r="O3" s="603" t="s">
        <v>273</v>
      </c>
      <c r="P3" s="633" t="s">
        <v>386</v>
      </c>
      <c r="Q3" s="603" t="s">
        <v>387</v>
      </c>
      <c r="R3" s="603"/>
    </row>
    <row r="4" spans="1:18" ht="15.75" customHeight="1">
      <c r="A4" s="624"/>
      <c r="B4" s="625"/>
      <c r="C4" s="442"/>
      <c r="D4" s="626"/>
      <c r="E4" s="626"/>
      <c r="F4" s="627"/>
      <c r="G4" s="628"/>
      <c r="H4" s="629"/>
      <c r="I4" s="631"/>
      <c r="J4" s="604"/>
      <c r="K4" s="606"/>
      <c r="L4" s="608"/>
      <c r="M4" s="446" t="s">
        <v>50</v>
      </c>
      <c r="N4" s="446" t="s">
        <v>51</v>
      </c>
      <c r="O4" s="604"/>
      <c r="P4" s="634"/>
      <c r="Q4" s="365" t="s">
        <v>388</v>
      </c>
      <c r="R4" s="365" t="s">
        <v>389</v>
      </c>
    </row>
    <row r="5" spans="1:18">
      <c r="A5" s="609" t="s">
        <v>390</v>
      </c>
      <c r="B5" s="366" t="s">
        <v>368</v>
      </c>
      <c r="C5" s="366"/>
      <c r="D5" s="367" t="s">
        <v>279</v>
      </c>
      <c r="E5" s="368"/>
      <c r="F5" s="369">
        <v>25.64</v>
      </c>
      <c r="G5" s="442">
        <v>695</v>
      </c>
      <c r="H5" s="370">
        <f>F5*G5</f>
        <v>17819.8</v>
      </c>
      <c r="I5" s="444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0.46180555555555558</v>
      </c>
      <c r="N5" s="375">
        <v>0.4826388888888889</v>
      </c>
      <c r="O5" s="365">
        <v>5</v>
      </c>
      <c r="P5" s="447">
        <f t="shared" ref="P5:P8" si="2">(N5-M5)*24*60</f>
        <v>29.999999999999972</v>
      </c>
      <c r="Q5" s="377"/>
      <c r="R5" s="377"/>
    </row>
    <row r="6" spans="1:18">
      <c r="A6" s="609"/>
      <c r="B6" s="366" t="s">
        <v>368</v>
      </c>
      <c r="C6" s="366"/>
      <c r="D6" s="367" t="s">
        <v>280</v>
      </c>
      <c r="E6" s="368"/>
      <c r="F6" s="369">
        <v>29.85</v>
      </c>
      <c r="G6" s="442">
        <v>2024</v>
      </c>
      <c r="H6" s="370">
        <f t="shared" ref="H6:H15" si="3">F6*G6</f>
        <v>60416.4</v>
      </c>
      <c r="I6" s="444"/>
      <c r="J6" s="372">
        <v>13</v>
      </c>
      <c r="K6" s="373">
        <f t="shared" si="0"/>
        <v>1868.3076923076919</v>
      </c>
      <c r="L6" s="374">
        <f t="shared" si="1"/>
        <v>143.71597633136091</v>
      </c>
      <c r="M6" s="375">
        <v>0.4861111111111111</v>
      </c>
      <c r="N6" s="375">
        <v>0.53125</v>
      </c>
      <c r="O6" s="365">
        <v>5</v>
      </c>
      <c r="P6" s="447">
        <f t="shared" si="2"/>
        <v>65.000000000000014</v>
      </c>
      <c r="Q6" s="365"/>
      <c r="R6" s="365"/>
    </row>
    <row r="7" spans="1:18">
      <c r="A7" s="609"/>
      <c r="B7" s="366" t="s">
        <v>368</v>
      </c>
      <c r="C7" s="366"/>
      <c r="D7" s="367" t="s">
        <v>281</v>
      </c>
      <c r="E7" s="368"/>
      <c r="F7" s="369">
        <v>29.52</v>
      </c>
      <c r="G7" s="442">
        <v>1816</v>
      </c>
      <c r="H7" s="370">
        <f t="shared" si="3"/>
        <v>53608.32</v>
      </c>
      <c r="I7" s="444"/>
      <c r="J7" s="372">
        <v>13</v>
      </c>
      <c r="K7" s="373">
        <f t="shared" si="0"/>
        <v>1815.9999999999968</v>
      </c>
      <c r="L7" s="374">
        <f t="shared" si="1"/>
        <v>139.69230769230745</v>
      </c>
      <c r="M7" s="375">
        <v>0.53472222222222221</v>
      </c>
      <c r="N7" s="375">
        <v>0.57638888888888895</v>
      </c>
      <c r="O7" s="365">
        <v>5</v>
      </c>
      <c r="P7" s="447">
        <f t="shared" si="2"/>
        <v>60.000000000000107</v>
      </c>
      <c r="Q7" s="377"/>
      <c r="R7" s="377"/>
    </row>
    <row r="8" spans="1:18">
      <c r="A8" s="609"/>
      <c r="B8" s="366" t="s">
        <v>104</v>
      </c>
      <c r="C8" s="366"/>
      <c r="D8" s="367" t="s">
        <v>391</v>
      </c>
      <c r="E8" s="368"/>
      <c r="F8" s="369">
        <v>30</v>
      </c>
      <c r="G8" s="442">
        <v>2195</v>
      </c>
      <c r="H8" s="370">
        <f t="shared" si="3"/>
        <v>65850</v>
      </c>
      <c r="I8" s="444"/>
      <c r="J8" s="372">
        <v>13</v>
      </c>
      <c r="K8" s="373">
        <f t="shared" si="0"/>
        <v>1755.9999999999986</v>
      </c>
      <c r="L8" s="374">
        <f t="shared" si="1"/>
        <v>135.07692307692298</v>
      </c>
      <c r="M8" s="375">
        <v>0.57986111111111105</v>
      </c>
      <c r="N8" s="375">
        <v>0.63194444444444442</v>
      </c>
      <c r="O8" s="365">
        <v>5</v>
      </c>
      <c r="P8" s="447">
        <f t="shared" si="2"/>
        <v>75.000000000000057</v>
      </c>
      <c r="Q8" s="377"/>
      <c r="R8" s="377"/>
    </row>
    <row r="9" spans="1:18">
      <c r="A9" s="609"/>
      <c r="B9" s="366">
        <v>0</v>
      </c>
      <c r="C9" s="366"/>
      <c r="D9" s="367"/>
      <c r="E9" s="368"/>
      <c r="F9" s="485">
        <v>0</v>
      </c>
      <c r="G9" s="378"/>
      <c r="H9" s="370">
        <f t="shared" si="3"/>
        <v>0</v>
      </c>
      <c r="I9" s="444"/>
      <c r="J9" s="372"/>
      <c r="K9" s="373"/>
      <c r="L9" s="374"/>
      <c r="M9" s="375"/>
      <c r="N9" s="375"/>
      <c r="O9" s="365"/>
      <c r="P9" s="447"/>
      <c r="Q9" s="377"/>
      <c r="R9" s="377"/>
    </row>
    <row r="10" spans="1:18">
      <c r="A10" s="60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44"/>
      <c r="J10" s="372"/>
      <c r="K10" s="373"/>
      <c r="L10" s="374"/>
      <c r="M10" s="375"/>
      <c r="N10" s="375"/>
      <c r="O10" s="365"/>
      <c r="P10" s="447"/>
      <c r="Q10" s="377"/>
      <c r="R10" s="377"/>
    </row>
    <row r="11" spans="1:18">
      <c r="A11" s="60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44"/>
      <c r="J11" s="372"/>
      <c r="K11" s="373"/>
      <c r="L11" s="374"/>
      <c r="M11" s="375"/>
      <c r="N11" s="375"/>
      <c r="O11" s="365"/>
      <c r="P11" s="447"/>
      <c r="Q11" s="377"/>
      <c r="R11" s="377"/>
    </row>
    <row r="12" spans="1:18">
      <c r="A12" s="610"/>
      <c r="B12" s="366">
        <v>0</v>
      </c>
      <c r="C12" s="443"/>
      <c r="D12" s="367"/>
      <c r="E12" s="368"/>
      <c r="F12" s="369" t="s">
        <v>106</v>
      </c>
      <c r="G12" s="441"/>
      <c r="H12" s="370">
        <f t="shared" si="3"/>
        <v>0</v>
      </c>
      <c r="I12" s="444"/>
      <c r="J12" s="372"/>
      <c r="K12" s="373"/>
      <c r="L12" s="374"/>
      <c r="M12" s="375"/>
      <c r="N12" s="375"/>
      <c r="O12" s="365"/>
      <c r="P12" s="447"/>
      <c r="Q12" s="377"/>
      <c r="R12" s="365"/>
    </row>
    <row r="13" spans="1:18">
      <c r="A13" s="61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44"/>
      <c r="J13" s="372"/>
      <c r="K13" s="373"/>
      <c r="L13" s="374"/>
      <c r="M13" s="375"/>
      <c r="N13" s="375"/>
      <c r="O13" s="365"/>
      <c r="P13" s="447"/>
      <c r="Q13" s="365"/>
      <c r="R13" s="365"/>
    </row>
    <row r="14" spans="1:18">
      <c r="A14" s="61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44"/>
      <c r="J14" s="372"/>
      <c r="K14" s="373"/>
      <c r="L14" s="374"/>
      <c r="M14" s="375"/>
      <c r="N14" s="375"/>
      <c r="O14" s="365"/>
      <c r="P14" s="447"/>
      <c r="Q14" s="365"/>
      <c r="R14" s="365"/>
    </row>
    <row r="15" spans="1:18">
      <c r="A15" s="61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44"/>
      <c r="J15" s="372"/>
      <c r="K15" s="373"/>
      <c r="L15" s="374"/>
      <c r="M15" s="375"/>
      <c r="N15" s="375"/>
      <c r="O15" s="365"/>
      <c r="P15" s="447"/>
      <c r="Q15" s="365"/>
      <c r="R15" s="365"/>
    </row>
    <row r="16" spans="1:18" ht="15.75" customHeight="1">
      <c r="A16" s="611"/>
      <c r="B16" s="366">
        <v>0</v>
      </c>
      <c r="C16" s="383" t="s">
        <v>392</v>
      </c>
      <c r="D16" s="594" t="s">
        <v>393</v>
      </c>
      <c r="E16" s="594"/>
      <c r="F16" s="384"/>
      <c r="G16" s="385"/>
      <c r="H16" s="386"/>
      <c r="I16" s="387"/>
      <c r="J16" s="388">
        <f>AVERAGE(J5:J15)</f>
        <v>12.25</v>
      </c>
      <c r="K16" s="388">
        <f>AVERAGE(K5:K15)</f>
        <v>1707.576923076922</v>
      </c>
      <c r="L16" s="389">
        <f>AVERAGE(L5:L15)</f>
        <v>139.37130177514786</v>
      </c>
      <c r="M16" s="375"/>
      <c r="N16" s="375"/>
      <c r="O16" s="373"/>
      <c r="P16" s="373"/>
      <c r="Q16" s="374"/>
      <c r="R16" s="374"/>
    </row>
    <row r="17" spans="1:18" ht="15.75" customHeight="1">
      <c r="A17" s="612" t="s">
        <v>394</v>
      </c>
      <c r="B17" s="366">
        <v>0</v>
      </c>
      <c r="C17" s="443"/>
      <c r="D17" s="367" t="s">
        <v>395</v>
      </c>
      <c r="E17" s="367"/>
      <c r="F17" s="369" t="s">
        <v>106</v>
      </c>
      <c r="G17" s="442">
        <v>2195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1755.9999999999998</v>
      </c>
      <c r="L17" s="374">
        <f>K17/J17</f>
        <v>175.59999999999997</v>
      </c>
      <c r="M17" s="375">
        <v>0.17013888888888887</v>
      </c>
      <c r="N17" s="375">
        <v>0.22222222222222221</v>
      </c>
      <c r="O17" s="365">
        <v>5</v>
      </c>
      <c r="P17" s="447">
        <f>(N17-M17)*24*60</f>
        <v>75.000000000000014</v>
      </c>
      <c r="Q17" s="365"/>
      <c r="R17" s="365"/>
    </row>
    <row r="18" spans="1:18" ht="15.75" customHeight="1">
      <c r="A18" s="612"/>
      <c r="B18" s="366">
        <v>0</v>
      </c>
      <c r="C18" s="443"/>
      <c r="D18" s="367" t="s">
        <v>287</v>
      </c>
      <c r="E18" s="367"/>
      <c r="F18" s="369" t="s">
        <v>106</v>
      </c>
      <c r="G18" s="441">
        <v>2024</v>
      </c>
      <c r="H18" s="370">
        <f t="shared" si="4"/>
        <v>0</v>
      </c>
      <c r="I18" s="444"/>
      <c r="J18" s="372">
        <v>9</v>
      </c>
      <c r="K18" s="373">
        <f t="shared" si="5"/>
        <v>1619.1999999999996</v>
      </c>
      <c r="L18" s="374">
        <f t="shared" ref="L18:L21" si="6">K18/J18</f>
        <v>179.91111111111107</v>
      </c>
      <c r="M18" s="375">
        <v>0.22569444444444445</v>
      </c>
      <c r="N18" s="375">
        <v>0.27777777777777779</v>
      </c>
      <c r="O18" s="365">
        <v>5</v>
      </c>
      <c r="P18" s="447">
        <f t="shared" ref="P18:P21" si="7">(N18-M18)*24*60</f>
        <v>75.000000000000014</v>
      </c>
      <c r="Q18" s="377"/>
      <c r="R18" s="377"/>
    </row>
    <row r="19" spans="1:18" ht="15.75" customHeight="1">
      <c r="A19" s="612"/>
      <c r="B19" s="366">
        <v>0</v>
      </c>
      <c r="C19" s="443"/>
      <c r="D19" s="367" t="s">
        <v>288</v>
      </c>
      <c r="E19" s="367"/>
      <c r="F19" s="369" t="s">
        <v>106</v>
      </c>
      <c r="G19" s="441">
        <v>1816</v>
      </c>
      <c r="H19" s="370">
        <f t="shared" si="4"/>
        <v>0</v>
      </c>
      <c r="I19" s="444"/>
      <c r="J19" s="372">
        <v>9</v>
      </c>
      <c r="K19" s="373">
        <f t="shared" si="5"/>
        <v>1556.5714285714289</v>
      </c>
      <c r="L19" s="374">
        <f t="shared" si="6"/>
        <v>172.95238095238099</v>
      </c>
      <c r="M19" s="375">
        <v>0.28125</v>
      </c>
      <c r="N19" s="375">
        <v>0.3298611111111111</v>
      </c>
      <c r="O19" s="365">
        <v>5</v>
      </c>
      <c r="P19" s="447">
        <f t="shared" si="7"/>
        <v>69.999999999999986</v>
      </c>
      <c r="Q19" s="377"/>
      <c r="R19" s="377"/>
    </row>
    <row r="20" spans="1:18" ht="15.75" customHeight="1">
      <c r="A20" s="613"/>
      <c r="B20" s="366" t="s">
        <v>368</v>
      </c>
      <c r="C20" s="443"/>
      <c r="D20" s="367" t="s">
        <v>396</v>
      </c>
      <c r="E20" s="367"/>
      <c r="F20" s="369">
        <v>19.63</v>
      </c>
      <c r="G20" s="441">
        <v>1333</v>
      </c>
      <c r="H20" s="370">
        <f t="shared" si="4"/>
        <v>26166.789999999997</v>
      </c>
      <c r="I20" s="444"/>
      <c r="J20" s="372">
        <v>13</v>
      </c>
      <c r="K20" s="373">
        <f t="shared" si="5"/>
        <v>1999.5000000000032</v>
      </c>
      <c r="L20" s="374">
        <f t="shared" si="6"/>
        <v>153.80769230769255</v>
      </c>
      <c r="M20" s="375">
        <v>0.33680555555555558</v>
      </c>
      <c r="N20" s="375">
        <v>0.36458333333333331</v>
      </c>
      <c r="O20" s="365">
        <v>5</v>
      </c>
      <c r="P20" s="447">
        <f t="shared" si="7"/>
        <v>39.999999999999936</v>
      </c>
      <c r="Q20" s="377"/>
      <c r="R20" s="377"/>
    </row>
    <row r="21" spans="1:18" ht="15.75" customHeight="1">
      <c r="A21" s="613"/>
      <c r="B21" s="366" t="s">
        <v>368</v>
      </c>
      <c r="C21" s="443"/>
      <c r="D21" s="367" t="s">
        <v>397</v>
      </c>
      <c r="E21" s="367"/>
      <c r="F21" s="369">
        <v>36.450000000000003</v>
      </c>
      <c r="G21" s="441">
        <v>2249</v>
      </c>
      <c r="H21" s="370">
        <f t="shared" si="4"/>
        <v>81976.05</v>
      </c>
      <c r="I21" s="444"/>
      <c r="J21" s="372">
        <v>13</v>
      </c>
      <c r="K21" s="373">
        <f t="shared" si="5"/>
        <v>1927.714285714284</v>
      </c>
      <c r="L21" s="374">
        <f t="shared" si="6"/>
        <v>148.28571428571416</v>
      </c>
      <c r="M21" s="375">
        <v>0.37152777777777773</v>
      </c>
      <c r="N21" s="375">
        <v>0.4201388888888889</v>
      </c>
      <c r="O21" s="365">
        <v>5</v>
      </c>
      <c r="P21" s="447">
        <f t="shared" si="7"/>
        <v>70.000000000000071</v>
      </c>
      <c r="Q21" s="377">
        <v>0.4201388888888889</v>
      </c>
      <c r="R21" s="377">
        <v>0.46180555555555558</v>
      </c>
    </row>
    <row r="22" spans="1:18" ht="15.75" customHeight="1">
      <c r="A22" s="613"/>
      <c r="B22" s="366">
        <v>0</v>
      </c>
      <c r="C22" s="443"/>
      <c r="D22" s="367"/>
      <c r="E22" s="368"/>
      <c r="F22" s="369" t="s">
        <v>106</v>
      </c>
      <c r="G22" s="441"/>
      <c r="H22" s="370">
        <f t="shared" si="4"/>
        <v>0</v>
      </c>
      <c r="I22" s="444"/>
      <c r="J22" s="372"/>
      <c r="K22" s="373"/>
      <c r="L22" s="374"/>
      <c r="M22" s="375"/>
      <c r="N22" s="375"/>
      <c r="O22" s="365"/>
      <c r="P22" s="447"/>
      <c r="Q22" s="365"/>
      <c r="R22" s="365"/>
    </row>
    <row r="23" spans="1:18" ht="15.75" customHeight="1">
      <c r="A23" s="613"/>
      <c r="B23" s="366">
        <v>0</v>
      </c>
      <c r="C23" s="443"/>
      <c r="D23" s="367"/>
      <c r="E23" s="368"/>
      <c r="F23" s="369" t="s">
        <v>106</v>
      </c>
      <c r="G23" s="441"/>
      <c r="H23" s="370">
        <f t="shared" si="4"/>
        <v>0</v>
      </c>
      <c r="I23" s="444"/>
      <c r="J23" s="372"/>
      <c r="K23" s="373"/>
      <c r="L23" s="374"/>
      <c r="M23" s="375"/>
      <c r="N23" s="375"/>
      <c r="O23" s="365"/>
      <c r="P23" s="447"/>
      <c r="Q23" s="365"/>
      <c r="R23" s="365"/>
    </row>
    <row r="24" spans="1:18" ht="17.399999999999999" customHeight="1">
      <c r="A24" s="614"/>
      <c r="B24" s="366">
        <v>0</v>
      </c>
      <c r="C24" s="6" t="s">
        <v>398</v>
      </c>
      <c r="D24" s="594" t="s">
        <v>393</v>
      </c>
      <c r="E24" s="594"/>
      <c r="F24" s="384"/>
      <c r="G24" s="392"/>
      <c r="H24" s="386"/>
      <c r="I24" s="387"/>
      <c r="J24" s="388">
        <f>AVERAGE(J17:J23)</f>
        <v>10.8</v>
      </c>
      <c r="K24" s="388">
        <f>AVERAGE(K17:K23)</f>
        <v>1771.7971428571432</v>
      </c>
      <c r="L24" s="389">
        <f>AVERAGE(L17:L23)</f>
        <v>166.11137973137974</v>
      </c>
      <c r="M24" s="375"/>
      <c r="N24" s="375"/>
      <c r="O24" s="365"/>
      <c r="P24" s="365"/>
      <c r="Q24" s="365"/>
      <c r="R24" s="365"/>
    </row>
    <row r="25" spans="1:18">
      <c r="A25" s="601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442">
        <v>1426</v>
      </c>
      <c r="H25" s="370">
        <f t="shared" ref="H25:H37" si="8">F25*G25</f>
        <v>26423.780000000002</v>
      </c>
      <c r="I25" s="444"/>
      <c r="J25" s="372">
        <v>3</v>
      </c>
      <c r="K25" s="373">
        <f t="shared" ref="K25:K28" si="9">G25/P25*60</f>
        <v>2760.0000000000027</v>
      </c>
      <c r="L25" s="374">
        <f t="shared" ref="L25:L28" si="10">K25/J25</f>
        <v>920.00000000000091</v>
      </c>
      <c r="M25" s="375">
        <v>0.18055555555555555</v>
      </c>
      <c r="N25" s="375">
        <v>0.20208333333333331</v>
      </c>
      <c r="O25" s="365">
        <v>20</v>
      </c>
      <c r="P25" s="44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601"/>
      <c r="B26" s="366" t="s">
        <v>104</v>
      </c>
      <c r="C26" s="393"/>
      <c r="D26" s="394" t="s">
        <v>400</v>
      </c>
      <c r="E26" s="396"/>
      <c r="F26" s="369">
        <v>15.03</v>
      </c>
      <c r="G26" s="442">
        <v>547</v>
      </c>
      <c r="H26" s="370">
        <f t="shared" si="8"/>
        <v>8221.41</v>
      </c>
      <c r="I26" s="444"/>
      <c r="J26" s="372">
        <v>4</v>
      </c>
      <c r="K26" s="373">
        <f t="shared" si="9"/>
        <v>2735.0000000000095</v>
      </c>
      <c r="L26" s="374">
        <f t="shared" si="10"/>
        <v>683.75000000000239</v>
      </c>
      <c r="M26" s="375">
        <v>0.26111111111111113</v>
      </c>
      <c r="N26" s="375">
        <v>0.26944444444444443</v>
      </c>
      <c r="O26" s="365">
        <v>25</v>
      </c>
      <c r="P26" s="447">
        <f>(N26-M26)*24*60</f>
        <v>11.999999999999957</v>
      </c>
      <c r="Q26" s="377"/>
      <c r="R26" s="377"/>
    </row>
    <row r="27" spans="1:18">
      <c r="A27" s="601"/>
      <c r="B27" s="366" t="s">
        <v>104</v>
      </c>
      <c r="C27" s="393"/>
      <c r="D27" s="367" t="s">
        <v>295</v>
      </c>
      <c r="E27" s="396"/>
      <c r="F27" s="369">
        <v>18.18</v>
      </c>
      <c r="G27" s="442">
        <v>2856</v>
      </c>
      <c r="H27" s="370">
        <f t="shared" si="8"/>
        <v>51922.080000000002</v>
      </c>
      <c r="I27" s="444"/>
      <c r="J27" s="372">
        <v>4</v>
      </c>
      <c r="K27" s="373">
        <f t="shared" si="9"/>
        <v>2763.8709677419347</v>
      </c>
      <c r="L27" s="374">
        <f t="shared" si="10"/>
        <v>690.96774193548367</v>
      </c>
      <c r="M27" s="375">
        <v>0.28333333333333333</v>
      </c>
      <c r="N27" s="375">
        <v>0.3263888888888889</v>
      </c>
      <c r="O27" s="365">
        <v>20</v>
      </c>
      <c r="P27" s="447">
        <f t="shared" ref="P27:P28" si="11">(N27-M27)*24*60</f>
        <v>62.000000000000021</v>
      </c>
      <c r="Q27" s="377"/>
      <c r="R27" s="377"/>
    </row>
    <row r="28" spans="1:18">
      <c r="A28" s="601"/>
      <c r="B28" s="366" t="s">
        <v>104</v>
      </c>
      <c r="C28" s="443"/>
      <c r="D28" s="367" t="s">
        <v>401</v>
      </c>
      <c r="E28" s="396"/>
      <c r="F28" s="369">
        <v>24.93</v>
      </c>
      <c r="G28" s="442">
        <v>1151</v>
      </c>
      <c r="H28" s="370">
        <f t="shared" si="8"/>
        <v>28694.43</v>
      </c>
      <c r="I28" s="444"/>
      <c r="J28" s="372">
        <v>3</v>
      </c>
      <c r="K28" s="373">
        <f t="shared" si="9"/>
        <v>3002.6086956521635</v>
      </c>
      <c r="L28" s="374">
        <f t="shared" si="10"/>
        <v>1000.8695652173878</v>
      </c>
      <c r="M28" s="375">
        <v>0.34027777777777773</v>
      </c>
      <c r="N28" s="375">
        <v>0.35625000000000001</v>
      </c>
      <c r="O28" s="365">
        <v>20</v>
      </c>
      <c r="P28" s="447">
        <f t="shared" si="11"/>
        <v>23.000000000000078</v>
      </c>
      <c r="Q28" s="377"/>
      <c r="R28" s="377"/>
    </row>
    <row r="29" spans="1:18">
      <c r="A29" s="601"/>
      <c r="B29" s="366">
        <v>0</v>
      </c>
      <c r="C29" s="442"/>
      <c r="D29" s="394"/>
      <c r="E29" s="396"/>
      <c r="F29" s="369" t="s">
        <v>106</v>
      </c>
      <c r="G29" s="442"/>
      <c r="H29" s="370">
        <f t="shared" si="8"/>
        <v>0</v>
      </c>
      <c r="I29" s="444"/>
      <c r="J29" s="372"/>
      <c r="K29" s="373"/>
      <c r="L29" s="374"/>
      <c r="M29" s="375"/>
      <c r="N29" s="375"/>
      <c r="O29" s="365"/>
      <c r="P29" s="447"/>
      <c r="Q29" s="377"/>
      <c r="R29" s="377"/>
    </row>
    <row r="30" spans="1:18">
      <c r="A30" s="601"/>
      <c r="B30" s="366">
        <v>0</v>
      </c>
      <c r="C30" s="442"/>
      <c r="D30" s="394"/>
      <c r="E30" s="396"/>
      <c r="F30" s="369" t="s">
        <v>106</v>
      </c>
      <c r="G30" s="442"/>
      <c r="H30" s="370">
        <f t="shared" si="8"/>
        <v>0</v>
      </c>
      <c r="I30" s="444"/>
      <c r="J30" s="372"/>
      <c r="K30" s="373"/>
      <c r="L30" s="374"/>
      <c r="M30" s="375"/>
      <c r="N30" s="375"/>
      <c r="O30" s="365"/>
      <c r="P30" s="447"/>
      <c r="Q30" s="377"/>
      <c r="R30" s="377"/>
    </row>
    <row r="31" spans="1:18" ht="15.75" customHeight="1">
      <c r="A31" s="601"/>
      <c r="B31" s="366">
        <v>0</v>
      </c>
      <c r="C31" s="443"/>
      <c r="D31" s="367"/>
      <c r="E31" s="396"/>
      <c r="F31" s="369" t="s">
        <v>106</v>
      </c>
      <c r="G31" s="442"/>
      <c r="H31" s="370">
        <f t="shared" si="8"/>
        <v>0</v>
      </c>
      <c r="I31" s="444"/>
      <c r="J31" s="372"/>
      <c r="K31" s="373"/>
      <c r="L31" s="374"/>
      <c r="M31" s="375"/>
      <c r="N31" s="375"/>
      <c r="O31" s="365"/>
      <c r="P31" s="447"/>
      <c r="Q31" s="377"/>
      <c r="R31" s="377"/>
    </row>
    <row r="32" spans="1:18">
      <c r="A32" s="601"/>
      <c r="B32" s="366">
        <v>0</v>
      </c>
      <c r="C32" s="443"/>
      <c r="D32" s="394"/>
      <c r="E32" s="368"/>
      <c r="F32" s="369" t="s">
        <v>106</v>
      </c>
      <c r="G32" s="442"/>
      <c r="H32" s="370">
        <f t="shared" si="8"/>
        <v>0</v>
      </c>
      <c r="I32" s="444"/>
      <c r="J32" s="372"/>
      <c r="K32" s="373"/>
      <c r="L32" s="374"/>
      <c r="M32" s="375"/>
      <c r="N32" s="375"/>
      <c r="O32" s="365"/>
      <c r="P32" s="447"/>
      <c r="Q32" s="377"/>
      <c r="R32" s="377"/>
    </row>
    <row r="33" spans="1:18">
      <c r="A33" s="601"/>
      <c r="B33" s="366">
        <v>0</v>
      </c>
      <c r="C33" s="442"/>
      <c r="D33" s="367"/>
      <c r="E33" s="396"/>
      <c r="F33" s="369" t="s">
        <v>106</v>
      </c>
      <c r="G33" s="442"/>
      <c r="H33" s="370">
        <f t="shared" si="8"/>
        <v>0</v>
      </c>
      <c r="I33" s="444"/>
      <c r="J33" s="372"/>
      <c r="K33" s="373"/>
      <c r="L33" s="374"/>
      <c r="M33" s="375"/>
      <c r="N33" s="375"/>
      <c r="O33" s="365"/>
      <c r="P33" s="447"/>
      <c r="Q33" s="377"/>
      <c r="R33" s="377"/>
    </row>
    <row r="34" spans="1:18">
      <c r="A34" s="60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44"/>
      <c r="J34" s="372"/>
      <c r="K34" s="373"/>
      <c r="L34" s="374"/>
      <c r="M34" s="375"/>
      <c r="N34" s="375"/>
      <c r="O34" s="365"/>
      <c r="P34" s="447"/>
      <c r="Q34" s="377"/>
      <c r="R34" s="377"/>
    </row>
    <row r="35" spans="1:18">
      <c r="A35" s="60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44"/>
      <c r="J35" s="372"/>
      <c r="K35" s="373"/>
      <c r="L35" s="374"/>
      <c r="M35" s="375"/>
      <c r="N35" s="375"/>
      <c r="O35" s="365"/>
      <c r="P35" s="447"/>
      <c r="Q35" s="377"/>
      <c r="R35" s="377"/>
    </row>
    <row r="36" spans="1:18">
      <c r="A36" s="60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44"/>
      <c r="J36" s="372"/>
      <c r="K36" s="373"/>
      <c r="L36" s="374"/>
      <c r="M36" s="375"/>
      <c r="N36" s="375"/>
      <c r="O36" s="365"/>
      <c r="P36" s="447"/>
      <c r="Q36" s="377"/>
      <c r="R36" s="377"/>
    </row>
    <row r="37" spans="1:18">
      <c r="A37" s="60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44"/>
      <c r="J37" s="372"/>
      <c r="K37" s="373"/>
      <c r="L37" s="374"/>
      <c r="M37" s="375"/>
      <c r="N37" s="375"/>
      <c r="O37" s="365"/>
      <c r="P37" s="447"/>
      <c r="Q37" s="377"/>
      <c r="R37" s="377"/>
    </row>
    <row r="38" spans="1:18" ht="17.399999999999999" customHeight="1">
      <c r="A38" s="602"/>
      <c r="B38" s="366">
        <v>0</v>
      </c>
      <c r="C38" s="6" t="s">
        <v>27</v>
      </c>
      <c r="D38" s="580" t="s">
        <v>297</v>
      </c>
      <c r="E38" s="580"/>
      <c r="F38" s="384"/>
      <c r="G38" s="398"/>
      <c r="H38" s="386"/>
      <c r="I38" s="387"/>
      <c r="J38" s="388">
        <f>AVERAGE(J25:J37)</f>
        <v>3.5</v>
      </c>
      <c r="K38" s="388">
        <f>AVERAGE(K25:K37)</f>
        <v>2815.3699158485274</v>
      </c>
      <c r="L38" s="389">
        <f>AVERAGE(L25:L37)</f>
        <v>823.89682678821862</v>
      </c>
      <c r="M38" s="375"/>
      <c r="N38" s="375"/>
      <c r="O38" s="373"/>
      <c r="P38" s="373"/>
      <c r="Q38" s="374"/>
      <c r="R38" s="374"/>
    </row>
    <row r="39" spans="1:18" ht="16.2" customHeight="1">
      <c r="A39" s="590" t="s">
        <v>402</v>
      </c>
      <c r="B39" s="366">
        <v>0</v>
      </c>
      <c r="C39" s="443"/>
      <c r="D39" s="394"/>
      <c r="E39" s="368"/>
      <c r="F39" s="369" t="s">
        <v>106</v>
      </c>
      <c r="G39" s="442"/>
      <c r="H39" s="370">
        <f t="shared" ref="H39:H47" si="12">F39*G39</f>
        <v>0</v>
      </c>
      <c r="I39" s="44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591"/>
      <c r="B40" s="366">
        <v>0</v>
      </c>
      <c r="C40" s="443"/>
      <c r="D40" s="394"/>
      <c r="E40" s="368"/>
      <c r="F40" s="369" t="s">
        <v>106</v>
      </c>
      <c r="G40" s="442"/>
      <c r="H40" s="370">
        <f t="shared" si="12"/>
        <v>0</v>
      </c>
      <c r="I40" s="44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591"/>
      <c r="B41" s="366">
        <v>0</v>
      </c>
      <c r="C41" s="443"/>
      <c r="D41" s="400"/>
      <c r="E41" s="368"/>
      <c r="F41" s="369" t="s">
        <v>106</v>
      </c>
      <c r="G41" s="442"/>
      <c r="H41" s="370">
        <f t="shared" si="12"/>
        <v>0</v>
      </c>
      <c r="I41" s="44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591"/>
      <c r="B42" s="366">
        <v>0</v>
      </c>
      <c r="C42" s="443"/>
      <c r="D42" s="400"/>
      <c r="E42" s="368"/>
      <c r="F42" s="369" t="s">
        <v>106</v>
      </c>
      <c r="G42" s="442"/>
      <c r="H42" s="370">
        <f t="shared" si="12"/>
        <v>0</v>
      </c>
      <c r="I42" s="44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591"/>
      <c r="B43" s="366">
        <v>0</v>
      </c>
      <c r="C43" s="443"/>
      <c r="D43" s="394"/>
      <c r="E43" s="368"/>
      <c r="F43" s="369" t="s">
        <v>106</v>
      </c>
      <c r="G43" s="442"/>
      <c r="H43" s="370">
        <f t="shared" si="12"/>
        <v>0</v>
      </c>
      <c r="I43" s="444"/>
      <c r="J43" s="372"/>
      <c r="K43" s="373"/>
      <c r="L43" s="374"/>
      <c r="M43" s="375"/>
      <c r="N43" s="375"/>
      <c r="O43" s="365"/>
      <c r="P43" s="447"/>
      <c r="Q43" s="377"/>
      <c r="R43" s="377"/>
    </row>
    <row r="44" spans="1:18">
      <c r="A44" s="591"/>
      <c r="B44" s="366">
        <v>0</v>
      </c>
      <c r="C44" s="443"/>
      <c r="D44" s="401"/>
      <c r="E44" s="402"/>
      <c r="F44" s="369" t="s">
        <v>106</v>
      </c>
      <c r="G44" s="403"/>
      <c r="H44" s="404">
        <f t="shared" si="12"/>
        <v>0</v>
      </c>
      <c r="I44" s="445"/>
      <c r="J44" s="372"/>
      <c r="K44" s="373"/>
      <c r="L44" s="374"/>
      <c r="M44" s="375"/>
      <c r="N44" s="375"/>
      <c r="O44" s="365"/>
      <c r="P44" s="447"/>
      <c r="Q44" s="377"/>
      <c r="R44" s="377"/>
    </row>
    <row r="45" spans="1:18">
      <c r="A45" s="591"/>
      <c r="B45" s="366">
        <v>0</v>
      </c>
      <c r="C45" s="443"/>
      <c r="D45" s="400"/>
      <c r="E45" s="396"/>
      <c r="F45" s="369" t="s">
        <v>106</v>
      </c>
      <c r="G45" s="442"/>
      <c r="H45" s="370">
        <f t="shared" si="12"/>
        <v>0</v>
      </c>
      <c r="I45" s="444"/>
      <c r="J45" s="372"/>
      <c r="K45" s="373"/>
      <c r="L45" s="374"/>
      <c r="M45" s="375"/>
      <c r="N45" s="375"/>
      <c r="O45" s="365"/>
      <c r="P45" s="447"/>
      <c r="Q45" s="377"/>
      <c r="R45" s="377"/>
    </row>
    <row r="46" spans="1:18">
      <c r="A46" s="591"/>
      <c r="B46" s="366">
        <v>0</v>
      </c>
      <c r="C46" s="443"/>
      <c r="D46" s="400"/>
      <c r="E46" s="402"/>
      <c r="F46" s="369" t="s">
        <v>106</v>
      </c>
      <c r="G46" s="403"/>
      <c r="H46" s="404">
        <f t="shared" si="12"/>
        <v>0</v>
      </c>
      <c r="I46" s="445"/>
      <c r="J46" s="372"/>
      <c r="K46" s="373"/>
      <c r="L46" s="374"/>
      <c r="M46" s="375"/>
      <c r="N46" s="375"/>
      <c r="O46" s="365"/>
      <c r="P46" s="447"/>
      <c r="Q46" s="377"/>
      <c r="R46" s="377"/>
    </row>
    <row r="47" spans="1:18">
      <c r="A47" s="591"/>
      <c r="B47" s="366">
        <v>0</v>
      </c>
      <c r="C47" s="443"/>
      <c r="D47" s="395"/>
      <c r="E47" s="396"/>
      <c r="F47" s="369" t="s">
        <v>106</v>
      </c>
      <c r="G47" s="442"/>
      <c r="H47" s="370">
        <f t="shared" si="12"/>
        <v>0</v>
      </c>
      <c r="I47" s="444"/>
      <c r="J47" s="372"/>
      <c r="K47" s="373"/>
      <c r="L47" s="374"/>
      <c r="M47" s="375"/>
      <c r="N47" s="375"/>
      <c r="O47" s="365"/>
      <c r="P47" s="447"/>
      <c r="Q47" s="377"/>
      <c r="R47" s="377"/>
    </row>
    <row r="48" spans="1:18">
      <c r="A48" s="592"/>
      <c r="B48" s="366">
        <v>0</v>
      </c>
      <c r="C48" s="442"/>
      <c r="D48" s="395"/>
      <c r="E48" s="406"/>
      <c r="F48" s="369" t="s">
        <v>106</v>
      </c>
      <c r="G48" s="442"/>
      <c r="H48" s="370"/>
      <c r="I48" s="444"/>
      <c r="J48" s="372"/>
      <c r="K48" s="373"/>
      <c r="L48" s="374"/>
      <c r="M48" s="375"/>
      <c r="N48" s="375"/>
      <c r="O48" s="365"/>
      <c r="P48" s="447"/>
      <c r="Q48" s="377"/>
      <c r="R48" s="377"/>
    </row>
    <row r="49" spans="1:18">
      <c r="A49" s="592"/>
      <c r="B49" s="366">
        <v>0</v>
      </c>
      <c r="C49" s="442"/>
      <c r="D49" s="394"/>
      <c r="E49" s="407"/>
      <c r="F49" s="369" t="s">
        <v>106</v>
      </c>
      <c r="G49" s="365"/>
      <c r="H49" s="404">
        <f>F49*G49</f>
        <v>0</v>
      </c>
      <c r="I49" s="447"/>
      <c r="J49" s="372"/>
      <c r="K49" s="373"/>
      <c r="L49" s="374"/>
      <c r="M49" s="375"/>
      <c r="N49" s="375"/>
      <c r="O49" s="365"/>
      <c r="P49" s="447"/>
      <c r="Q49" s="377"/>
      <c r="R49" s="377"/>
    </row>
    <row r="50" spans="1:18">
      <c r="A50" s="592"/>
      <c r="B50" s="366">
        <v>0</v>
      </c>
      <c r="C50" s="442"/>
      <c r="D50" s="395"/>
      <c r="E50" s="407"/>
      <c r="F50" s="369" t="s">
        <v>106</v>
      </c>
      <c r="G50" s="365"/>
      <c r="H50" s="404">
        <f>F50*G50</f>
        <v>0</v>
      </c>
      <c r="I50" s="447"/>
      <c r="J50" s="372"/>
      <c r="K50" s="373"/>
      <c r="L50" s="374"/>
      <c r="M50" s="375"/>
      <c r="N50" s="375"/>
      <c r="O50" s="365"/>
      <c r="P50" s="447"/>
      <c r="Q50" s="377"/>
      <c r="R50" s="377"/>
    </row>
    <row r="51" spans="1:18" ht="15.75" customHeight="1">
      <c r="A51" s="593"/>
      <c r="B51" s="366">
        <v>0</v>
      </c>
      <c r="C51" s="6" t="s">
        <v>28</v>
      </c>
      <c r="D51" s="594" t="s">
        <v>393</v>
      </c>
      <c r="E51" s="59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595" t="s">
        <v>403</v>
      </c>
      <c r="B52" s="366" t="s">
        <v>104</v>
      </c>
      <c r="C52" s="443"/>
      <c r="D52" s="395" t="s">
        <v>300</v>
      </c>
      <c r="E52" s="411"/>
      <c r="F52" s="369">
        <v>18.18</v>
      </c>
      <c r="G52" s="442">
        <v>798</v>
      </c>
      <c r="H52" s="370">
        <f>F52*G52</f>
        <v>14507.64</v>
      </c>
      <c r="I52" s="444"/>
      <c r="J52" s="372">
        <v>3</v>
      </c>
      <c r="K52" s="373">
        <f>G52/P52*60</f>
        <v>3191.9999999999941</v>
      </c>
      <c r="L52" s="374">
        <f>K52/J52</f>
        <v>1063.999999999998</v>
      </c>
      <c r="M52" s="375">
        <v>0.30555555555555552</v>
      </c>
      <c r="N52" s="375">
        <v>0.31597222222222221</v>
      </c>
      <c r="O52" s="373">
        <v>20</v>
      </c>
      <c r="P52" s="447">
        <f>(N52-M52)*24*60</f>
        <v>15.000000000000027</v>
      </c>
      <c r="Q52" s="377"/>
      <c r="R52" s="377"/>
    </row>
    <row r="53" spans="1:18" ht="15.6" customHeight="1">
      <c r="A53" s="596"/>
      <c r="B53" s="366" t="s">
        <v>104</v>
      </c>
      <c r="C53" s="443"/>
      <c r="D53" s="395" t="s">
        <v>301</v>
      </c>
      <c r="E53" s="412"/>
      <c r="F53" s="369">
        <v>25.03</v>
      </c>
      <c r="G53" s="378">
        <v>310</v>
      </c>
      <c r="H53" s="370">
        <f t="shared" ref="H53:H116" si="13">F53*G53</f>
        <v>7759.3</v>
      </c>
      <c r="I53" s="444"/>
      <c r="J53" s="372">
        <v>4</v>
      </c>
      <c r="K53" s="373">
        <f t="shared" ref="K53:K59" si="14">G53/P53*60</f>
        <v>3099.9999999999695</v>
      </c>
      <c r="L53" s="374">
        <f t="shared" ref="L53:L59" si="15">K53/J53</f>
        <v>774.99999999999238</v>
      </c>
      <c r="M53" s="375">
        <v>0.3298611111111111</v>
      </c>
      <c r="N53" s="375">
        <v>0.33402777777777781</v>
      </c>
      <c r="O53" s="373">
        <v>20</v>
      </c>
      <c r="P53" s="447">
        <f t="shared" ref="P53:P59" si="16">(N53-M53)*24*60</f>
        <v>6.0000000000000586</v>
      </c>
      <c r="Q53" s="377"/>
      <c r="R53" s="377"/>
    </row>
    <row r="54" spans="1:18" ht="15.6" customHeight="1">
      <c r="A54" s="596"/>
      <c r="B54" s="366" t="s">
        <v>104</v>
      </c>
      <c r="C54" s="443"/>
      <c r="D54" s="395" t="s">
        <v>302</v>
      </c>
      <c r="E54" s="368"/>
      <c r="F54" s="369">
        <v>24.82</v>
      </c>
      <c r="G54" s="378">
        <v>481</v>
      </c>
      <c r="H54" s="370">
        <f t="shared" si="13"/>
        <v>11938.42</v>
      </c>
      <c r="I54" s="444"/>
      <c r="J54" s="372">
        <v>4</v>
      </c>
      <c r="K54" s="373">
        <f t="shared" si="14"/>
        <v>3206.6666666666497</v>
      </c>
      <c r="L54" s="374">
        <f t="shared" si="15"/>
        <v>801.66666666666242</v>
      </c>
      <c r="M54" s="375">
        <v>0.34791666666666665</v>
      </c>
      <c r="N54" s="375">
        <v>0.35416666666666669</v>
      </c>
      <c r="O54" s="373">
        <v>20</v>
      </c>
      <c r="P54" s="447">
        <f t="shared" si="16"/>
        <v>9.000000000000048</v>
      </c>
      <c r="Q54" s="377"/>
      <c r="R54" s="377"/>
    </row>
    <row r="55" spans="1:18" ht="15.6" customHeight="1">
      <c r="A55" s="596"/>
      <c r="B55" s="366" t="s">
        <v>104</v>
      </c>
      <c r="C55" s="443"/>
      <c r="D55" s="394" t="s">
        <v>404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44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0.36805555555555558</v>
      </c>
      <c r="N55" s="375">
        <v>0.37083333333333335</v>
      </c>
      <c r="O55" s="373">
        <v>20</v>
      </c>
      <c r="P55" s="447">
        <f t="shared" si="16"/>
        <v>3.9999999999999858</v>
      </c>
      <c r="Q55" s="377">
        <v>0.37083333333333335</v>
      </c>
      <c r="R55" s="377">
        <v>0.41250000000000003</v>
      </c>
    </row>
    <row r="56" spans="1:18" ht="15.6" customHeight="1">
      <c r="A56" s="596"/>
      <c r="B56" s="366" t="s">
        <v>104</v>
      </c>
      <c r="C56" s="443"/>
      <c r="D56" s="395" t="s">
        <v>304</v>
      </c>
      <c r="E56" s="396"/>
      <c r="F56" s="369">
        <v>30</v>
      </c>
      <c r="G56" s="378">
        <v>889</v>
      </c>
      <c r="H56" s="370">
        <f t="shared" si="13"/>
        <v>26670</v>
      </c>
      <c r="I56" s="444"/>
      <c r="J56" s="372">
        <v>4</v>
      </c>
      <c r="K56" s="373">
        <f t="shared" si="14"/>
        <v>3137.6470588235252</v>
      </c>
      <c r="L56" s="374">
        <f t="shared" si="15"/>
        <v>784.4117647058813</v>
      </c>
      <c r="M56" s="375">
        <v>0.42986111111111108</v>
      </c>
      <c r="N56" s="375">
        <v>0.44166666666666665</v>
      </c>
      <c r="O56" s="373">
        <v>25</v>
      </c>
      <c r="P56" s="447">
        <f t="shared" si="16"/>
        <v>17.000000000000021</v>
      </c>
      <c r="Q56" s="377"/>
      <c r="R56" s="377"/>
    </row>
    <row r="57" spans="1:18" ht="15.75" customHeight="1">
      <c r="A57" s="596"/>
      <c r="B57" s="366" t="s">
        <v>104</v>
      </c>
      <c r="C57" s="6" t="s">
        <v>31</v>
      </c>
      <c r="D57" s="400" t="s">
        <v>405</v>
      </c>
      <c r="E57" s="396"/>
      <c r="F57" s="369">
        <v>20.72</v>
      </c>
      <c r="G57" s="378">
        <v>673</v>
      </c>
      <c r="H57" s="370">
        <f t="shared" si="13"/>
        <v>13944.56</v>
      </c>
      <c r="I57" s="444"/>
      <c r="J57" s="372">
        <v>3</v>
      </c>
      <c r="K57" s="373">
        <f t="shared" si="14"/>
        <v>3106.153846153838</v>
      </c>
      <c r="L57" s="374">
        <f t="shared" si="15"/>
        <v>1035.3846153846127</v>
      </c>
      <c r="M57" s="375">
        <v>0.45555555555555555</v>
      </c>
      <c r="N57" s="375">
        <v>0.46458333333333335</v>
      </c>
      <c r="O57" s="373">
        <v>20</v>
      </c>
      <c r="P57" s="447">
        <f t="shared" si="16"/>
        <v>13.000000000000034</v>
      </c>
      <c r="Q57" s="377"/>
      <c r="R57" s="377"/>
    </row>
    <row r="58" spans="1:18" ht="15.6" customHeight="1">
      <c r="A58" s="596"/>
      <c r="B58" s="366" t="s">
        <v>104</v>
      </c>
      <c r="C58" s="413"/>
      <c r="D58" s="395" t="s">
        <v>406</v>
      </c>
      <c r="E58" s="396"/>
      <c r="F58" s="369">
        <v>17.07</v>
      </c>
      <c r="G58" s="414">
        <v>1125</v>
      </c>
      <c r="H58" s="370">
        <f t="shared" si="13"/>
        <v>19203.75</v>
      </c>
      <c r="I58" s="444"/>
      <c r="J58" s="372">
        <v>3</v>
      </c>
      <c r="K58" s="373">
        <f t="shared" si="14"/>
        <v>3068.181818181818</v>
      </c>
      <c r="L58" s="374">
        <f t="shared" si="15"/>
        <v>1022.7272727272726</v>
      </c>
      <c r="M58" s="375">
        <v>0.47847222222222219</v>
      </c>
      <c r="N58" s="375">
        <v>0.49374999999999997</v>
      </c>
      <c r="O58" s="373">
        <v>20</v>
      </c>
      <c r="P58" s="447">
        <f t="shared" si="16"/>
        <v>22</v>
      </c>
      <c r="Q58" s="377"/>
      <c r="R58" s="377"/>
    </row>
    <row r="59" spans="1:18" ht="15.6" customHeight="1">
      <c r="A59" s="596"/>
      <c r="B59" s="366" t="s">
        <v>104</v>
      </c>
      <c r="C59" s="443"/>
      <c r="D59" s="395" t="s">
        <v>407</v>
      </c>
      <c r="E59" s="396"/>
      <c r="F59" s="369">
        <v>27.48</v>
      </c>
      <c r="G59" s="378">
        <v>2118</v>
      </c>
      <c r="H59" s="370">
        <f t="shared" si="13"/>
        <v>58202.64</v>
      </c>
      <c r="I59" s="444"/>
      <c r="J59" s="372">
        <v>3</v>
      </c>
      <c r="K59" s="373">
        <f t="shared" si="14"/>
        <v>3176.9999999999991</v>
      </c>
      <c r="L59" s="374">
        <f t="shared" si="15"/>
        <v>1058.9999999999998</v>
      </c>
      <c r="M59" s="375">
        <v>0.50763888888888886</v>
      </c>
      <c r="N59" s="375">
        <v>0.53541666666666665</v>
      </c>
      <c r="O59" s="373">
        <v>20</v>
      </c>
      <c r="P59" s="447">
        <f t="shared" si="16"/>
        <v>40.000000000000014</v>
      </c>
      <c r="Q59" s="377"/>
      <c r="R59" s="377"/>
    </row>
    <row r="60" spans="1:18" ht="15.6" customHeight="1">
      <c r="A60" s="596"/>
      <c r="B60" s="366">
        <v>0</v>
      </c>
      <c r="C60" s="443"/>
      <c r="D60" s="395"/>
      <c r="E60" s="415"/>
      <c r="F60" s="369" t="s">
        <v>106</v>
      </c>
      <c r="G60" s="378"/>
      <c r="H60" s="370">
        <f t="shared" si="13"/>
        <v>0</v>
      </c>
      <c r="I60" s="444"/>
      <c r="J60" s="372"/>
      <c r="K60" s="373"/>
      <c r="L60" s="374"/>
      <c r="M60" s="375"/>
      <c r="N60" s="375"/>
      <c r="O60" s="373"/>
      <c r="P60" s="447"/>
      <c r="Q60" s="377"/>
      <c r="R60" s="377"/>
    </row>
    <row r="61" spans="1:18" ht="15.6" customHeight="1">
      <c r="A61" s="596"/>
      <c r="B61" s="366">
        <v>0</v>
      </c>
      <c r="C61" s="443"/>
      <c r="D61" s="394"/>
      <c r="E61" s="396"/>
      <c r="F61" s="369" t="s">
        <v>106</v>
      </c>
      <c r="G61" s="378"/>
      <c r="H61" s="370">
        <f t="shared" si="13"/>
        <v>0</v>
      </c>
      <c r="I61" s="444"/>
      <c r="J61" s="372"/>
      <c r="K61" s="373"/>
      <c r="L61" s="374"/>
      <c r="M61" s="375"/>
      <c r="N61" s="375"/>
      <c r="O61" s="373"/>
      <c r="P61" s="447"/>
      <c r="Q61" s="377"/>
      <c r="R61" s="377"/>
    </row>
    <row r="62" spans="1:18" ht="15.6" customHeight="1">
      <c r="A62" s="596"/>
      <c r="B62" s="366">
        <v>0</v>
      </c>
      <c r="C62" s="443"/>
      <c r="D62" s="395"/>
      <c r="E62" s="416"/>
      <c r="F62" s="369" t="s">
        <v>106</v>
      </c>
      <c r="G62" s="378"/>
      <c r="H62" s="370">
        <f t="shared" si="13"/>
        <v>0</v>
      </c>
      <c r="I62" s="444"/>
      <c r="J62" s="372"/>
      <c r="K62" s="373"/>
      <c r="L62" s="374"/>
      <c r="M62" s="375"/>
      <c r="N62" s="375"/>
      <c r="O62" s="373"/>
      <c r="P62" s="447"/>
      <c r="Q62" s="377"/>
      <c r="R62" s="377"/>
    </row>
    <row r="63" spans="1:18" ht="15.6" customHeight="1">
      <c r="A63" s="59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45"/>
      <c r="J63" s="372"/>
      <c r="K63" s="373"/>
      <c r="L63" s="374"/>
      <c r="M63" s="375"/>
      <c r="N63" s="375"/>
      <c r="O63" s="365"/>
      <c r="P63" s="447"/>
      <c r="Q63" s="377"/>
      <c r="R63" s="377"/>
    </row>
    <row r="64" spans="1:18" ht="15.75" customHeight="1">
      <c r="A64" s="597"/>
      <c r="B64" s="366">
        <v>0</v>
      </c>
      <c r="C64" s="6" t="s">
        <v>408</v>
      </c>
      <c r="D64" s="594" t="s">
        <v>393</v>
      </c>
      <c r="E64" s="594"/>
      <c r="F64" s="384"/>
      <c r="G64" s="389"/>
      <c r="H64" s="408"/>
      <c r="I64" s="409"/>
      <c r="J64" s="388">
        <f>AVERAGE(J52:J63)</f>
        <v>3.5</v>
      </c>
      <c r="K64" s="388">
        <f>AVERAGE(K52:K63)</f>
        <v>3125.3311737282256</v>
      </c>
      <c r="L64" s="389">
        <f>AVERAGE(L52:L63)</f>
        <v>911.99253993555283</v>
      </c>
      <c r="M64" s="375"/>
      <c r="N64" s="375"/>
      <c r="O64" s="365"/>
      <c r="P64" s="365"/>
      <c r="Q64" s="365"/>
      <c r="R64" s="365"/>
    </row>
    <row r="65" spans="1:18" ht="15.6" customHeight="1">
      <c r="A65" s="598" t="s">
        <v>409</v>
      </c>
      <c r="B65" s="366" t="s">
        <v>104</v>
      </c>
      <c r="C65" s="443"/>
      <c r="D65" s="394" t="s">
        <v>410</v>
      </c>
      <c r="E65" s="411"/>
      <c r="F65" s="369">
        <v>22.281818181818181</v>
      </c>
      <c r="G65" s="442">
        <v>373</v>
      </c>
      <c r="H65" s="370">
        <f>F65*G65</f>
        <v>8311.1181818181813</v>
      </c>
      <c r="I65" s="444"/>
      <c r="J65" s="372">
        <v>4</v>
      </c>
      <c r="K65" s="373">
        <f t="shared" ref="K65:K71" si="17">G65/P65*60</f>
        <v>3197.1428571428501</v>
      </c>
      <c r="L65" s="374">
        <f t="shared" ref="L65:L71" si="18">K65/J65</f>
        <v>799.28571428571252</v>
      </c>
      <c r="M65" s="375">
        <v>0.18055555555555555</v>
      </c>
      <c r="N65" s="375">
        <v>0.18541666666666667</v>
      </c>
      <c r="O65" s="373">
        <v>20</v>
      </c>
      <c r="P65" s="447">
        <f>(N65-M65)*24*60</f>
        <v>7.0000000000000151</v>
      </c>
      <c r="Q65" s="377"/>
      <c r="R65" s="377"/>
    </row>
    <row r="66" spans="1:18" ht="15.6" customHeight="1">
      <c r="A66" s="599"/>
      <c r="B66" s="366" t="s">
        <v>104</v>
      </c>
      <c r="C66" s="443"/>
      <c r="D66" s="401" t="s">
        <v>311</v>
      </c>
      <c r="E66" s="412"/>
      <c r="F66" s="369">
        <v>14.03</v>
      </c>
      <c r="G66" s="378">
        <v>2819</v>
      </c>
      <c r="H66" s="370">
        <f t="shared" ref="H66:H74" si="19">F66*G66</f>
        <v>39550.57</v>
      </c>
      <c r="I66" s="444"/>
      <c r="J66" s="372">
        <v>3</v>
      </c>
      <c r="K66" s="373">
        <f t="shared" si="17"/>
        <v>3191.3207547169782</v>
      </c>
      <c r="L66" s="374">
        <f t="shared" si="18"/>
        <v>1063.7735849056594</v>
      </c>
      <c r="M66" s="375">
        <v>0.19930555555555554</v>
      </c>
      <c r="N66" s="375">
        <v>0.23611111111111113</v>
      </c>
      <c r="O66" s="373">
        <v>20</v>
      </c>
      <c r="P66" s="447">
        <f t="shared" ref="P66:P71" si="20">(N66-M66)*24*60</f>
        <v>53.00000000000005</v>
      </c>
      <c r="Q66" s="377"/>
      <c r="R66" s="377"/>
    </row>
    <row r="67" spans="1:18" ht="15.6" customHeight="1">
      <c r="A67" s="599"/>
      <c r="B67" s="366" t="s">
        <v>104</v>
      </c>
      <c r="C67" s="443"/>
      <c r="D67" s="394" t="s">
        <v>312</v>
      </c>
      <c r="E67" s="396"/>
      <c r="F67" s="369">
        <v>18.18</v>
      </c>
      <c r="G67" s="378">
        <v>1303</v>
      </c>
      <c r="H67" s="370">
        <f t="shared" si="19"/>
        <v>23688.54</v>
      </c>
      <c r="I67" s="444"/>
      <c r="J67" s="372">
        <v>3</v>
      </c>
      <c r="K67" s="373">
        <f t="shared" si="17"/>
        <v>3127.2000000000007</v>
      </c>
      <c r="L67" s="374">
        <f t="shared" si="18"/>
        <v>1042.4000000000003</v>
      </c>
      <c r="M67" s="375">
        <v>0.25</v>
      </c>
      <c r="N67" s="375">
        <v>0.2673611111111111</v>
      </c>
      <c r="O67" s="373">
        <v>20</v>
      </c>
      <c r="P67" s="447">
        <f t="shared" si="20"/>
        <v>24.999999999999993</v>
      </c>
      <c r="Q67" s="377"/>
      <c r="R67" s="377"/>
    </row>
    <row r="68" spans="1:18" ht="15.6" customHeight="1">
      <c r="A68" s="599"/>
      <c r="B68" s="366" t="s">
        <v>104</v>
      </c>
      <c r="C68" s="443"/>
      <c r="D68" s="400" t="s">
        <v>411</v>
      </c>
      <c r="E68" s="396"/>
      <c r="F68" s="369">
        <v>17.890909090909091</v>
      </c>
      <c r="G68" s="378">
        <v>1415</v>
      </c>
      <c r="H68" s="370">
        <f t="shared" si="19"/>
        <v>25315.636363636364</v>
      </c>
      <c r="I68" s="444"/>
      <c r="J68" s="372">
        <v>3</v>
      </c>
      <c r="K68" s="373">
        <f t="shared" si="17"/>
        <v>3144.4444444444462</v>
      </c>
      <c r="L68" s="374">
        <f t="shared" si="18"/>
        <v>1048.1481481481487</v>
      </c>
      <c r="M68" s="375">
        <v>0.28125</v>
      </c>
      <c r="N68" s="375">
        <v>0.3</v>
      </c>
      <c r="O68" s="373">
        <v>20</v>
      </c>
      <c r="P68" s="447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599"/>
      <c r="B69" s="366" t="s">
        <v>104</v>
      </c>
      <c r="C69" s="443"/>
      <c r="D69" s="394" t="s">
        <v>412</v>
      </c>
      <c r="E69" s="396"/>
      <c r="F69" s="369">
        <v>16.66</v>
      </c>
      <c r="G69" s="378">
        <v>2665</v>
      </c>
      <c r="H69" s="370">
        <f t="shared" si="19"/>
        <v>44398.9</v>
      </c>
      <c r="I69" s="444"/>
      <c r="J69" s="372">
        <v>4</v>
      </c>
      <c r="K69" s="373">
        <f t="shared" si="17"/>
        <v>3198.0000000000009</v>
      </c>
      <c r="L69" s="374">
        <f t="shared" si="18"/>
        <v>799.50000000000023</v>
      </c>
      <c r="M69" s="375">
        <v>0.35902777777777778</v>
      </c>
      <c r="N69" s="375">
        <v>0.39374999999999999</v>
      </c>
      <c r="O69" s="373">
        <v>25</v>
      </c>
      <c r="P69" s="447">
        <f t="shared" si="20"/>
        <v>49.999999999999986</v>
      </c>
      <c r="Q69" s="377"/>
      <c r="R69" s="377"/>
    </row>
    <row r="70" spans="1:18" ht="15.75" customHeight="1">
      <c r="A70" s="599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1394</v>
      </c>
      <c r="H70" s="370">
        <f t="shared" si="19"/>
        <v>41820</v>
      </c>
      <c r="I70" s="444"/>
      <c r="J70" s="372">
        <v>4</v>
      </c>
      <c r="K70" s="373">
        <f t="shared" si="17"/>
        <v>3097.7777777777792</v>
      </c>
      <c r="L70" s="374">
        <f t="shared" si="18"/>
        <v>774.4444444444448</v>
      </c>
      <c r="M70" s="375">
        <v>0.40763888888888888</v>
      </c>
      <c r="N70" s="375">
        <v>0.42638888888888887</v>
      </c>
      <c r="O70" s="373">
        <v>20</v>
      </c>
      <c r="P70" s="447">
        <f t="shared" si="20"/>
        <v>26.999999999999986</v>
      </c>
      <c r="Q70" s="377"/>
      <c r="R70" s="377"/>
    </row>
    <row r="71" spans="1:18" ht="15.6" customHeight="1">
      <c r="A71" s="59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4181</v>
      </c>
      <c r="H71" s="370">
        <f t="shared" si="19"/>
        <v>59728.57142857142</v>
      </c>
      <c r="I71" s="444"/>
      <c r="J71" s="372">
        <v>3</v>
      </c>
      <c r="K71" s="373">
        <f t="shared" si="17"/>
        <v>3175.4430379746855</v>
      </c>
      <c r="L71" s="374">
        <f t="shared" si="18"/>
        <v>1058.4810126582286</v>
      </c>
      <c r="M71" s="375">
        <v>0.44027777777777777</v>
      </c>
      <c r="N71" s="375">
        <v>0.49513888888888885</v>
      </c>
      <c r="O71" s="373">
        <v>20</v>
      </c>
      <c r="P71" s="447">
        <f t="shared" si="20"/>
        <v>78.999999999999957</v>
      </c>
      <c r="Q71" s="377"/>
      <c r="R71" s="377"/>
    </row>
    <row r="72" spans="1:18" ht="15.6" customHeight="1">
      <c r="A72" s="599"/>
      <c r="B72" s="366">
        <v>0</v>
      </c>
      <c r="C72" s="443"/>
      <c r="D72" s="400"/>
      <c r="E72" s="396"/>
      <c r="F72" s="369" t="s">
        <v>106</v>
      </c>
      <c r="G72" s="378"/>
      <c r="H72" s="370">
        <f t="shared" si="19"/>
        <v>0</v>
      </c>
      <c r="I72" s="444"/>
      <c r="J72" s="372"/>
      <c r="K72" s="373"/>
      <c r="L72" s="374"/>
      <c r="M72" s="375"/>
      <c r="N72" s="375"/>
      <c r="O72" s="373"/>
      <c r="P72" s="447"/>
      <c r="Q72" s="377"/>
      <c r="R72" s="377"/>
    </row>
    <row r="73" spans="1:18" ht="15.6" customHeight="1">
      <c r="A73" s="599"/>
      <c r="B73" s="366">
        <v>0</v>
      </c>
      <c r="C73" s="443"/>
      <c r="D73" s="400"/>
      <c r="E73" s="396"/>
      <c r="F73" s="369" t="s">
        <v>106</v>
      </c>
      <c r="G73" s="378"/>
      <c r="H73" s="370">
        <f t="shared" si="19"/>
        <v>0</v>
      </c>
      <c r="I73" s="444"/>
      <c r="J73" s="372"/>
      <c r="K73" s="373"/>
      <c r="L73" s="374"/>
      <c r="M73" s="375"/>
      <c r="N73" s="375"/>
      <c r="O73" s="373"/>
      <c r="P73" s="447"/>
      <c r="Q73" s="377"/>
      <c r="R73" s="377"/>
    </row>
    <row r="74" spans="1:18" ht="15.6" customHeight="1">
      <c r="A74" s="599"/>
      <c r="B74" s="366">
        <v>0</v>
      </c>
      <c r="C74" s="443"/>
      <c r="D74" s="400"/>
      <c r="E74" s="396"/>
      <c r="F74" s="369" t="s">
        <v>106</v>
      </c>
      <c r="G74" s="378"/>
      <c r="H74" s="370">
        <f t="shared" si="19"/>
        <v>0</v>
      </c>
      <c r="I74" s="444"/>
      <c r="J74" s="372"/>
      <c r="K74" s="373"/>
      <c r="L74" s="374"/>
      <c r="M74" s="375"/>
      <c r="N74" s="375"/>
      <c r="O74" s="373"/>
      <c r="P74" s="447"/>
      <c r="Q74" s="377"/>
      <c r="R74" s="377"/>
    </row>
    <row r="75" spans="1:18" ht="15.75" customHeight="1">
      <c r="A75" s="600"/>
      <c r="B75" s="366">
        <v>0</v>
      </c>
      <c r="C75" s="6" t="s">
        <v>414</v>
      </c>
      <c r="D75" s="594" t="s">
        <v>393</v>
      </c>
      <c r="E75" s="59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3161.6184102938196</v>
      </c>
      <c r="L75" s="389">
        <f>AVERAGE(L65:L74)</f>
        <v>940.86184349174198</v>
      </c>
      <c r="M75" s="375"/>
      <c r="N75" s="375"/>
      <c r="O75" s="365"/>
      <c r="P75" s="365"/>
      <c r="Q75" s="365"/>
      <c r="R75" s="365"/>
    </row>
    <row r="76" spans="1:18" ht="16.2" customHeight="1">
      <c r="A76" s="584" t="s">
        <v>319</v>
      </c>
      <c r="B76" s="366">
        <v>0</v>
      </c>
      <c r="C76" s="383"/>
      <c r="D76" s="585"/>
      <c r="E76" s="58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47"/>
      <c r="Q76" s="377"/>
      <c r="R76" s="377"/>
    </row>
    <row r="77" spans="1:18">
      <c r="A77" s="584"/>
      <c r="B77" s="366">
        <v>0</v>
      </c>
      <c r="C77" s="383"/>
      <c r="D77" s="585"/>
      <c r="E77" s="586"/>
      <c r="F77" s="369" t="s">
        <v>106</v>
      </c>
      <c r="G77" s="442"/>
      <c r="H77" s="370">
        <f t="shared" si="13"/>
        <v>0</v>
      </c>
      <c r="I77" s="444"/>
      <c r="J77" s="372"/>
      <c r="K77" s="373"/>
      <c r="L77" s="374"/>
      <c r="M77" s="375"/>
      <c r="N77" s="375"/>
      <c r="O77" s="365"/>
      <c r="P77" s="447"/>
      <c r="Q77" s="365"/>
      <c r="R77" s="365"/>
    </row>
    <row r="78" spans="1:18">
      <c r="A78" s="584"/>
      <c r="B78" s="366">
        <v>0</v>
      </c>
      <c r="C78" s="383"/>
      <c r="D78" s="448"/>
      <c r="E78" s="448"/>
      <c r="F78" s="369" t="s">
        <v>106</v>
      </c>
      <c r="G78" s="397"/>
      <c r="H78" s="370">
        <f t="shared" si="13"/>
        <v>0</v>
      </c>
      <c r="I78" s="444"/>
      <c r="J78" s="372"/>
      <c r="K78" s="373"/>
      <c r="L78" s="374"/>
      <c r="M78" s="375"/>
      <c r="N78" s="375"/>
      <c r="O78" s="365"/>
      <c r="P78" s="447"/>
      <c r="Q78" s="365"/>
      <c r="R78" s="365"/>
    </row>
    <row r="79" spans="1:18">
      <c r="A79" s="584"/>
      <c r="B79" s="366">
        <v>0</v>
      </c>
      <c r="C79" s="383"/>
      <c r="D79" s="448"/>
      <c r="E79" s="448"/>
      <c r="F79" s="369" t="s">
        <v>106</v>
      </c>
      <c r="G79" s="397"/>
      <c r="H79" s="370">
        <f t="shared" si="13"/>
        <v>0</v>
      </c>
      <c r="I79" s="444"/>
      <c r="J79" s="372"/>
      <c r="K79" s="373"/>
      <c r="L79" s="374"/>
      <c r="M79" s="375"/>
      <c r="N79" s="375"/>
      <c r="O79" s="365"/>
      <c r="P79" s="447"/>
      <c r="Q79" s="365"/>
      <c r="R79" s="365"/>
    </row>
    <row r="80" spans="1:18">
      <c r="A80" s="584"/>
      <c r="B80" s="366">
        <v>0</v>
      </c>
      <c r="C80" s="383"/>
      <c r="D80" s="448"/>
      <c r="E80" s="448"/>
      <c r="F80" s="369" t="s">
        <v>106</v>
      </c>
      <c r="G80" s="397"/>
      <c r="H80" s="370">
        <f t="shared" si="13"/>
        <v>0</v>
      </c>
      <c r="I80" s="444"/>
      <c r="J80" s="372"/>
      <c r="K80" s="373"/>
      <c r="L80" s="374"/>
      <c r="M80" s="375"/>
      <c r="N80" s="375"/>
      <c r="O80" s="365"/>
      <c r="P80" s="447"/>
      <c r="Q80" s="365"/>
      <c r="R80" s="365"/>
    </row>
    <row r="81" spans="1:18" ht="15.75" customHeight="1">
      <c r="A81" s="584"/>
      <c r="B81" s="366">
        <v>0</v>
      </c>
      <c r="C81" s="6" t="s">
        <v>31</v>
      </c>
      <c r="D81" s="580" t="s">
        <v>393</v>
      </c>
      <c r="E81" s="58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587" t="s">
        <v>415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44"/>
      <c r="J82" s="372"/>
      <c r="K82" s="373"/>
      <c r="L82" s="374"/>
      <c r="M82" s="375"/>
      <c r="N82" s="375"/>
      <c r="O82" s="373"/>
      <c r="P82" s="447"/>
      <c r="Q82" s="377"/>
      <c r="R82" s="377"/>
    </row>
    <row r="83" spans="1:18">
      <c r="A83" s="58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44"/>
      <c r="J83" s="372"/>
      <c r="K83" s="373"/>
      <c r="L83" s="374"/>
      <c r="M83" s="375"/>
      <c r="N83" s="375"/>
      <c r="O83" s="373"/>
      <c r="P83" s="447"/>
      <c r="Q83" s="377"/>
      <c r="R83" s="377"/>
    </row>
    <row r="84" spans="1:18">
      <c r="A84" s="58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4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58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4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588"/>
      <c r="B86" s="366">
        <v>0</v>
      </c>
      <c r="C86" s="393"/>
      <c r="D86" s="395"/>
      <c r="E86" s="421"/>
      <c r="F86" s="369" t="s">
        <v>106</v>
      </c>
      <c r="G86" s="442"/>
      <c r="H86" s="423">
        <f t="shared" si="21"/>
        <v>0</v>
      </c>
      <c r="I86" s="44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588"/>
      <c r="B87" s="366"/>
      <c r="C87" s="393"/>
      <c r="D87" s="395"/>
      <c r="E87" s="421"/>
      <c r="F87" s="369" t="s">
        <v>106</v>
      </c>
      <c r="G87" s="442"/>
      <c r="H87" s="423">
        <f t="shared" si="21"/>
        <v>0</v>
      </c>
      <c r="I87" s="44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588"/>
      <c r="B88" s="366">
        <v>0</v>
      </c>
      <c r="C88" s="393"/>
      <c r="D88" s="395"/>
      <c r="E88" s="421"/>
      <c r="F88" s="369" t="s">
        <v>106</v>
      </c>
      <c r="G88" s="442"/>
      <c r="H88" s="423">
        <f t="shared" si="21"/>
        <v>0</v>
      </c>
      <c r="I88" s="44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588"/>
      <c r="B89" s="366">
        <v>0</v>
      </c>
      <c r="C89" s="393"/>
      <c r="D89" s="395"/>
      <c r="E89" s="421"/>
      <c r="F89" s="369" t="s">
        <v>106</v>
      </c>
      <c r="G89" s="442"/>
      <c r="H89" s="423">
        <f t="shared" si="21"/>
        <v>0</v>
      </c>
      <c r="I89" s="44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588"/>
      <c r="B90" s="366">
        <v>0</v>
      </c>
      <c r="C90" s="393"/>
      <c r="D90" s="395"/>
      <c r="E90" s="421"/>
      <c r="F90" s="369" t="s">
        <v>106</v>
      </c>
      <c r="G90" s="442"/>
      <c r="H90" s="423">
        <f t="shared" si="21"/>
        <v>0</v>
      </c>
      <c r="I90" s="44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588"/>
      <c r="B91" s="366">
        <v>0</v>
      </c>
      <c r="C91" s="6" t="s">
        <v>399</v>
      </c>
      <c r="D91" s="589" t="s">
        <v>393</v>
      </c>
      <c r="E91" s="58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574" t="s">
        <v>416</v>
      </c>
      <c r="B92" s="366" t="s">
        <v>104</v>
      </c>
      <c r="C92" s="383"/>
      <c r="D92" s="427" t="s">
        <v>417</v>
      </c>
      <c r="E92" s="421"/>
      <c r="F92" s="369">
        <v>24.54</v>
      </c>
      <c r="G92" s="442">
        <v>1240</v>
      </c>
      <c r="H92" s="370">
        <f t="shared" ref="H92:H99" si="22">F92*G92</f>
        <v>30429.599999999999</v>
      </c>
      <c r="I92" s="444"/>
      <c r="J92" s="372">
        <v>3</v>
      </c>
      <c r="K92" s="373">
        <f>G92/P92*60</f>
        <v>2125.7142857142835</v>
      </c>
      <c r="L92" s="374">
        <f t="shared" ref="L92:L94" si="23">K92/J92</f>
        <v>708.57142857142787</v>
      </c>
      <c r="M92" s="375">
        <v>0.72222222222222221</v>
      </c>
      <c r="N92" s="375">
        <v>0.74652777777777779</v>
      </c>
      <c r="O92" s="365">
        <v>20</v>
      </c>
      <c r="P92" s="447">
        <f>(N92-M92)*24*60</f>
        <v>35.000000000000036</v>
      </c>
      <c r="Q92" s="377"/>
      <c r="R92" s="377"/>
    </row>
    <row r="93" spans="1:18">
      <c r="A93" s="575"/>
      <c r="B93" s="366" t="s">
        <v>104</v>
      </c>
      <c r="C93" s="383"/>
      <c r="D93" s="395" t="s">
        <v>418</v>
      </c>
      <c r="E93" s="415"/>
      <c r="F93" s="369">
        <v>23.27</v>
      </c>
      <c r="G93" s="378">
        <v>511</v>
      </c>
      <c r="H93" s="370">
        <f t="shared" si="22"/>
        <v>11890.97</v>
      </c>
      <c r="I93" s="444"/>
      <c r="J93" s="372">
        <v>4</v>
      </c>
      <c r="K93" s="373">
        <f t="shared" ref="K93:K94" si="24">G93/P93*60</f>
        <v>2043.9999999999852</v>
      </c>
      <c r="L93" s="374">
        <f t="shared" si="23"/>
        <v>510.99999999999631</v>
      </c>
      <c r="M93" s="375">
        <v>0.76041666666666663</v>
      </c>
      <c r="N93" s="375">
        <v>0.77083333333333337</v>
      </c>
      <c r="O93" s="365">
        <v>20</v>
      </c>
      <c r="P93" s="447">
        <f>(N93-M93)*24*60</f>
        <v>15.000000000000107</v>
      </c>
      <c r="Q93" s="377"/>
      <c r="R93" s="377"/>
    </row>
    <row r="94" spans="1:18">
      <c r="A94" s="575"/>
      <c r="B94" s="366" t="s">
        <v>104</v>
      </c>
      <c r="C94" s="383"/>
      <c r="D94" s="395" t="s">
        <v>419</v>
      </c>
      <c r="E94" s="415"/>
      <c r="F94" s="369">
        <v>24.33</v>
      </c>
      <c r="G94" s="378">
        <v>1214</v>
      </c>
      <c r="H94" s="370">
        <f t="shared" si="22"/>
        <v>29536.62</v>
      </c>
      <c r="I94" s="444"/>
      <c r="J94" s="372">
        <v>4</v>
      </c>
      <c r="K94" s="373">
        <f t="shared" si="24"/>
        <v>2428.0000000000086</v>
      </c>
      <c r="L94" s="374">
        <f t="shared" si="23"/>
        <v>607.00000000000216</v>
      </c>
      <c r="M94" s="375">
        <v>0.78472222222222221</v>
      </c>
      <c r="N94" s="375">
        <v>0.80555555555555547</v>
      </c>
      <c r="O94" s="365">
        <v>20</v>
      </c>
      <c r="P94" s="447">
        <f>(N94-M94)*24*60</f>
        <v>29.999999999999893</v>
      </c>
      <c r="Q94" s="377"/>
      <c r="R94" s="377"/>
    </row>
    <row r="95" spans="1:18">
      <c r="A95" s="57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44"/>
      <c r="J95" s="372"/>
      <c r="K95" s="373"/>
      <c r="L95" s="374"/>
      <c r="M95" s="375"/>
      <c r="N95" s="375"/>
      <c r="O95" s="365"/>
      <c r="P95" s="447"/>
      <c r="Q95" s="377"/>
      <c r="R95" s="377"/>
    </row>
    <row r="96" spans="1:18">
      <c r="A96" s="57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44"/>
      <c r="J96" s="372"/>
      <c r="K96" s="373"/>
      <c r="L96" s="374"/>
      <c r="M96" s="375"/>
      <c r="N96" s="375"/>
      <c r="O96" s="365"/>
      <c r="P96" s="447"/>
      <c r="Q96" s="377"/>
      <c r="R96" s="377"/>
    </row>
    <row r="97" spans="1:18">
      <c r="A97" s="57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44"/>
      <c r="J97" s="372"/>
      <c r="K97" s="373"/>
      <c r="L97" s="374"/>
      <c r="M97" s="375"/>
      <c r="N97" s="375"/>
      <c r="O97" s="365"/>
      <c r="P97" s="447"/>
      <c r="Q97" s="377"/>
      <c r="R97" s="377"/>
    </row>
    <row r="98" spans="1:18">
      <c r="A98" s="57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44"/>
      <c r="J98" s="372"/>
      <c r="K98" s="373"/>
      <c r="L98" s="374"/>
      <c r="M98" s="375"/>
      <c r="N98" s="375"/>
      <c r="O98" s="365"/>
      <c r="P98" s="447"/>
      <c r="Q98" s="377"/>
      <c r="R98" s="377"/>
    </row>
    <row r="99" spans="1:18">
      <c r="A99" s="57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44"/>
      <c r="J99" s="372"/>
      <c r="K99" s="373"/>
      <c r="L99" s="374"/>
      <c r="M99" s="375"/>
      <c r="N99" s="375"/>
      <c r="O99" s="365"/>
      <c r="P99" s="447"/>
      <c r="Q99" s="377"/>
      <c r="R99" s="377"/>
    </row>
    <row r="100" spans="1:18" ht="15.75" customHeight="1">
      <c r="A100" s="576"/>
      <c r="B100" s="366">
        <v>0</v>
      </c>
      <c r="C100" s="6" t="s">
        <v>420</v>
      </c>
      <c r="D100" s="577" t="s">
        <v>393</v>
      </c>
      <c r="E100" s="57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2199.2380952380922</v>
      </c>
      <c r="L100" s="389">
        <f>AVERAGE(L92:L99)</f>
        <v>608.85714285714209</v>
      </c>
      <c r="M100" s="375"/>
      <c r="N100" s="375"/>
      <c r="O100" s="373"/>
      <c r="P100" s="373"/>
      <c r="Q100" s="374"/>
      <c r="R100" s="374"/>
    </row>
    <row r="101" spans="1:18" ht="16.2" customHeight="1">
      <c r="A101" s="579" t="s">
        <v>421</v>
      </c>
      <c r="B101" s="366" t="s">
        <v>104</v>
      </c>
      <c r="C101" s="6"/>
      <c r="D101" s="415" t="s">
        <v>329</v>
      </c>
      <c r="E101" s="429"/>
      <c r="F101" s="369">
        <v>25.03</v>
      </c>
      <c r="G101" s="442">
        <v>724</v>
      </c>
      <c r="H101" s="370">
        <f t="shared" ref="H101:H110" si="25">F101*G101</f>
        <v>18121.72</v>
      </c>
      <c r="I101" s="444"/>
      <c r="J101" s="372">
        <v>4</v>
      </c>
      <c r="K101" s="373">
        <f>G101/P101*60</f>
        <v>2896.00000000001</v>
      </c>
      <c r="L101" s="374">
        <f t="shared" ref="L101:L107" si="26">K101/J101</f>
        <v>724.0000000000025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579"/>
      <c r="B102" s="366" t="s">
        <v>104</v>
      </c>
      <c r="C102" s="6"/>
      <c r="D102" s="400" t="s">
        <v>330</v>
      </c>
      <c r="E102" s="429"/>
      <c r="F102" s="369">
        <v>28.57</v>
      </c>
      <c r="G102" s="442">
        <v>3005</v>
      </c>
      <c r="H102" s="370">
        <f t="shared" si="25"/>
        <v>85852.85</v>
      </c>
      <c r="I102" s="444"/>
      <c r="J102" s="372">
        <v>3</v>
      </c>
      <c r="K102" s="373">
        <f t="shared" ref="K102:K107" si="28">G102/P102*60</f>
        <v>3004.9999999999945</v>
      </c>
      <c r="L102" s="374">
        <f t="shared" si="26"/>
        <v>1001.6666666666648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579"/>
      <c r="B103" s="366">
        <v>0</v>
      </c>
      <c r="C103" s="6"/>
      <c r="D103" s="395" t="s">
        <v>422</v>
      </c>
      <c r="E103" s="395"/>
      <c r="F103" s="369" t="s">
        <v>106</v>
      </c>
      <c r="G103" s="442">
        <v>282</v>
      </c>
      <c r="H103" s="370">
        <f t="shared" si="25"/>
        <v>0</v>
      </c>
      <c r="I103" s="444"/>
      <c r="J103" s="372">
        <v>5</v>
      </c>
      <c r="K103" s="373">
        <f t="shared" si="28"/>
        <v>1692.0000000000059</v>
      </c>
      <c r="L103" s="374">
        <f t="shared" si="26"/>
        <v>338.40000000000117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579"/>
      <c r="B104" s="366">
        <v>0</v>
      </c>
      <c r="C104" s="6"/>
      <c r="D104" s="395" t="s">
        <v>423</v>
      </c>
      <c r="E104" s="415"/>
      <c r="F104" s="369" t="s">
        <v>106</v>
      </c>
      <c r="G104" s="442">
        <v>448</v>
      </c>
      <c r="H104" s="370">
        <f t="shared" si="25"/>
        <v>0</v>
      </c>
      <c r="I104" s="444"/>
      <c r="J104" s="372">
        <v>5</v>
      </c>
      <c r="K104" s="373">
        <f t="shared" si="28"/>
        <v>2687.9999999999663</v>
      </c>
      <c r="L104" s="374">
        <f t="shared" si="26"/>
        <v>537.59999999999332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579"/>
      <c r="B105" s="366" t="s">
        <v>104</v>
      </c>
      <c r="C105" s="6"/>
      <c r="D105" s="395" t="s">
        <v>333</v>
      </c>
      <c r="E105" s="400"/>
      <c r="F105" s="369">
        <v>24.82</v>
      </c>
      <c r="G105" s="442">
        <v>1432</v>
      </c>
      <c r="H105" s="370">
        <f t="shared" si="25"/>
        <v>35542.239999999998</v>
      </c>
      <c r="I105" s="444"/>
      <c r="J105" s="372">
        <v>4</v>
      </c>
      <c r="K105" s="373">
        <f t="shared" si="28"/>
        <v>2863.999999999995</v>
      </c>
      <c r="L105" s="374">
        <f t="shared" si="26"/>
        <v>715.99999999999875</v>
      </c>
      <c r="M105" s="375">
        <v>0.89236111111111116</v>
      </c>
      <c r="N105" s="375">
        <v>0.91319444444444453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579"/>
      <c r="B106" s="366" t="s">
        <v>104</v>
      </c>
      <c r="C106" s="6"/>
      <c r="D106" s="395" t="s">
        <v>424</v>
      </c>
      <c r="E106" s="429"/>
      <c r="F106" s="369">
        <v>30</v>
      </c>
      <c r="G106" s="378">
        <v>1487</v>
      </c>
      <c r="H106" s="370">
        <f t="shared" si="25"/>
        <v>44610</v>
      </c>
      <c r="I106" s="444"/>
      <c r="J106" s="372">
        <v>3</v>
      </c>
      <c r="K106" s="373">
        <f t="shared" si="28"/>
        <v>2974.0000000000105</v>
      </c>
      <c r="L106" s="374">
        <f t="shared" si="26"/>
        <v>991.33333333333678</v>
      </c>
      <c r="M106" s="375">
        <v>0.92708333333333337</v>
      </c>
      <c r="N106" s="375">
        <v>0.94791666666666663</v>
      </c>
      <c r="O106" s="365">
        <v>20</v>
      </c>
      <c r="P106" s="373">
        <f>(N106-M106)*24*60</f>
        <v>29.999999999999893</v>
      </c>
      <c r="Q106" s="374"/>
      <c r="R106" s="377"/>
    </row>
    <row r="107" spans="1:18">
      <c r="A107" s="579"/>
      <c r="B107" s="366" t="s">
        <v>104</v>
      </c>
      <c r="C107" s="6"/>
      <c r="D107" s="395" t="s">
        <v>335</v>
      </c>
      <c r="E107" s="400"/>
      <c r="F107" s="369">
        <v>14.285714285714283</v>
      </c>
      <c r="G107" s="442">
        <v>8605</v>
      </c>
      <c r="H107" s="370">
        <f t="shared" si="25"/>
        <v>122928.57142857141</v>
      </c>
      <c r="I107" s="444"/>
      <c r="J107" s="372">
        <v>3</v>
      </c>
      <c r="K107" s="373">
        <f t="shared" si="28"/>
        <v>3037.0588235502096</v>
      </c>
      <c r="L107" s="374">
        <f t="shared" si="26"/>
        <v>1012.3529411834032</v>
      </c>
      <c r="M107" s="375">
        <v>46237.961805555555</v>
      </c>
      <c r="N107" s="375">
        <v>46238.079861111109</v>
      </c>
      <c r="O107" s="365">
        <v>20</v>
      </c>
      <c r="P107" s="373">
        <f>(N107-M107)*24*60</f>
        <v>169.99999999883585</v>
      </c>
      <c r="Q107" s="374"/>
      <c r="R107" s="377"/>
    </row>
    <row r="108" spans="1:18">
      <c r="A108" s="579"/>
      <c r="B108" s="366">
        <v>0</v>
      </c>
      <c r="C108" s="6"/>
      <c r="D108" s="395"/>
      <c r="E108" s="400"/>
      <c r="F108" s="369" t="s">
        <v>106</v>
      </c>
      <c r="G108" s="442"/>
      <c r="H108" s="370">
        <f t="shared" si="25"/>
        <v>0</v>
      </c>
      <c r="I108" s="44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579"/>
      <c r="B109" s="366">
        <v>0</v>
      </c>
      <c r="C109" s="383"/>
      <c r="D109" s="400"/>
      <c r="E109" s="400"/>
      <c r="F109" s="369" t="s">
        <v>106</v>
      </c>
      <c r="G109" s="442"/>
      <c r="H109" s="370">
        <f t="shared" si="25"/>
        <v>0</v>
      </c>
      <c r="I109" s="44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579"/>
      <c r="B110" s="366">
        <v>0</v>
      </c>
      <c r="C110" s="383"/>
      <c r="D110" s="395"/>
      <c r="E110" s="400"/>
      <c r="F110" s="369" t="s">
        <v>106</v>
      </c>
      <c r="G110" s="442"/>
      <c r="H110" s="370">
        <f t="shared" si="25"/>
        <v>0</v>
      </c>
      <c r="I110" s="44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579"/>
      <c r="B111" s="366">
        <v>0</v>
      </c>
      <c r="C111" s="6" t="s">
        <v>408</v>
      </c>
      <c r="D111" s="580" t="s">
        <v>393</v>
      </c>
      <c r="E111" s="58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2736.5798319357418</v>
      </c>
      <c r="L111" s="389">
        <f>AVERAGE(L101:L110)</f>
        <v>760.19327731191436</v>
      </c>
      <c r="M111" s="375"/>
      <c r="N111" s="375"/>
      <c r="O111" s="373"/>
      <c r="P111" s="373"/>
      <c r="Q111" s="374"/>
      <c r="R111" s="365"/>
    </row>
    <row r="112" spans="1:18" ht="16.2" customHeight="1">
      <c r="A112" s="58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442">
        <v>1080</v>
      </c>
      <c r="H112" s="422">
        <f t="shared" si="13"/>
        <v>18036</v>
      </c>
      <c r="I112" s="444"/>
      <c r="J112" s="372">
        <v>3</v>
      </c>
      <c r="K112" s="373">
        <f t="shared" ref="K112:K118" si="29">G112/P112*60</f>
        <v>3239.9999999999854</v>
      </c>
      <c r="L112" s="374">
        <f t="shared" ref="L112:L118" si="30">K112/J112</f>
        <v>1079.9999999999952</v>
      </c>
      <c r="M112" s="375">
        <v>0.72222222222222221</v>
      </c>
      <c r="N112" s="375">
        <v>0.73611111111111116</v>
      </c>
      <c r="O112" s="365">
        <v>20</v>
      </c>
      <c r="P112" s="447">
        <f t="shared" ref="P112:P118" si="31">(N112-M112)*24*60</f>
        <v>20.000000000000089</v>
      </c>
      <c r="Q112" s="365"/>
      <c r="R112" s="365"/>
    </row>
    <row r="113" spans="1:18">
      <c r="A113" s="582"/>
      <c r="B113" s="366" t="s">
        <v>104</v>
      </c>
      <c r="C113" s="393"/>
      <c r="D113" s="448" t="s">
        <v>339</v>
      </c>
      <c r="E113" s="448"/>
      <c r="F113" s="369">
        <v>18.18</v>
      </c>
      <c r="G113" s="442">
        <v>1028</v>
      </c>
      <c r="H113" s="422">
        <f t="shared" si="13"/>
        <v>18689.04</v>
      </c>
      <c r="I113" s="444"/>
      <c r="J113" s="372">
        <v>4</v>
      </c>
      <c r="K113" s="373">
        <f t="shared" si="29"/>
        <v>2467.199999999993</v>
      </c>
      <c r="L113" s="374">
        <f t="shared" si="30"/>
        <v>616.79999999999825</v>
      </c>
      <c r="M113" s="375">
        <v>0.75</v>
      </c>
      <c r="N113" s="375">
        <v>0.76736111111111116</v>
      </c>
      <c r="O113" s="365">
        <v>20</v>
      </c>
      <c r="P113" s="447">
        <f t="shared" si="31"/>
        <v>25.000000000000071</v>
      </c>
      <c r="Q113" s="377"/>
      <c r="R113" s="377"/>
    </row>
    <row r="114" spans="1:18">
      <c r="A114" s="582"/>
      <c r="B114" s="366" t="s">
        <v>104</v>
      </c>
      <c r="C114" s="393"/>
      <c r="D114" s="448" t="s">
        <v>426</v>
      </c>
      <c r="E114" s="395"/>
      <c r="F114" s="369">
        <v>18.18</v>
      </c>
      <c r="G114" s="442">
        <v>1109</v>
      </c>
      <c r="H114" s="422">
        <f t="shared" si="13"/>
        <v>20161.62</v>
      </c>
      <c r="I114" s="444"/>
      <c r="J114" s="372">
        <v>3</v>
      </c>
      <c r="K114" s="373">
        <f t="shared" si="29"/>
        <v>3327.0000000000118</v>
      </c>
      <c r="L114" s="374">
        <f t="shared" si="30"/>
        <v>1109.0000000000039</v>
      </c>
      <c r="M114" s="375">
        <v>0.78125</v>
      </c>
      <c r="N114" s="375">
        <v>0.79513888888888884</v>
      </c>
      <c r="O114" s="365">
        <v>20</v>
      </c>
      <c r="P114" s="447">
        <f t="shared" si="31"/>
        <v>19.999999999999929</v>
      </c>
      <c r="Q114" s="377"/>
      <c r="R114" s="377"/>
    </row>
    <row r="115" spans="1:18">
      <c r="A115" s="582"/>
      <c r="B115" s="366" t="s">
        <v>104</v>
      </c>
      <c r="C115" s="393"/>
      <c r="D115" s="395" t="s">
        <v>341</v>
      </c>
      <c r="E115" s="415"/>
      <c r="F115" s="369">
        <v>16.66</v>
      </c>
      <c r="G115" s="442">
        <v>5632</v>
      </c>
      <c r="H115" s="422">
        <f t="shared" si="13"/>
        <v>93829.119999999995</v>
      </c>
      <c r="I115" s="444"/>
      <c r="J115" s="372">
        <v>4</v>
      </c>
      <c r="K115" s="373">
        <f t="shared" si="29"/>
        <v>3072.0000000000018</v>
      </c>
      <c r="L115" s="374">
        <f t="shared" si="30"/>
        <v>768.00000000000045</v>
      </c>
      <c r="M115" s="375">
        <v>0.80902777777777779</v>
      </c>
      <c r="N115" s="375">
        <v>0.88541666666666663</v>
      </c>
      <c r="O115" s="365">
        <v>20</v>
      </c>
      <c r="P115" s="447">
        <f t="shared" si="31"/>
        <v>109.99999999999993</v>
      </c>
      <c r="Q115" s="377"/>
      <c r="R115" s="377"/>
    </row>
    <row r="116" spans="1:18">
      <c r="A116" s="58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42">
        <v>968</v>
      </c>
      <c r="H116" s="422">
        <f t="shared" si="13"/>
        <v>21568.799999999999</v>
      </c>
      <c r="I116" s="444"/>
      <c r="J116" s="372">
        <v>4</v>
      </c>
      <c r="K116" s="373">
        <f t="shared" si="29"/>
        <v>2904.00000000001</v>
      </c>
      <c r="L116" s="374">
        <f t="shared" si="30"/>
        <v>726.0000000000025</v>
      </c>
      <c r="M116" s="375">
        <v>0.90625</v>
      </c>
      <c r="N116" s="424">
        <v>0.92013888888888884</v>
      </c>
      <c r="O116" s="365">
        <v>20</v>
      </c>
      <c r="P116" s="44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58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42">
        <v>3818</v>
      </c>
      <c r="H117" s="422">
        <f t="shared" ref="H117:H123" si="32">F117*G117</f>
        <v>68307.490909090906</v>
      </c>
      <c r="I117" s="444"/>
      <c r="J117" s="372">
        <v>3</v>
      </c>
      <c r="K117" s="373">
        <f t="shared" si="29"/>
        <v>3054.3999998577683</v>
      </c>
      <c r="L117" s="374">
        <f t="shared" si="30"/>
        <v>1018.1333332859227</v>
      </c>
      <c r="M117" s="375">
        <v>46237.975694444445</v>
      </c>
      <c r="N117" s="375">
        <v>46238.027777777781</v>
      </c>
      <c r="O117" s="373">
        <v>20</v>
      </c>
      <c r="P117" s="447">
        <f t="shared" si="31"/>
        <v>75.00000000349246</v>
      </c>
      <c r="Q117" s="377"/>
      <c r="R117" s="377"/>
    </row>
    <row r="118" spans="1:18">
      <c r="A118" s="582"/>
      <c r="B118" s="366" t="s">
        <v>104</v>
      </c>
      <c r="C118" s="393"/>
      <c r="D118" s="395" t="s">
        <v>427</v>
      </c>
      <c r="E118" s="412"/>
      <c r="F118" s="369">
        <v>14.03</v>
      </c>
      <c r="G118" s="442">
        <v>6428</v>
      </c>
      <c r="H118" s="422">
        <f t="shared" si="32"/>
        <v>90184.84</v>
      </c>
      <c r="I118" s="444"/>
      <c r="J118" s="372">
        <v>3</v>
      </c>
      <c r="K118" s="373">
        <f t="shared" si="29"/>
        <v>3085.4399999999991</v>
      </c>
      <c r="L118" s="374">
        <f t="shared" si="30"/>
        <v>1028.4799999999998</v>
      </c>
      <c r="M118" s="375">
        <v>4.1666666666666664E-2</v>
      </c>
      <c r="N118" s="375">
        <v>0.12847222222222224</v>
      </c>
      <c r="O118" s="373">
        <v>20</v>
      </c>
      <c r="P118" s="447">
        <f t="shared" si="31"/>
        <v>125.00000000000003</v>
      </c>
      <c r="Q118" s="377"/>
      <c r="R118" s="377"/>
    </row>
    <row r="119" spans="1:18">
      <c r="A119" s="582"/>
      <c r="B119" s="366">
        <v>0</v>
      </c>
      <c r="C119" s="393"/>
      <c r="D119" s="400"/>
      <c r="E119" s="412"/>
      <c r="F119" s="369" t="s">
        <v>106</v>
      </c>
      <c r="G119" s="442"/>
      <c r="H119" s="422">
        <f t="shared" si="32"/>
        <v>0</v>
      </c>
      <c r="I119" s="444"/>
      <c r="J119" s="372"/>
      <c r="K119" s="373"/>
      <c r="L119" s="374"/>
      <c r="M119" s="375"/>
      <c r="N119" s="375"/>
      <c r="O119" s="365"/>
      <c r="P119" s="447"/>
      <c r="Q119" s="377"/>
      <c r="R119" s="377"/>
    </row>
    <row r="120" spans="1:18">
      <c r="A120" s="582"/>
      <c r="B120" s="366">
        <v>0</v>
      </c>
      <c r="C120" s="393"/>
      <c r="D120" s="400"/>
      <c r="E120" s="412"/>
      <c r="F120" s="369" t="s">
        <v>106</v>
      </c>
      <c r="G120" s="442"/>
      <c r="H120" s="422">
        <f t="shared" si="32"/>
        <v>0</v>
      </c>
      <c r="I120" s="444"/>
      <c r="J120" s="372"/>
      <c r="K120" s="373"/>
      <c r="L120" s="374"/>
      <c r="M120" s="375"/>
      <c r="N120" s="375"/>
      <c r="O120" s="365"/>
      <c r="P120" s="447"/>
      <c r="Q120" s="377"/>
      <c r="R120" s="377"/>
    </row>
    <row r="121" spans="1:18">
      <c r="A121" s="582"/>
      <c r="B121" s="366">
        <v>0</v>
      </c>
      <c r="C121" s="393"/>
      <c r="D121" s="400"/>
      <c r="E121" s="412"/>
      <c r="F121" s="369" t="s">
        <v>106</v>
      </c>
      <c r="G121" s="442"/>
      <c r="H121" s="422">
        <f t="shared" si="32"/>
        <v>0</v>
      </c>
      <c r="I121" s="444"/>
      <c r="J121" s="372"/>
      <c r="K121" s="373"/>
      <c r="L121" s="374"/>
      <c r="M121" s="375"/>
      <c r="N121" s="375"/>
      <c r="O121" s="365"/>
      <c r="P121" s="447"/>
      <c r="Q121" s="377"/>
      <c r="R121" s="377"/>
    </row>
    <row r="122" spans="1:18" ht="15.6" customHeight="1">
      <c r="A122" s="582"/>
      <c r="B122" s="366">
        <v>0</v>
      </c>
      <c r="C122" s="393"/>
      <c r="D122" s="400"/>
      <c r="E122" s="412"/>
      <c r="F122" s="369" t="s">
        <v>106</v>
      </c>
      <c r="G122" s="442"/>
      <c r="H122" s="422">
        <f t="shared" si="32"/>
        <v>0</v>
      </c>
      <c r="I122" s="444"/>
      <c r="J122" s="372"/>
      <c r="K122" s="373"/>
      <c r="L122" s="374"/>
      <c r="M122" s="375"/>
      <c r="N122" s="375"/>
      <c r="O122" s="365"/>
      <c r="P122" s="447"/>
      <c r="Q122" s="377"/>
      <c r="R122" s="377"/>
    </row>
    <row r="123" spans="1:18">
      <c r="A123" s="582"/>
      <c r="B123" s="366">
        <v>0</v>
      </c>
      <c r="C123" s="393"/>
      <c r="D123" s="400"/>
      <c r="E123" s="412"/>
      <c r="F123" s="369" t="s">
        <v>106</v>
      </c>
      <c r="G123" s="442"/>
      <c r="H123" s="422">
        <f t="shared" si="32"/>
        <v>0</v>
      </c>
      <c r="I123" s="444"/>
      <c r="J123" s="372"/>
      <c r="K123" s="373"/>
      <c r="L123" s="374"/>
      <c r="M123" s="375"/>
      <c r="N123" s="375"/>
      <c r="O123" s="365"/>
      <c r="P123" s="447"/>
      <c r="Q123" s="377"/>
      <c r="R123" s="377"/>
    </row>
    <row r="124" spans="1:18" ht="17.399999999999999" customHeight="1">
      <c r="A124" s="582"/>
      <c r="B124" s="383">
        <v>0</v>
      </c>
      <c r="C124" s="6" t="s">
        <v>414</v>
      </c>
      <c r="D124" s="583" t="s">
        <v>393</v>
      </c>
      <c r="E124" s="58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3021.4342856939666</v>
      </c>
      <c r="L124" s="389">
        <f>AVERAGE(L112:L123)</f>
        <v>906.63047618370331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L8" sqref="K8:L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428</v>
      </c>
      <c r="B1" s="28"/>
      <c r="C1" s="28"/>
      <c r="D1" s="465" t="s">
        <v>429</v>
      </c>
      <c r="E1" s="29">
        <f>SUM(G5:G173)</f>
        <v>181777.7</v>
      </c>
      <c r="F1" s="451" t="s">
        <v>3</v>
      </c>
      <c r="G1" s="30">
        <f>SUM(H5:H173)</f>
        <v>7427623.2950289473</v>
      </c>
      <c r="H1" s="466" t="s">
        <v>37</v>
      </c>
      <c r="I1" s="31">
        <f>M17+M30+M43+M56+M69+M82+M95+M108+M121+M134+M147+M160+M173</f>
        <v>194.38968253968252</v>
      </c>
      <c r="J1" s="635" t="s">
        <v>38</v>
      </c>
      <c r="K1" s="635"/>
      <c r="L1" s="635"/>
      <c r="M1" s="635" t="s">
        <v>39</v>
      </c>
      <c r="N1" s="635"/>
      <c r="O1" s="635"/>
      <c r="P1" s="635" t="s">
        <v>430</v>
      </c>
      <c r="Q1" s="635"/>
      <c r="R1" s="635"/>
      <c r="S1" s="635"/>
      <c r="T1" s="635" t="s">
        <v>431</v>
      </c>
      <c r="U1" s="635"/>
      <c r="V1" s="635"/>
      <c r="W1" s="635"/>
      <c r="X1" s="635"/>
      <c r="Y1" s="635"/>
      <c r="Z1" s="32" t="s">
        <v>432</v>
      </c>
      <c r="AA1" s="32" t="s">
        <v>433</v>
      </c>
      <c r="AB1" s="651" t="s">
        <v>434</v>
      </c>
      <c r="AC1" s="652"/>
      <c r="AD1" s="32" t="s">
        <v>432</v>
      </c>
      <c r="AE1" s="32" t="s">
        <v>435</v>
      </c>
      <c r="AF1" s="635" t="s">
        <v>436</v>
      </c>
      <c r="AG1" s="636"/>
      <c r="AH1" s="636"/>
    </row>
    <row r="2" spans="1:34" ht="26.25" customHeight="1">
      <c r="A2" s="643" t="s">
        <v>437</v>
      </c>
      <c r="B2" s="643"/>
      <c r="C2" s="465"/>
      <c r="D2" s="465" t="s">
        <v>438</v>
      </c>
      <c r="E2" s="34">
        <f>AVERAGE(O17,O30,O43,O56,O69,O82,O95,O108,O121,O134,O147,O160,O173)</f>
        <v>127.09116617799772</v>
      </c>
      <c r="F2" s="35" t="s">
        <v>40</v>
      </c>
      <c r="G2" s="36">
        <f>G1/E1</f>
        <v>40.861025830060271</v>
      </c>
      <c r="H2" s="466" t="s">
        <v>41</v>
      </c>
      <c r="I2" s="466">
        <f>COUNT(I5:I173)</f>
        <v>15</v>
      </c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3"/>
      <c r="AC2" s="654"/>
      <c r="AD2" s="38">
        <f>AD17+AD30+AD43+AD56+AD69+AD82+AD95+AD108+AD121+AD134+AD147+AD160+AD173</f>
        <v>11</v>
      </c>
      <c r="AE2" s="38">
        <f>AE17+AE30+AE43+AE56+AE69+AE82+AE95+AE108+AE121+AE134+AE147+AE160+AE173</f>
        <v>8</v>
      </c>
      <c r="AF2" s="636"/>
      <c r="AG2" s="636"/>
      <c r="AH2" s="636"/>
    </row>
    <row r="3" spans="1:34" ht="30.6" customHeight="1">
      <c r="A3" s="644" t="s">
        <v>439</v>
      </c>
      <c r="B3" s="644" t="s">
        <v>42</v>
      </c>
      <c r="C3" s="645"/>
      <c r="D3" s="644" t="s">
        <v>440</v>
      </c>
      <c r="E3" s="644"/>
      <c r="F3" s="645" t="s">
        <v>43</v>
      </c>
      <c r="G3" s="660" t="s">
        <v>44</v>
      </c>
      <c r="H3" s="645" t="s">
        <v>45</v>
      </c>
      <c r="I3" s="637" t="s">
        <v>441</v>
      </c>
      <c r="J3" s="638" t="s">
        <v>46</v>
      </c>
      <c r="K3" s="639" t="s">
        <v>47</v>
      </c>
      <c r="L3" s="640" t="s">
        <v>35</v>
      </c>
      <c r="M3" s="660" t="s">
        <v>46</v>
      </c>
      <c r="N3" s="639" t="s">
        <v>442</v>
      </c>
      <c r="O3" s="640" t="s">
        <v>438</v>
      </c>
      <c r="P3" s="638" t="s">
        <v>443</v>
      </c>
      <c r="Q3" s="640" t="s">
        <v>438</v>
      </c>
      <c r="R3" s="641" t="s">
        <v>444</v>
      </c>
      <c r="S3" s="642" t="s">
        <v>445</v>
      </c>
      <c r="T3" s="660" t="s">
        <v>48</v>
      </c>
      <c r="U3" s="660"/>
      <c r="V3" s="661" t="s">
        <v>49</v>
      </c>
      <c r="W3" s="637" t="s">
        <v>386</v>
      </c>
      <c r="X3" s="660" t="s">
        <v>387</v>
      </c>
      <c r="Y3" s="660"/>
      <c r="Z3" s="662" t="s">
        <v>446</v>
      </c>
      <c r="AA3" s="663"/>
      <c r="AB3" s="647" t="s">
        <v>447</v>
      </c>
      <c r="AC3" s="648"/>
      <c r="AD3" s="649" t="s">
        <v>448</v>
      </c>
      <c r="AE3" s="650"/>
      <c r="AF3" s="639" t="s">
        <v>385</v>
      </c>
      <c r="AG3" s="641" t="s">
        <v>449</v>
      </c>
      <c r="AH3" s="642" t="s">
        <v>450</v>
      </c>
    </row>
    <row r="4" spans="1:34" ht="30.6" customHeight="1">
      <c r="A4" s="645"/>
      <c r="B4" s="644"/>
      <c r="C4" s="646"/>
      <c r="D4" s="644"/>
      <c r="E4" s="644"/>
      <c r="F4" s="646"/>
      <c r="G4" s="660"/>
      <c r="H4" s="646"/>
      <c r="I4" s="637"/>
      <c r="J4" s="638"/>
      <c r="K4" s="639"/>
      <c r="L4" s="640"/>
      <c r="M4" s="660"/>
      <c r="N4" s="639"/>
      <c r="O4" s="640"/>
      <c r="P4" s="638"/>
      <c r="Q4" s="640"/>
      <c r="R4" s="641"/>
      <c r="S4" s="642"/>
      <c r="T4" s="460" t="s">
        <v>50</v>
      </c>
      <c r="U4" s="460" t="s">
        <v>51</v>
      </c>
      <c r="V4" s="660"/>
      <c r="W4" s="637"/>
      <c r="X4" s="451" t="s">
        <v>388</v>
      </c>
      <c r="Y4" s="451" t="s">
        <v>36</v>
      </c>
      <c r="Z4" s="460" t="s">
        <v>451</v>
      </c>
      <c r="AA4" s="460" t="s">
        <v>452</v>
      </c>
      <c r="AB4" s="648"/>
      <c r="AC4" s="648"/>
      <c r="AD4" s="460" t="s">
        <v>453</v>
      </c>
      <c r="AE4" s="39" t="s">
        <v>454</v>
      </c>
      <c r="AF4" s="639"/>
      <c r="AG4" s="641"/>
      <c r="AH4" s="642"/>
    </row>
    <row r="5" spans="1:34" ht="18.75" customHeight="1">
      <c r="A5" s="655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6116</v>
      </c>
      <c r="H5" s="45">
        <f t="shared" ref="H5:H16" si="0">F5*G5</f>
        <v>231368.28</v>
      </c>
      <c r="I5" s="461"/>
      <c r="J5" s="46">
        <v>20</v>
      </c>
      <c r="K5" s="44">
        <v>2400</v>
      </c>
      <c r="L5" s="47">
        <v>120</v>
      </c>
      <c r="M5" s="462">
        <v>20</v>
      </c>
      <c r="N5" s="44">
        <f t="shared" ref="N5:N10" si="1">G5/W5*60</f>
        <v>2367.483870967742</v>
      </c>
      <c r="O5" s="47">
        <f t="shared" ref="O5:O10" si="2">N5/M5</f>
        <v>118.3741935483871</v>
      </c>
      <c r="P5" s="48">
        <f t="shared" ref="P5:P10" si="3">M5-J5</f>
        <v>0</v>
      </c>
      <c r="Q5" s="49">
        <f t="shared" ref="Q5:Q10" si="4">O5-L5</f>
        <v>-1.6258064516129025</v>
      </c>
      <c r="R5" s="453">
        <f t="shared" ref="R5:R10" si="5">O5/L5</f>
        <v>0.98645161290322581</v>
      </c>
      <c r="S5" s="658">
        <f>R17</f>
        <v>0.92900588690678632</v>
      </c>
      <c r="T5" s="89">
        <v>0.25</v>
      </c>
      <c r="U5" s="89">
        <v>0.3576388888888889</v>
      </c>
      <c r="V5" s="451">
        <v>5</v>
      </c>
      <c r="W5" s="461">
        <f>(U5-T5)*24*60</f>
        <v>155</v>
      </c>
      <c r="X5" s="451"/>
      <c r="Y5" s="451"/>
      <c r="Z5" s="51"/>
      <c r="AA5" s="51"/>
      <c r="AB5" s="644"/>
      <c r="AC5" s="644"/>
      <c r="AD5" s="52"/>
      <c r="AE5" s="52"/>
      <c r="AF5" s="48">
        <f t="shared" ref="AF5:AF70" si="6">N5-K5</f>
        <v>-32.51612903225805</v>
      </c>
      <c r="AG5" s="453">
        <f t="shared" ref="AG5:AG70" si="7">N5/K5</f>
        <v>0.98645161290322581</v>
      </c>
      <c r="AH5" s="658">
        <f>AG17</f>
        <v>0.92957234278649226</v>
      </c>
    </row>
    <row r="6" spans="1:34" ht="19.2" customHeight="1">
      <c r="A6" s="656"/>
      <c r="B6" s="40" t="s">
        <v>100</v>
      </c>
      <c r="C6" s="41"/>
      <c r="D6" s="42" t="s">
        <v>173</v>
      </c>
      <c r="E6" s="43"/>
      <c r="F6" s="273">
        <v>46.93</v>
      </c>
      <c r="G6" s="44">
        <v>2163</v>
      </c>
      <c r="H6" s="45">
        <f t="shared" si="0"/>
        <v>101509.59</v>
      </c>
      <c r="I6" s="461"/>
      <c r="J6" s="46">
        <v>21</v>
      </c>
      <c r="K6" s="44">
        <v>2400</v>
      </c>
      <c r="L6" s="47">
        <v>114.28571428571429</v>
      </c>
      <c r="M6" s="462">
        <v>21</v>
      </c>
      <c r="N6" s="44">
        <f t="shared" si="1"/>
        <v>2199.6610169491514</v>
      </c>
      <c r="O6" s="47">
        <f t="shared" si="2"/>
        <v>104.74576271186436</v>
      </c>
      <c r="P6" s="48">
        <f t="shared" si="3"/>
        <v>0</v>
      </c>
      <c r="Q6" s="49">
        <f t="shared" si="4"/>
        <v>-9.5399515738499332</v>
      </c>
      <c r="R6" s="453">
        <f t="shared" si="5"/>
        <v>0.91652542372881307</v>
      </c>
      <c r="S6" s="658"/>
      <c r="T6" s="89">
        <v>0.37361111111111112</v>
      </c>
      <c r="U6" s="89">
        <v>0.41458333333333336</v>
      </c>
      <c r="V6" s="451">
        <v>23</v>
      </c>
      <c r="W6" s="461">
        <f t="shared" ref="W6:W17" si="8">(U6-T6)*24*60</f>
        <v>59.000000000000028</v>
      </c>
      <c r="X6" s="53">
        <v>0.36249999999999999</v>
      </c>
      <c r="Y6" s="53">
        <v>0.37222222222222223</v>
      </c>
      <c r="Z6" s="54"/>
      <c r="AA6" s="54"/>
      <c r="AB6" s="644"/>
      <c r="AC6" s="644"/>
      <c r="AD6" s="449">
        <v>1</v>
      </c>
      <c r="AE6" s="449"/>
      <c r="AF6" s="48">
        <f t="shared" si="6"/>
        <v>-200.33898305084858</v>
      </c>
      <c r="AG6" s="453">
        <f t="shared" si="7"/>
        <v>0.91652542372881307</v>
      </c>
      <c r="AH6" s="658"/>
    </row>
    <row r="7" spans="1:34" ht="19.2" customHeight="1">
      <c r="A7" s="656"/>
      <c r="B7" s="40" t="s">
        <v>100</v>
      </c>
      <c r="C7" s="41"/>
      <c r="D7" s="42" t="s">
        <v>153</v>
      </c>
      <c r="E7" s="43"/>
      <c r="F7" s="273">
        <v>28.86</v>
      </c>
      <c r="G7" s="44">
        <v>1616</v>
      </c>
      <c r="H7" s="45">
        <f t="shared" si="0"/>
        <v>46637.760000000002</v>
      </c>
      <c r="I7" s="461"/>
      <c r="J7" s="46">
        <v>17</v>
      </c>
      <c r="K7" s="44">
        <v>2571</v>
      </c>
      <c r="L7" s="47">
        <v>151.23529411764707</v>
      </c>
      <c r="M7" s="462">
        <v>17</v>
      </c>
      <c r="N7" s="44">
        <f t="shared" si="1"/>
        <v>2364.878048780487</v>
      </c>
      <c r="O7" s="47">
        <f t="shared" si="2"/>
        <v>139.11047345767571</v>
      </c>
      <c r="P7" s="48">
        <f t="shared" si="3"/>
        <v>0</v>
      </c>
      <c r="Q7" s="49">
        <f t="shared" si="4"/>
        <v>-12.124820659971363</v>
      </c>
      <c r="R7" s="453">
        <f t="shared" si="5"/>
        <v>0.91982810143153904</v>
      </c>
      <c r="S7" s="658"/>
      <c r="T7" s="89">
        <v>0.41944444444444445</v>
      </c>
      <c r="U7" s="89">
        <v>0.44791666666666669</v>
      </c>
      <c r="V7" s="451">
        <v>7</v>
      </c>
      <c r="W7" s="461">
        <f t="shared" si="8"/>
        <v>41.000000000000014</v>
      </c>
      <c r="X7" s="53"/>
      <c r="Y7" s="53"/>
      <c r="Z7" s="54"/>
      <c r="AA7" s="54"/>
      <c r="AB7" s="644"/>
      <c r="AC7" s="644"/>
      <c r="AD7" s="449"/>
      <c r="AE7" s="449"/>
      <c r="AF7" s="48">
        <f t="shared" si="6"/>
        <v>-206.12195121951299</v>
      </c>
      <c r="AG7" s="453">
        <f t="shared" si="7"/>
        <v>0.91982810143153915</v>
      </c>
      <c r="AH7" s="658"/>
    </row>
    <row r="8" spans="1:34" ht="19.2" customHeight="1">
      <c r="A8" s="656"/>
      <c r="B8" s="40" t="s">
        <v>100</v>
      </c>
      <c r="C8" s="41"/>
      <c r="D8" s="42" t="s">
        <v>167</v>
      </c>
      <c r="E8" s="43"/>
      <c r="F8" s="273">
        <v>35.89</v>
      </c>
      <c r="G8" s="44">
        <v>2232</v>
      </c>
      <c r="H8" s="45">
        <f t="shared" si="0"/>
        <v>80106.48</v>
      </c>
      <c r="I8" s="461"/>
      <c r="J8" s="46">
        <v>18</v>
      </c>
      <c r="K8" s="44">
        <v>2571</v>
      </c>
      <c r="L8" s="47">
        <v>142.83333333333334</v>
      </c>
      <c r="M8" s="462">
        <v>18</v>
      </c>
      <c r="N8" s="44">
        <f t="shared" si="1"/>
        <v>2391.4285714285697</v>
      </c>
      <c r="O8" s="47">
        <f t="shared" si="2"/>
        <v>132.85714285714278</v>
      </c>
      <c r="P8" s="48">
        <f t="shared" si="3"/>
        <v>0</v>
      </c>
      <c r="Q8" s="49">
        <f t="shared" si="4"/>
        <v>-9.9761904761905669</v>
      </c>
      <c r="R8" s="453">
        <f t="shared" si="5"/>
        <v>0.93015502583763898</v>
      </c>
      <c r="S8" s="658"/>
      <c r="T8" s="89">
        <v>0.45208333333333334</v>
      </c>
      <c r="U8" s="89">
        <v>0.49097222222222225</v>
      </c>
      <c r="V8" s="451">
        <v>6</v>
      </c>
      <c r="W8" s="461">
        <f t="shared" si="8"/>
        <v>56.000000000000043</v>
      </c>
      <c r="X8" s="53"/>
      <c r="Y8" s="53"/>
      <c r="Z8" s="54"/>
      <c r="AA8" s="54"/>
      <c r="AB8" s="644"/>
      <c r="AC8" s="644"/>
      <c r="AD8" s="449"/>
      <c r="AE8" s="449"/>
      <c r="AF8" s="48">
        <f t="shared" si="6"/>
        <v>-179.57142857143026</v>
      </c>
      <c r="AG8" s="453">
        <f t="shared" si="7"/>
        <v>0.93015502583763898</v>
      </c>
      <c r="AH8" s="658"/>
    </row>
    <row r="9" spans="1:34" ht="19.2" customHeight="1">
      <c r="A9" s="656"/>
      <c r="B9" s="40" t="s">
        <v>100</v>
      </c>
      <c r="C9" s="55"/>
      <c r="D9" s="42" t="s">
        <v>53</v>
      </c>
      <c r="E9" s="56"/>
      <c r="F9" s="273">
        <v>31.11</v>
      </c>
      <c r="G9" s="57">
        <v>2830</v>
      </c>
      <c r="H9" s="45">
        <f t="shared" si="0"/>
        <v>88041.3</v>
      </c>
      <c r="I9" s="449"/>
      <c r="J9" s="46">
        <v>18</v>
      </c>
      <c r="K9" s="44">
        <v>2769</v>
      </c>
      <c r="L9" s="47">
        <v>153.83333333333334</v>
      </c>
      <c r="M9" s="462">
        <v>18</v>
      </c>
      <c r="N9" s="44">
        <f t="shared" si="1"/>
        <v>2534.3283582089521</v>
      </c>
      <c r="O9" s="47">
        <f t="shared" si="2"/>
        <v>140.79601990049733</v>
      </c>
      <c r="P9" s="48">
        <f t="shared" si="3"/>
        <v>0</v>
      </c>
      <c r="Q9" s="49">
        <f t="shared" si="4"/>
        <v>-13.037313432836015</v>
      </c>
      <c r="R9" s="453">
        <f t="shared" si="5"/>
        <v>0.91525040021991755</v>
      </c>
      <c r="S9" s="658"/>
      <c r="T9" s="89">
        <v>0.53055555555555556</v>
      </c>
      <c r="U9" s="89">
        <v>0.57708333333333339</v>
      </c>
      <c r="V9" s="451">
        <v>4</v>
      </c>
      <c r="W9" s="461">
        <f t="shared" si="8"/>
        <v>67.000000000000085</v>
      </c>
      <c r="X9" s="53"/>
      <c r="Y9" s="53"/>
      <c r="Z9" s="54"/>
      <c r="AA9" s="54"/>
      <c r="AB9" s="644"/>
      <c r="AC9" s="644"/>
      <c r="AD9" s="449"/>
      <c r="AE9" s="449"/>
      <c r="AF9" s="48">
        <f t="shared" si="6"/>
        <v>-234.67164179104793</v>
      </c>
      <c r="AG9" s="453">
        <f t="shared" si="7"/>
        <v>0.91525040021991766</v>
      </c>
      <c r="AH9" s="658"/>
    </row>
    <row r="10" spans="1:34" ht="19.2" customHeight="1">
      <c r="A10" s="657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3798</v>
      </c>
      <c r="H10" s="45">
        <f t="shared" si="0"/>
        <v>146147.03999999998</v>
      </c>
      <c r="I10" s="461"/>
      <c r="J10" s="46">
        <v>19</v>
      </c>
      <c r="K10" s="44">
        <v>2769</v>
      </c>
      <c r="L10" s="47">
        <v>145.73684210526315</v>
      </c>
      <c r="M10" s="462">
        <v>19</v>
      </c>
      <c r="N10" s="44">
        <f t="shared" si="1"/>
        <v>2532</v>
      </c>
      <c r="O10" s="47">
        <f t="shared" si="2"/>
        <v>133.26315789473685</v>
      </c>
      <c r="P10" s="48">
        <f t="shared" si="3"/>
        <v>0</v>
      </c>
      <c r="Q10" s="49">
        <f t="shared" si="4"/>
        <v>-12.473684210526301</v>
      </c>
      <c r="R10" s="453">
        <f t="shared" si="5"/>
        <v>0.91440953412784409</v>
      </c>
      <c r="S10" s="659"/>
      <c r="T10" s="89">
        <v>0.58194444444444449</v>
      </c>
      <c r="U10" s="89">
        <v>0.64444444444444449</v>
      </c>
      <c r="V10" s="451">
        <v>7</v>
      </c>
      <c r="W10" s="461">
        <f t="shared" si="8"/>
        <v>90</v>
      </c>
      <c r="X10" s="53"/>
      <c r="Y10" s="53"/>
      <c r="Z10" s="54"/>
      <c r="AA10" s="54"/>
      <c r="AB10" s="644"/>
      <c r="AC10" s="644"/>
      <c r="AD10" s="449"/>
      <c r="AE10" s="449"/>
      <c r="AF10" s="48">
        <f t="shared" si="6"/>
        <v>-237</v>
      </c>
      <c r="AG10" s="453">
        <f t="shared" si="7"/>
        <v>0.91440953412784398</v>
      </c>
      <c r="AH10" s="659"/>
    </row>
    <row r="11" spans="1:34" ht="19.2" customHeight="1">
      <c r="A11" s="657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461"/>
      <c r="J11" s="46"/>
      <c r="K11" s="44"/>
      <c r="L11" s="47"/>
      <c r="M11" s="462"/>
      <c r="N11" s="44"/>
      <c r="O11" s="47"/>
      <c r="P11" s="48"/>
      <c r="Q11" s="49"/>
      <c r="R11" s="453"/>
      <c r="S11" s="659"/>
      <c r="T11" s="89"/>
      <c r="U11" s="89"/>
      <c r="V11" s="451"/>
      <c r="W11" s="461">
        <f t="shared" si="8"/>
        <v>0</v>
      </c>
      <c r="X11" s="53"/>
      <c r="Y11" s="53"/>
      <c r="Z11" s="54"/>
      <c r="AA11" s="54"/>
      <c r="AB11" s="644"/>
      <c r="AC11" s="644"/>
      <c r="AD11" s="449"/>
      <c r="AE11" s="449"/>
      <c r="AF11" s="48">
        <f t="shared" si="6"/>
        <v>0</v>
      </c>
      <c r="AG11" s="453" t="e">
        <f t="shared" si="7"/>
        <v>#DIV/0!</v>
      </c>
      <c r="AH11" s="659"/>
    </row>
    <row r="12" spans="1:34" ht="19.2" customHeight="1">
      <c r="A12" s="65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1"/>
      <c r="J12" s="46"/>
      <c r="K12" s="44"/>
      <c r="L12" s="47"/>
      <c r="M12" s="462"/>
      <c r="N12" s="44"/>
      <c r="O12" s="47"/>
      <c r="P12" s="48"/>
      <c r="Q12" s="49"/>
      <c r="R12" s="453"/>
      <c r="S12" s="659"/>
      <c r="T12" s="89"/>
      <c r="U12" s="89"/>
      <c r="V12" s="451"/>
      <c r="W12" s="461">
        <f t="shared" si="8"/>
        <v>0</v>
      </c>
      <c r="X12" s="53"/>
      <c r="Y12" s="53"/>
      <c r="Z12" s="54"/>
      <c r="AA12" s="54"/>
      <c r="AB12" s="644"/>
      <c r="AC12" s="644"/>
      <c r="AD12" s="449"/>
      <c r="AE12" s="449"/>
      <c r="AF12" s="48">
        <f t="shared" si="6"/>
        <v>0</v>
      </c>
      <c r="AG12" s="453" t="e">
        <f t="shared" si="7"/>
        <v>#DIV/0!</v>
      </c>
      <c r="AH12" s="659"/>
    </row>
    <row r="13" spans="1:34" ht="19.2" customHeight="1">
      <c r="A13" s="65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63"/>
      <c r="J13" s="46"/>
      <c r="K13" s="44"/>
      <c r="L13" s="47"/>
      <c r="M13" s="62"/>
      <c r="N13" s="44"/>
      <c r="O13" s="47"/>
      <c r="P13" s="48"/>
      <c r="Q13" s="49"/>
      <c r="R13" s="453"/>
      <c r="S13" s="659"/>
      <c r="T13" s="89"/>
      <c r="U13" s="89"/>
      <c r="V13" s="463"/>
      <c r="W13" s="461">
        <f t="shared" si="8"/>
        <v>0</v>
      </c>
      <c r="X13" s="64"/>
      <c r="Y13" s="64"/>
      <c r="Z13" s="54"/>
      <c r="AA13" s="54"/>
      <c r="AB13" s="644"/>
      <c r="AC13" s="644"/>
      <c r="AD13" s="449"/>
      <c r="AE13" s="449"/>
      <c r="AF13" s="48">
        <f t="shared" si="6"/>
        <v>0</v>
      </c>
      <c r="AG13" s="453" t="e">
        <f t="shared" si="7"/>
        <v>#DIV/0!</v>
      </c>
      <c r="AH13" s="659"/>
    </row>
    <row r="14" spans="1:34" ht="19.2" customHeight="1">
      <c r="A14" s="65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63"/>
      <c r="J14" s="46"/>
      <c r="K14" s="44"/>
      <c r="L14" s="47"/>
      <c r="M14" s="62"/>
      <c r="N14" s="44"/>
      <c r="O14" s="47"/>
      <c r="P14" s="48"/>
      <c r="Q14" s="49"/>
      <c r="R14" s="453"/>
      <c r="S14" s="659"/>
      <c r="T14" s="89"/>
      <c r="U14" s="89"/>
      <c r="V14" s="463"/>
      <c r="W14" s="461">
        <f t="shared" si="8"/>
        <v>0</v>
      </c>
      <c r="X14" s="64"/>
      <c r="Y14" s="64"/>
      <c r="Z14" s="54"/>
      <c r="AA14" s="54"/>
      <c r="AB14" s="644"/>
      <c r="AC14" s="644"/>
      <c r="AD14" s="449"/>
      <c r="AE14" s="449"/>
      <c r="AF14" s="48">
        <f t="shared" si="6"/>
        <v>0</v>
      </c>
      <c r="AG14" s="453" t="e">
        <f t="shared" si="7"/>
        <v>#DIV/0!</v>
      </c>
      <c r="AH14" s="659"/>
    </row>
    <row r="15" spans="1:34" ht="19.2" customHeight="1">
      <c r="A15" s="65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63"/>
      <c r="J15" s="46"/>
      <c r="K15" s="44"/>
      <c r="L15" s="47"/>
      <c r="M15" s="62"/>
      <c r="N15" s="68"/>
      <c r="O15" s="47"/>
      <c r="P15" s="48"/>
      <c r="Q15" s="49"/>
      <c r="R15" s="453"/>
      <c r="S15" s="659"/>
      <c r="T15" s="89"/>
      <c r="U15" s="89"/>
      <c r="V15" s="463"/>
      <c r="W15" s="461">
        <f t="shared" si="8"/>
        <v>0</v>
      </c>
      <c r="X15" s="64"/>
      <c r="Y15" s="64"/>
      <c r="Z15" s="54"/>
      <c r="AA15" s="54"/>
      <c r="AB15" s="644"/>
      <c r="AC15" s="644"/>
      <c r="AD15" s="449"/>
      <c r="AE15" s="449"/>
      <c r="AF15" s="48">
        <f t="shared" si="6"/>
        <v>0</v>
      </c>
      <c r="AG15" s="453" t="e">
        <f t="shared" si="7"/>
        <v>#DIV/0!</v>
      </c>
      <c r="AH15" s="659"/>
    </row>
    <row r="16" spans="1:34" ht="19.2" customHeight="1">
      <c r="A16" s="65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63"/>
      <c r="J16" s="46"/>
      <c r="K16" s="44"/>
      <c r="L16" s="47"/>
      <c r="M16" s="62"/>
      <c r="N16" s="68"/>
      <c r="O16" s="47"/>
      <c r="P16" s="48"/>
      <c r="Q16" s="49"/>
      <c r="R16" s="453"/>
      <c r="S16" s="659"/>
      <c r="T16" s="89"/>
      <c r="U16" s="89"/>
      <c r="V16" s="463"/>
      <c r="W16" s="461">
        <f t="shared" si="8"/>
        <v>0</v>
      </c>
      <c r="X16" s="64"/>
      <c r="Y16" s="64"/>
      <c r="Z16" s="54"/>
      <c r="AA16" s="54"/>
      <c r="AB16" s="644"/>
      <c r="AC16" s="644"/>
      <c r="AD16" s="449"/>
      <c r="AE16" s="449"/>
      <c r="AF16" s="48">
        <f t="shared" si="6"/>
        <v>0</v>
      </c>
      <c r="AG16" s="453" t="e">
        <f t="shared" si="7"/>
        <v>#DIV/0!</v>
      </c>
      <c r="AH16" s="659"/>
    </row>
    <row r="17" spans="1:34" ht="19.2" customHeight="1">
      <c r="A17" s="657"/>
      <c r="B17" s="69">
        <v>0</v>
      </c>
      <c r="C17" s="69" t="s">
        <v>456</v>
      </c>
      <c r="D17" s="664" t="s">
        <v>457</v>
      </c>
      <c r="E17" s="664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2398.2966443891501</v>
      </c>
      <c r="O17" s="73">
        <f t="shared" si="9"/>
        <v>128.19112506171737</v>
      </c>
      <c r="P17" s="65">
        <f t="shared" ref="P17:P23" si="10">M17-J17</f>
        <v>0</v>
      </c>
      <c r="Q17" s="74">
        <f t="shared" ref="Q17:Q23" si="11">O17-L17</f>
        <v>-9.7962944674978303</v>
      </c>
      <c r="R17" s="75">
        <f>O17/L17</f>
        <v>0.92900588690678632</v>
      </c>
      <c r="S17" s="659"/>
      <c r="T17" s="89"/>
      <c r="U17" s="89"/>
      <c r="V17" s="46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44"/>
      <c r="AC17" s="644"/>
      <c r="AD17" s="79">
        <f>SUM(AD5:AD16)</f>
        <v>1</v>
      </c>
      <c r="AE17" s="79">
        <f>SUM(AE5:AE16)</f>
        <v>0</v>
      </c>
      <c r="AF17" s="65">
        <f t="shared" si="6"/>
        <v>-181.70335561084994</v>
      </c>
      <c r="AG17" s="454">
        <f t="shared" si="7"/>
        <v>0.92957234278649226</v>
      </c>
      <c r="AH17" s="659"/>
    </row>
    <row r="18" spans="1:34" ht="19.2" customHeight="1">
      <c r="A18" s="666" t="s">
        <v>458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703</v>
      </c>
      <c r="H18" s="84">
        <f t="shared" ref="H18:H29" si="12">F18*G18</f>
        <v>19332.5</v>
      </c>
      <c r="I18" s="44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1506.4285714285702</v>
      </c>
      <c r="O18" s="86">
        <f t="shared" ref="O18:O23" si="14">N18/M18</f>
        <v>125.53571428571418</v>
      </c>
      <c r="P18" s="54">
        <f t="shared" si="10"/>
        <v>0</v>
      </c>
      <c r="Q18" s="88">
        <f t="shared" si="11"/>
        <v>-41.130952380952479</v>
      </c>
      <c r="R18" s="450">
        <f t="shared" ref="R18:R23" si="15">O18/L18</f>
        <v>0.75321428571428506</v>
      </c>
      <c r="S18" s="667">
        <f>R30</f>
        <v>0.86498975823230206</v>
      </c>
      <c r="T18" s="89">
        <v>0.16666666666666666</v>
      </c>
      <c r="U18" s="89">
        <v>0.18611111111111112</v>
      </c>
      <c r="V18" s="449">
        <v>5</v>
      </c>
      <c r="W18" s="90">
        <f>(U18-T18)*24*60</f>
        <v>28.000000000000021</v>
      </c>
      <c r="X18" s="86"/>
      <c r="Y18" s="86"/>
      <c r="Z18" s="54"/>
      <c r="AA18" s="54"/>
      <c r="AB18" s="644"/>
      <c r="AC18" s="644"/>
      <c r="AD18" s="449"/>
      <c r="AE18" s="449"/>
      <c r="AF18" s="91">
        <f t="shared" si="6"/>
        <v>-493.57142857142981</v>
      </c>
      <c r="AG18" s="92">
        <f t="shared" si="7"/>
        <v>0.75321428571428506</v>
      </c>
      <c r="AH18" s="668">
        <f>AG30</f>
        <v>0.88429468654059351</v>
      </c>
    </row>
    <row r="19" spans="1:34" ht="19.2" customHeight="1">
      <c r="A19" s="666"/>
      <c r="B19" s="458" t="s">
        <v>103</v>
      </c>
      <c r="C19" s="457"/>
      <c r="D19" s="82" t="s">
        <v>60</v>
      </c>
      <c r="E19" s="83"/>
      <c r="F19" s="273">
        <v>43.14</v>
      </c>
      <c r="G19" s="57">
        <v>2443</v>
      </c>
      <c r="H19" s="84">
        <f t="shared" si="12"/>
        <v>105391.02</v>
      </c>
      <c r="I19" s="449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1409.4230769230771</v>
      </c>
      <c r="O19" s="95">
        <f t="shared" si="14"/>
        <v>82.907239819004531</v>
      </c>
      <c r="P19" s="54">
        <f t="shared" si="10"/>
        <v>0</v>
      </c>
      <c r="Q19" s="88">
        <f t="shared" si="11"/>
        <v>-5.3280542986425274</v>
      </c>
      <c r="R19" s="450">
        <f t="shared" si="15"/>
        <v>0.93961538461538474</v>
      </c>
      <c r="S19" s="667"/>
      <c r="T19" s="89">
        <v>0.19097222222222224</v>
      </c>
      <c r="U19" s="89">
        <v>0.26319444444444445</v>
      </c>
      <c r="V19" s="449">
        <v>7</v>
      </c>
      <c r="W19" s="90">
        <f>(U19-T19)*24*60</f>
        <v>103.99999999999999</v>
      </c>
      <c r="X19" s="96"/>
      <c r="Y19" s="96"/>
      <c r="Z19" s="54"/>
      <c r="AA19" s="54"/>
      <c r="AB19" s="644"/>
      <c r="AC19" s="644"/>
      <c r="AD19" s="449"/>
      <c r="AE19" s="449"/>
      <c r="AF19" s="48">
        <f t="shared" si="6"/>
        <v>-90.576923076922867</v>
      </c>
      <c r="AG19" s="453">
        <f t="shared" si="7"/>
        <v>0.93961538461538474</v>
      </c>
      <c r="AH19" s="669"/>
    </row>
    <row r="20" spans="1:34" ht="19.2" customHeight="1">
      <c r="A20" s="666"/>
      <c r="B20" s="458" t="s">
        <v>102</v>
      </c>
      <c r="C20" s="55"/>
      <c r="D20" s="42" t="s">
        <v>164</v>
      </c>
      <c r="E20" s="83"/>
      <c r="F20" s="273">
        <v>50.67</v>
      </c>
      <c r="G20" s="57">
        <v>2752.83</v>
      </c>
      <c r="H20" s="84">
        <f t="shared" si="12"/>
        <v>139485.89610000001</v>
      </c>
      <c r="I20" s="44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1387.9815126050423</v>
      </c>
      <c r="O20" s="95">
        <f t="shared" si="14"/>
        <v>73.051658558160128</v>
      </c>
      <c r="P20" s="54">
        <f t="shared" si="10"/>
        <v>0</v>
      </c>
      <c r="Q20" s="88">
        <f t="shared" si="11"/>
        <v>-5.8957098628925024</v>
      </c>
      <c r="R20" s="450">
        <f t="shared" si="15"/>
        <v>0.92532100840336162</v>
      </c>
      <c r="S20" s="667"/>
      <c r="T20" s="89">
        <v>0.27847222222222223</v>
      </c>
      <c r="U20" s="89">
        <v>0.3611111111111111</v>
      </c>
      <c r="V20" s="449">
        <v>22</v>
      </c>
      <c r="W20" s="90">
        <f t="shared" ref="W20:W29" si="16">(U20-T20)*24*60</f>
        <v>118.99999999999997</v>
      </c>
      <c r="X20" s="96">
        <v>0.2673611111111111</v>
      </c>
      <c r="Y20" s="96">
        <v>0.27777777777777779</v>
      </c>
      <c r="Z20" s="54"/>
      <c r="AA20" s="54"/>
      <c r="AB20" s="644"/>
      <c r="AC20" s="644"/>
      <c r="AD20" s="449"/>
      <c r="AE20" s="449"/>
      <c r="AF20" s="91">
        <f t="shared" si="6"/>
        <v>-112.01848739495767</v>
      </c>
      <c r="AG20" s="92">
        <f t="shared" si="7"/>
        <v>0.92532100840336151</v>
      </c>
      <c r="AH20" s="669"/>
    </row>
    <row r="21" spans="1:34" ht="19.2" customHeight="1">
      <c r="A21" s="666"/>
      <c r="B21" s="458" t="s">
        <v>102</v>
      </c>
      <c r="C21" s="97"/>
      <c r="D21" s="98" t="s">
        <v>149</v>
      </c>
      <c r="E21" s="43"/>
      <c r="F21" s="273">
        <v>49.91</v>
      </c>
      <c r="G21" s="44">
        <v>3783.12</v>
      </c>
      <c r="H21" s="84">
        <f t="shared" si="12"/>
        <v>188815.51919999998</v>
      </c>
      <c r="I21" s="4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1436.6278481012657</v>
      </c>
      <c r="O21" s="95">
        <f t="shared" si="14"/>
        <v>84.507520476545039</v>
      </c>
      <c r="P21" s="54">
        <f t="shared" si="10"/>
        <v>0</v>
      </c>
      <c r="Q21" s="88">
        <f t="shared" si="11"/>
        <v>-7.5513030528667286</v>
      </c>
      <c r="R21" s="450">
        <f t="shared" si="15"/>
        <v>0.91797306587940297</v>
      </c>
      <c r="S21" s="667"/>
      <c r="T21" s="89">
        <v>0.3659722222222222</v>
      </c>
      <c r="U21" s="89">
        <v>0.47569444444444442</v>
      </c>
      <c r="V21" s="449">
        <v>7</v>
      </c>
      <c r="W21" s="90">
        <f t="shared" si="16"/>
        <v>158</v>
      </c>
      <c r="X21" s="96"/>
      <c r="Y21" s="96"/>
      <c r="Z21" s="54"/>
      <c r="AA21" s="54"/>
      <c r="AB21" s="644"/>
      <c r="AC21" s="644"/>
      <c r="AD21" s="449">
        <v>1</v>
      </c>
      <c r="AE21" s="449"/>
      <c r="AF21" s="48">
        <f t="shared" si="6"/>
        <v>-128.37215189873427</v>
      </c>
      <c r="AG21" s="453">
        <f t="shared" si="7"/>
        <v>0.91797306587940297</v>
      </c>
      <c r="AH21" s="670"/>
    </row>
    <row r="22" spans="1:34" ht="19.2" customHeight="1">
      <c r="A22" s="666"/>
      <c r="B22" s="458" t="s">
        <v>100</v>
      </c>
      <c r="C22" s="97"/>
      <c r="D22" s="42" t="s">
        <v>59</v>
      </c>
      <c r="E22" s="43"/>
      <c r="F22" s="273">
        <v>36.729999999999997</v>
      </c>
      <c r="G22" s="44">
        <v>2347</v>
      </c>
      <c r="H22" s="84">
        <f t="shared" si="12"/>
        <v>86205.31</v>
      </c>
      <c r="I22" s="45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2166.4615384615408</v>
      </c>
      <c r="O22" s="95">
        <f t="shared" si="14"/>
        <v>114.02429149797584</v>
      </c>
      <c r="P22" s="54">
        <f t="shared" si="10"/>
        <v>1</v>
      </c>
      <c r="Q22" s="88">
        <f t="shared" si="11"/>
        <v>-19.309041835357505</v>
      </c>
      <c r="R22" s="450">
        <f t="shared" si="15"/>
        <v>0.85518218623481868</v>
      </c>
      <c r="S22" s="667"/>
      <c r="T22" s="89">
        <v>0.51597222222222217</v>
      </c>
      <c r="U22" s="89">
        <v>0.56111111111111101</v>
      </c>
      <c r="V22" s="449">
        <v>5</v>
      </c>
      <c r="W22" s="90">
        <f t="shared" si="16"/>
        <v>64.999999999999929</v>
      </c>
      <c r="X22" s="96"/>
      <c r="Y22" s="96"/>
      <c r="Z22" s="54"/>
      <c r="AA22" s="54"/>
      <c r="AB22" s="644"/>
      <c r="AC22" s="644"/>
      <c r="AD22" s="449"/>
      <c r="AE22" s="449"/>
      <c r="AF22" s="91">
        <f t="shared" si="6"/>
        <v>-233.53846153845916</v>
      </c>
      <c r="AG22" s="92">
        <f t="shared" si="7"/>
        <v>0.90269230769230868</v>
      </c>
      <c r="AH22" s="670"/>
    </row>
    <row r="23" spans="1:34" ht="19.2" customHeight="1">
      <c r="A23" s="666"/>
      <c r="B23" s="458" t="s">
        <v>100</v>
      </c>
      <c r="C23" s="97"/>
      <c r="D23" s="42" t="s">
        <v>55</v>
      </c>
      <c r="E23" s="43"/>
      <c r="F23" s="273">
        <v>37.799999999999997</v>
      </c>
      <c r="G23" s="44">
        <v>4733</v>
      </c>
      <c r="H23" s="84">
        <f t="shared" si="12"/>
        <v>178907.4</v>
      </c>
      <c r="I23" s="45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2469.3913043478283</v>
      </c>
      <c r="O23" s="95">
        <f t="shared" si="14"/>
        <v>123.46956521739142</v>
      </c>
      <c r="P23" s="54">
        <f t="shared" si="10"/>
        <v>0</v>
      </c>
      <c r="Q23" s="88">
        <f t="shared" si="11"/>
        <v>-14.980434782608569</v>
      </c>
      <c r="R23" s="450">
        <f t="shared" si="15"/>
        <v>0.89179895426068201</v>
      </c>
      <c r="S23" s="667"/>
      <c r="T23" s="89">
        <v>0.56666666666666654</v>
      </c>
      <c r="U23" s="89">
        <v>0.64652777777777759</v>
      </c>
      <c r="V23" s="449">
        <v>8</v>
      </c>
      <c r="W23" s="90">
        <f t="shared" si="16"/>
        <v>114.99999999999991</v>
      </c>
      <c r="X23" s="96"/>
      <c r="Y23" s="96"/>
      <c r="Z23" s="54"/>
      <c r="AA23" s="54"/>
      <c r="AB23" s="644"/>
      <c r="AC23" s="644"/>
      <c r="AD23" s="449"/>
      <c r="AE23" s="449"/>
      <c r="AF23" s="48">
        <f t="shared" si="6"/>
        <v>-299.60869565217172</v>
      </c>
      <c r="AG23" s="453">
        <f t="shared" si="7"/>
        <v>0.8917989542606819</v>
      </c>
      <c r="AH23" s="670"/>
    </row>
    <row r="24" spans="1:34" ht="19.2" customHeight="1">
      <c r="A24" s="666"/>
      <c r="B24" s="45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451"/>
      <c r="J24" s="93"/>
      <c r="K24" s="44"/>
      <c r="L24" s="47"/>
      <c r="M24" s="93"/>
      <c r="N24" s="94"/>
      <c r="O24" s="95"/>
      <c r="P24" s="54"/>
      <c r="Q24" s="88"/>
      <c r="R24" s="450"/>
      <c r="S24" s="667"/>
      <c r="T24" s="89"/>
      <c r="U24" s="89"/>
      <c r="V24" s="449"/>
      <c r="W24" s="90">
        <f t="shared" si="16"/>
        <v>0</v>
      </c>
      <c r="X24" s="96"/>
      <c r="Y24" s="96"/>
      <c r="Z24" s="54"/>
      <c r="AA24" s="54"/>
      <c r="AB24" s="644"/>
      <c r="AC24" s="644"/>
      <c r="AD24" s="449"/>
      <c r="AE24" s="449"/>
      <c r="AF24" s="91">
        <f t="shared" si="6"/>
        <v>0</v>
      </c>
      <c r="AG24" s="92" t="e">
        <f t="shared" si="7"/>
        <v>#DIV/0!</v>
      </c>
      <c r="AH24" s="670"/>
    </row>
    <row r="25" spans="1:34" ht="19.2" customHeight="1">
      <c r="A25" s="666"/>
      <c r="B25" s="45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50"/>
      <c r="S25" s="667"/>
      <c r="T25" s="89"/>
      <c r="U25" s="89"/>
      <c r="V25" s="449"/>
      <c r="W25" s="90">
        <f t="shared" si="16"/>
        <v>0</v>
      </c>
      <c r="X25" s="449"/>
      <c r="Y25" s="449"/>
      <c r="Z25" s="54"/>
      <c r="AA25" s="54"/>
      <c r="AB25" s="644"/>
      <c r="AC25" s="644"/>
      <c r="AD25" s="449"/>
      <c r="AE25" s="449"/>
      <c r="AF25" s="48">
        <f t="shared" si="6"/>
        <v>0</v>
      </c>
      <c r="AG25" s="453" t="e">
        <f t="shared" si="7"/>
        <v>#DIV/0!</v>
      </c>
      <c r="AH25" s="670"/>
    </row>
    <row r="26" spans="1:34" ht="19.2" customHeight="1">
      <c r="A26" s="666"/>
      <c r="B26" s="45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0"/>
      <c r="S26" s="667"/>
      <c r="T26" s="89"/>
      <c r="U26" s="89"/>
      <c r="V26" s="449"/>
      <c r="W26" s="90">
        <f t="shared" si="16"/>
        <v>0</v>
      </c>
      <c r="X26" s="449"/>
      <c r="Y26" s="449"/>
      <c r="Z26" s="54"/>
      <c r="AA26" s="54"/>
      <c r="AB26" s="644"/>
      <c r="AC26" s="644"/>
      <c r="AD26" s="449"/>
      <c r="AE26" s="449"/>
      <c r="AF26" s="91">
        <f t="shared" si="6"/>
        <v>0</v>
      </c>
      <c r="AG26" s="92" t="e">
        <f t="shared" si="7"/>
        <v>#DIV/0!</v>
      </c>
      <c r="AH26" s="670"/>
    </row>
    <row r="27" spans="1:34" ht="19.2" customHeight="1">
      <c r="A27" s="66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0"/>
      <c r="S27" s="667"/>
      <c r="T27" s="89"/>
      <c r="U27" s="89"/>
      <c r="V27" s="449"/>
      <c r="W27" s="90">
        <f t="shared" si="16"/>
        <v>0</v>
      </c>
      <c r="X27" s="449"/>
      <c r="Y27" s="449"/>
      <c r="Z27" s="54"/>
      <c r="AA27" s="54"/>
      <c r="AB27" s="644"/>
      <c r="AC27" s="644"/>
      <c r="AD27" s="449"/>
      <c r="AE27" s="449"/>
      <c r="AF27" s="48">
        <f t="shared" si="6"/>
        <v>0</v>
      </c>
      <c r="AG27" s="453" t="e">
        <f t="shared" si="7"/>
        <v>#DIV/0!</v>
      </c>
      <c r="AH27" s="670"/>
    </row>
    <row r="28" spans="1:34" ht="19.2" customHeight="1">
      <c r="A28" s="66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0"/>
      <c r="S28" s="667"/>
      <c r="T28" s="89"/>
      <c r="U28" s="89"/>
      <c r="V28" s="449"/>
      <c r="W28" s="90">
        <f t="shared" si="16"/>
        <v>0</v>
      </c>
      <c r="X28" s="449"/>
      <c r="Y28" s="449"/>
      <c r="Z28" s="54"/>
      <c r="AA28" s="54"/>
      <c r="AB28" s="644"/>
      <c r="AC28" s="644"/>
      <c r="AD28" s="449"/>
      <c r="AE28" s="449"/>
      <c r="AF28" s="91">
        <f t="shared" si="6"/>
        <v>0</v>
      </c>
      <c r="AG28" s="92" t="e">
        <f t="shared" si="7"/>
        <v>#DIV/0!</v>
      </c>
      <c r="AH28" s="670"/>
    </row>
    <row r="29" spans="1:34" ht="19.2" customHeight="1">
      <c r="A29" s="66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0"/>
      <c r="S29" s="667"/>
      <c r="T29" s="89"/>
      <c r="U29" s="89"/>
      <c r="V29" s="449"/>
      <c r="W29" s="90">
        <f t="shared" si="16"/>
        <v>0</v>
      </c>
      <c r="X29" s="449"/>
      <c r="Y29" s="449"/>
      <c r="Z29" s="54"/>
      <c r="AA29" s="54"/>
      <c r="AB29" s="644"/>
      <c r="AC29" s="644"/>
      <c r="AD29" s="449"/>
      <c r="AE29" s="449"/>
      <c r="AF29" s="48">
        <f t="shared" si="6"/>
        <v>0</v>
      </c>
      <c r="AG29" s="453"/>
      <c r="AH29" s="670"/>
    </row>
    <row r="30" spans="1:34" ht="19.2" customHeight="1">
      <c r="A30" s="666"/>
      <c r="B30" s="99">
        <v>0</v>
      </c>
      <c r="C30" s="100" t="s">
        <v>459</v>
      </c>
      <c r="D30" s="665" t="s">
        <v>460</v>
      </c>
      <c r="E30" s="665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116.28191434468522</v>
      </c>
      <c r="M30" s="101">
        <f t="shared" ref="M30:O30" si="17">AVERAGE(M18:M29)</f>
        <v>17.333333333333332</v>
      </c>
      <c r="N30" s="101">
        <f t="shared" si="17"/>
        <v>1729.3856419778874</v>
      </c>
      <c r="O30" s="104">
        <f t="shared" si="17"/>
        <v>100.58266497579852</v>
      </c>
      <c r="P30" s="54">
        <f t="shared" ref="P30:P38" si="18">M30-J30</f>
        <v>0.1666666666666643</v>
      </c>
      <c r="Q30" s="88">
        <f t="shared" ref="Q30:Q38" si="19">O30-L30</f>
        <v>-15.699249368886697</v>
      </c>
      <c r="R30" s="105">
        <f t="shared" ref="R30:R38" si="20">O30/L30</f>
        <v>0.86498975823230206</v>
      </c>
      <c r="S30" s="66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44"/>
      <c r="AC30" s="644"/>
      <c r="AD30" s="107">
        <f>SUM(AD18:AD29)</f>
        <v>1</v>
      </c>
      <c r="AE30" s="107">
        <f>SUM(AE18:AE29)</f>
        <v>0</v>
      </c>
      <c r="AF30" s="108">
        <f t="shared" si="6"/>
        <v>-226.28102468877933</v>
      </c>
      <c r="AG30" s="109">
        <f t="shared" ref="AG30" si="21">N30/K30</f>
        <v>0.88429468654059351</v>
      </c>
      <c r="AH30" s="671"/>
    </row>
    <row r="31" spans="1:34" ht="19.2" customHeight="1">
      <c r="A31" s="674" t="s">
        <v>461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1803.75</v>
      </c>
      <c r="H31" s="112">
        <f t="shared" ref="H31:H40" si="22">F31*G31</f>
        <v>47799.375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1482.5342465753426</v>
      </c>
      <c r="O31" s="115">
        <f t="shared" ref="O31:O38" si="24">N31/M31</f>
        <v>123.54452054794523</v>
      </c>
      <c r="P31" s="116">
        <f t="shared" si="18"/>
        <v>0</v>
      </c>
      <c r="Q31" s="117">
        <f t="shared" si="19"/>
        <v>-43.122146118721432</v>
      </c>
      <c r="R31" s="452">
        <f t="shared" si="20"/>
        <v>0.74126712328767141</v>
      </c>
      <c r="S31" s="676">
        <f>R43</f>
        <v>0.86173299407373871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644"/>
      <c r="AC31" s="644"/>
      <c r="AD31" s="52"/>
      <c r="AE31" s="52"/>
      <c r="AF31" s="116">
        <f t="shared" si="6"/>
        <v>-517.46575342465735</v>
      </c>
      <c r="AG31" s="120">
        <f t="shared" si="7"/>
        <v>0.7412671232876713</v>
      </c>
      <c r="AH31" s="672">
        <f>AG43</f>
        <v>0.8695863958568909</v>
      </c>
    </row>
    <row r="32" spans="1:34" ht="19.2" customHeight="1">
      <c r="A32" s="675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2460.25</v>
      </c>
      <c r="H32" s="84">
        <f t="shared" si="22"/>
        <v>84214.357499999998</v>
      </c>
      <c r="I32" s="46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2079.0845070422538</v>
      </c>
      <c r="O32" s="47">
        <f t="shared" si="24"/>
        <v>159.92957746478876</v>
      </c>
      <c r="P32" s="116">
        <f t="shared" si="18"/>
        <v>0</v>
      </c>
      <c r="Q32" s="49">
        <f t="shared" si="19"/>
        <v>-13.147345612134302</v>
      </c>
      <c r="R32" s="453">
        <f t="shared" si="20"/>
        <v>0.92403755868544624</v>
      </c>
      <c r="S32" s="667"/>
      <c r="T32" s="89">
        <v>0.17986111111111111</v>
      </c>
      <c r="U32" s="89">
        <v>0.22916666666666666</v>
      </c>
      <c r="V32" s="142">
        <v>6</v>
      </c>
      <c r="W32" s="90">
        <f t="shared" si="25"/>
        <v>70.999999999999986</v>
      </c>
      <c r="X32" s="123"/>
      <c r="Y32" s="123"/>
      <c r="Z32" s="124"/>
      <c r="AA32" s="124"/>
      <c r="AB32" s="644"/>
      <c r="AC32" s="644"/>
      <c r="AD32" s="449">
        <v>1</v>
      </c>
      <c r="AE32" s="449"/>
      <c r="AF32" s="48">
        <f t="shared" si="6"/>
        <v>-170.91549295774621</v>
      </c>
      <c r="AG32" s="453">
        <f t="shared" si="7"/>
        <v>0.92403755868544613</v>
      </c>
      <c r="AH32" s="658"/>
    </row>
    <row r="33" spans="1:34" ht="19.2" customHeight="1">
      <c r="A33" s="675"/>
      <c r="B33" s="121" t="s">
        <v>104</v>
      </c>
      <c r="C33" s="449"/>
      <c r="D33" s="42" t="s">
        <v>87</v>
      </c>
      <c r="E33" s="83"/>
      <c r="F33" s="273">
        <v>34.229999999999997</v>
      </c>
      <c r="G33" s="134">
        <v>2311.4</v>
      </c>
      <c r="H33" s="84">
        <f t="shared" si="22"/>
        <v>79119.221999999994</v>
      </c>
      <c r="I33" s="44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2101.2727272727284</v>
      </c>
      <c r="O33" s="47">
        <f t="shared" si="24"/>
        <v>161.63636363636371</v>
      </c>
      <c r="P33" s="116">
        <f t="shared" si="18"/>
        <v>0</v>
      </c>
      <c r="Q33" s="49">
        <f t="shared" si="19"/>
        <v>-11.440559440559355</v>
      </c>
      <c r="R33" s="453">
        <f t="shared" si="20"/>
        <v>0.93389898989899034</v>
      </c>
      <c r="S33" s="667"/>
      <c r="T33" s="89">
        <v>0.24513888888888888</v>
      </c>
      <c r="U33" s="89">
        <v>0.29097222222222219</v>
      </c>
      <c r="V33" s="142">
        <v>23</v>
      </c>
      <c r="W33" s="90">
        <f t="shared" si="25"/>
        <v>65.999999999999972</v>
      </c>
      <c r="X33" s="123">
        <v>0.23333333333333331</v>
      </c>
      <c r="Y33" s="123">
        <v>0.24444444444444446</v>
      </c>
      <c r="Z33" s="124"/>
      <c r="AA33" s="124"/>
      <c r="AB33" s="644"/>
      <c r="AC33" s="644"/>
      <c r="AD33" s="449"/>
      <c r="AE33" s="449"/>
      <c r="AF33" s="48">
        <f t="shared" si="6"/>
        <v>-148.72727272727161</v>
      </c>
      <c r="AG33" s="125">
        <f t="shared" si="7"/>
        <v>0.93389898989899045</v>
      </c>
      <c r="AH33" s="658"/>
    </row>
    <row r="34" spans="1:34" ht="19.2" customHeight="1">
      <c r="A34" s="675"/>
      <c r="B34" s="121" t="s">
        <v>102</v>
      </c>
      <c r="C34" s="126"/>
      <c r="D34" s="147" t="s">
        <v>168</v>
      </c>
      <c r="E34" s="83"/>
      <c r="F34" s="273">
        <v>44.3</v>
      </c>
      <c r="G34" s="137">
        <v>1925</v>
      </c>
      <c r="H34" s="84">
        <f t="shared" si="22"/>
        <v>85277.5</v>
      </c>
      <c r="I34" s="44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1374.9999999999995</v>
      </c>
      <c r="O34" s="47">
        <f t="shared" si="24"/>
        <v>76.388888888888857</v>
      </c>
      <c r="P34" s="116">
        <f t="shared" si="18"/>
        <v>0</v>
      </c>
      <c r="Q34" s="49">
        <f t="shared" si="19"/>
        <v>-10.555555555555586</v>
      </c>
      <c r="R34" s="453">
        <f t="shared" si="20"/>
        <v>0.8785942492012776</v>
      </c>
      <c r="S34" s="667"/>
      <c r="T34" s="89">
        <v>0.29652777777777772</v>
      </c>
      <c r="U34" s="89">
        <v>0.35486111111111107</v>
      </c>
      <c r="V34" s="137">
        <v>8</v>
      </c>
      <c r="W34" s="90">
        <f t="shared" si="25"/>
        <v>84.000000000000028</v>
      </c>
      <c r="X34" s="123"/>
      <c r="Y34" s="123"/>
      <c r="Z34" s="124"/>
      <c r="AA34" s="124"/>
      <c r="AB34" s="644"/>
      <c r="AC34" s="644"/>
      <c r="AD34" s="449"/>
      <c r="AE34" s="449"/>
      <c r="AF34" s="48">
        <f t="shared" si="6"/>
        <v>-190.00000000000045</v>
      </c>
      <c r="AG34" s="125">
        <f t="shared" si="7"/>
        <v>0.87859424920127771</v>
      </c>
      <c r="AH34" s="658"/>
    </row>
    <row r="35" spans="1:34" ht="19.2" customHeight="1">
      <c r="A35" s="675"/>
      <c r="B35" s="121" t="s">
        <v>102</v>
      </c>
      <c r="C35" s="41"/>
      <c r="D35" s="150" t="s">
        <v>174</v>
      </c>
      <c r="E35" s="43"/>
      <c r="F35" s="273">
        <v>49.91</v>
      </c>
      <c r="G35" s="137">
        <v>2746</v>
      </c>
      <c r="H35" s="84">
        <f t="shared" si="22"/>
        <v>137052.85999999999</v>
      </c>
      <c r="I35" s="4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1361.6528925619837</v>
      </c>
      <c r="O35" s="47">
        <f t="shared" si="24"/>
        <v>80.097228974234326</v>
      </c>
      <c r="P35" s="116">
        <f t="shared" si="18"/>
        <v>0</v>
      </c>
      <c r="Q35" s="49">
        <f t="shared" si="19"/>
        <v>-11.961594555177442</v>
      </c>
      <c r="R35" s="453">
        <f t="shared" si="20"/>
        <v>0.87006574604599585</v>
      </c>
      <c r="S35" s="667"/>
      <c r="T35" s="89">
        <v>0.37013888888888885</v>
      </c>
      <c r="U35" s="89">
        <v>0.45416666666666661</v>
      </c>
      <c r="V35" s="134">
        <v>22</v>
      </c>
      <c r="W35" s="90">
        <f t="shared" si="25"/>
        <v>120.99999999999997</v>
      </c>
      <c r="X35" s="123">
        <v>0.35972222222222222</v>
      </c>
      <c r="Y35" s="123">
        <v>0.36944444444444446</v>
      </c>
      <c r="Z35" s="124"/>
      <c r="AA35" s="124"/>
      <c r="AB35" s="644"/>
      <c r="AC35" s="644"/>
      <c r="AD35" s="449"/>
      <c r="AE35" s="449"/>
      <c r="AF35" s="116">
        <f t="shared" si="6"/>
        <v>-203.34710743801634</v>
      </c>
      <c r="AG35" s="120">
        <f t="shared" si="7"/>
        <v>0.87006574604599596</v>
      </c>
      <c r="AH35" s="659"/>
    </row>
    <row r="36" spans="1:34" ht="19.2" customHeight="1">
      <c r="A36" s="675"/>
      <c r="B36" s="121" t="s">
        <v>100</v>
      </c>
      <c r="C36" s="128"/>
      <c r="D36" s="150" t="s">
        <v>188</v>
      </c>
      <c r="E36" s="83"/>
      <c r="F36" s="273">
        <v>48.4</v>
      </c>
      <c r="G36" s="134">
        <v>1838</v>
      </c>
      <c r="H36" s="84">
        <f t="shared" si="22"/>
        <v>88959.2</v>
      </c>
      <c r="I36" s="449"/>
      <c r="J36" s="113">
        <v>17</v>
      </c>
      <c r="K36" s="94">
        <v>2571</v>
      </c>
      <c r="L36" s="95">
        <v>151.23529411764707</v>
      </c>
      <c r="M36" s="149">
        <v>18</v>
      </c>
      <c r="N36" s="44">
        <f t="shared" si="23"/>
        <v>2250.61224489796</v>
      </c>
      <c r="O36" s="47">
        <f t="shared" si="24"/>
        <v>125.03401360544223</v>
      </c>
      <c r="P36" s="116">
        <f t="shared" si="18"/>
        <v>1</v>
      </c>
      <c r="Q36" s="49">
        <f t="shared" si="19"/>
        <v>-26.201280512204846</v>
      </c>
      <c r="R36" s="453">
        <f t="shared" si="20"/>
        <v>0.82675154853851329</v>
      </c>
      <c r="S36" s="667"/>
      <c r="T36" s="89">
        <v>0.49444444444444435</v>
      </c>
      <c r="U36" s="89">
        <v>0.52847222222222212</v>
      </c>
      <c r="V36" s="134">
        <v>5</v>
      </c>
      <c r="W36" s="90">
        <f t="shared" si="25"/>
        <v>48.999999999999986</v>
      </c>
      <c r="X36" s="123"/>
      <c r="Y36" s="123"/>
      <c r="Z36" s="124"/>
      <c r="AA36" s="124"/>
      <c r="AB36" s="644"/>
      <c r="AC36" s="644"/>
      <c r="AD36" s="449"/>
      <c r="AE36" s="449"/>
      <c r="AF36" s="48">
        <f t="shared" si="6"/>
        <v>-320.38775510204005</v>
      </c>
      <c r="AG36" s="453">
        <f t="shared" si="7"/>
        <v>0.87538399257019062</v>
      </c>
      <c r="AH36" s="659"/>
    </row>
    <row r="37" spans="1:34" ht="19.2" customHeight="1">
      <c r="A37" s="675"/>
      <c r="B37" s="121" t="s">
        <v>100</v>
      </c>
      <c r="C37" s="128"/>
      <c r="D37" s="42" t="s">
        <v>163</v>
      </c>
      <c r="E37" s="83"/>
      <c r="F37" s="273">
        <v>46.93</v>
      </c>
      <c r="G37" s="134">
        <v>997</v>
      </c>
      <c r="H37" s="84">
        <f t="shared" si="22"/>
        <v>46789.21</v>
      </c>
      <c r="I37" s="44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2062.7586206896508</v>
      </c>
      <c r="O37" s="47">
        <f t="shared" si="24"/>
        <v>108.56624319419215</v>
      </c>
      <c r="P37" s="116">
        <f t="shared" si="18"/>
        <v>0</v>
      </c>
      <c r="Q37" s="49">
        <f t="shared" si="19"/>
        <v>-17.749546279492051</v>
      </c>
      <c r="R37" s="453">
        <f t="shared" si="20"/>
        <v>0.8594827586206879</v>
      </c>
      <c r="S37" s="667"/>
      <c r="T37" s="89">
        <v>0.53333333333333321</v>
      </c>
      <c r="U37" s="89">
        <v>0.55347222222222214</v>
      </c>
      <c r="V37" s="134">
        <v>7</v>
      </c>
      <c r="W37" s="90">
        <f t="shared" si="25"/>
        <v>29.000000000000057</v>
      </c>
      <c r="X37" s="123"/>
      <c r="Y37" s="123"/>
      <c r="Z37" s="124"/>
      <c r="AA37" s="124"/>
      <c r="AB37" s="644"/>
      <c r="AC37" s="644"/>
      <c r="AD37" s="449"/>
      <c r="AE37" s="449"/>
      <c r="AF37" s="48">
        <f t="shared" si="6"/>
        <v>-337.2413793103492</v>
      </c>
      <c r="AG37" s="125">
        <f t="shared" si="7"/>
        <v>0.85948275862068779</v>
      </c>
      <c r="AH37" s="659"/>
    </row>
    <row r="38" spans="1:34" ht="19.2" customHeight="1">
      <c r="A38" s="675"/>
      <c r="B38" s="121" t="s">
        <v>100</v>
      </c>
      <c r="C38" s="128"/>
      <c r="D38" s="150" t="s">
        <v>170</v>
      </c>
      <c r="E38" s="83"/>
      <c r="F38" s="273">
        <v>43.96</v>
      </c>
      <c r="G38" s="134">
        <v>448.7</v>
      </c>
      <c r="H38" s="84">
        <f t="shared" si="22"/>
        <v>19724.851999999999</v>
      </c>
      <c r="I38" s="449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2070.9230769230844</v>
      </c>
      <c r="O38" s="47">
        <f t="shared" si="24"/>
        <v>108.99595141700445</v>
      </c>
      <c r="P38" s="116">
        <f t="shared" si="18"/>
        <v>0</v>
      </c>
      <c r="Q38" s="49">
        <f t="shared" si="19"/>
        <v>-17.319838056679757</v>
      </c>
      <c r="R38" s="453">
        <f t="shared" si="20"/>
        <v>0.86288461538461858</v>
      </c>
      <c r="S38" s="667"/>
      <c r="T38" s="151">
        <v>0.55902777777777768</v>
      </c>
      <c r="U38" s="151">
        <v>0.56805555555555542</v>
      </c>
      <c r="V38" s="134">
        <v>8</v>
      </c>
      <c r="W38" s="90">
        <f t="shared" si="25"/>
        <v>12.999999999999954</v>
      </c>
      <c r="X38" s="123"/>
      <c r="Y38" s="123"/>
      <c r="Z38" s="124"/>
      <c r="AA38" s="124"/>
      <c r="AB38" s="644"/>
      <c r="AC38" s="644"/>
      <c r="AD38" s="449"/>
      <c r="AE38" s="449"/>
      <c r="AF38" s="48">
        <f t="shared" si="6"/>
        <v>-329.07692307691559</v>
      </c>
      <c r="AG38" s="125">
        <f t="shared" si="7"/>
        <v>0.86288461538461847</v>
      </c>
      <c r="AH38" s="659"/>
    </row>
    <row r="39" spans="1:34" ht="19.2" customHeight="1">
      <c r="A39" s="67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49"/>
      <c r="J39" s="113"/>
      <c r="K39" s="94"/>
      <c r="L39" s="95"/>
      <c r="M39" s="459"/>
      <c r="N39" s="44"/>
      <c r="O39" s="47"/>
      <c r="P39" s="116"/>
      <c r="Q39" s="49"/>
      <c r="R39" s="453"/>
      <c r="S39" s="667"/>
      <c r="T39" s="89"/>
      <c r="U39" s="89"/>
      <c r="V39" s="449"/>
      <c r="W39" s="90"/>
      <c r="X39" s="123"/>
      <c r="Y39" s="123"/>
      <c r="Z39" s="124"/>
      <c r="AA39" s="124"/>
      <c r="AB39" s="644"/>
      <c r="AC39" s="644"/>
      <c r="AD39" s="449"/>
      <c r="AE39" s="449"/>
      <c r="AF39" s="116">
        <f t="shared" si="6"/>
        <v>0</v>
      </c>
      <c r="AG39" s="120" t="e">
        <f t="shared" si="7"/>
        <v>#DIV/0!</v>
      </c>
      <c r="AH39" s="659"/>
    </row>
    <row r="40" spans="1:34" ht="19.2" customHeight="1">
      <c r="A40" s="67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51"/>
      <c r="J40" s="46"/>
      <c r="K40" s="44"/>
      <c r="L40" s="47"/>
      <c r="M40" s="462" t="s">
        <v>15</v>
      </c>
      <c r="N40" s="44"/>
      <c r="O40" s="47"/>
      <c r="P40" s="116"/>
      <c r="Q40" s="49"/>
      <c r="R40" s="453"/>
      <c r="S40" s="667"/>
      <c r="T40" s="89"/>
      <c r="U40" s="89"/>
      <c r="V40" s="449"/>
      <c r="W40" s="90">
        <f>(U40-T40)*24*60</f>
        <v>0</v>
      </c>
      <c r="X40" s="123"/>
      <c r="Y40" s="123"/>
      <c r="Z40" s="124"/>
      <c r="AA40" s="124"/>
      <c r="AB40" s="644"/>
      <c r="AC40" s="644"/>
      <c r="AD40" s="449"/>
      <c r="AE40" s="449"/>
      <c r="AF40" s="48">
        <f t="shared" si="6"/>
        <v>0</v>
      </c>
      <c r="AG40" s="453" t="e">
        <f t="shared" si="7"/>
        <v>#DIV/0!</v>
      </c>
      <c r="AH40" s="659"/>
    </row>
    <row r="41" spans="1:34" ht="19.2" customHeight="1">
      <c r="A41" s="675"/>
      <c r="B41" s="449">
        <v>0</v>
      </c>
      <c r="C41" s="55"/>
      <c r="D41" s="82"/>
      <c r="E41" s="83"/>
      <c r="F41" s="273" t="s">
        <v>106</v>
      </c>
      <c r="G41" s="57"/>
      <c r="H41" s="84"/>
      <c r="I41" s="449"/>
      <c r="J41" s="87"/>
      <c r="K41" s="57"/>
      <c r="L41" s="86"/>
      <c r="M41" s="459"/>
      <c r="N41" s="57"/>
      <c r="O41" s="86"/>
      <c r="P41" s="54"/>
      <c r="Q41" s="88"/>
      <c r="R41" s="450"/>
      <c r="S41" s="667"/>
      <c r="T41" s="89"/>
      <c r="U41" s="89"/>
      <c r="V41" s="449"/>
      <c r="W41" s="90">
        <f>(U41-T41)*24*60</f>
        <v>0</v>
      </c>
      <c r="X41" s="123"/>
      <c r="Y41" s="123"/>
      <c r="Z41" s="124"/>
      <c r="AA41" s="124"/>
      <c r="AB41" s="644"/>
      <c r="AC41" s="644"/>
      <c r="AD41" s="449"/>
      <c r="AE41" s="449"/>
      <c r="AF41" s="48"/>
      <c r="AG41" s="129"/>
      <c r="AH41" s="659"/>
    </row>
    <row r="42" spans="1:34" ht="19.2" customHeight="1">
      <c r="A42" s="675"/>
      <c r="B42" s="44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49"/>
      <c r="J42" s="87"/>
      <c r="K42" s="57"/>
      <c r="L42" s="86"/>
      <c r="M42" s="459"/>
      <c r="N42" s="57"/>
      <c r="O42" s="86"/>
      <c r="P42" s="54"/>
      <c r="Q42" s="88"/>
      <c r="R42" s="450"/>
      <c r="S42" s="667"/>
      <c r="T42" s="89"/>
      <c r="U42" s="89"/>
      <c r="V42" s="449"/>
      <c r="W42" s="90">
        <f t="shared" si="25"/>
        <v>0</v>
      </c>
      <c r="X42" s="123"/>
      <c r="Y42" s="123"/>
      <c r="Z42" s="124"/>
      <c r="AA42" s="124"/>
      <c r="AB42" s="644"/>
      <c r="AC42" s="644"/>
      <c r="AD42" s="449"/>
      <c r="AE42" s="449"/>
      <c r="AF42" s="48"/>
      <c r="AG42" s="129"/>
      <c r="AH42" s="659"/>
    </row>
    <row r="43" spans="1:34" ht="19.2" customHeight="1">
      <c r="A43" s="675"/>
      <c r="B43" s="121">
        <v>0</v>
      </c>
      <c r="C43" s="100" t="s">
        <v>462</v>
      </c>
      <c r="D43" s="673" t="s">
        <v>460</v>
      </c>
      <c r="E43" s="673"/>
      <c r="F43" s="277"/>
      <c r="G43" s="101"/>
      <c r="H43" s="102"/>
      <c r="I43" s="103"/>
      <c r="J43" s="101">
        <v>16</v>
      </c>
      <c r="K43" s="101">
        <v>2125.125</v>
      </c>
      <c r="L43" s="104">
        <v>136.96133173242305</v>
      </c>
      <c r="M43" s="101">
        <f t="shared" ref="M43:O43" si="26">AVERAGE(M31:M42)</f>
        <v>16.125</v>
      </c>
      <c r="N43" s="101">
        <f t="shared" si="26"/>
        <v>1847.9797894953754</v>
      </c>
      <c r="O43" s="104">
        <f t="shared" si="26"/>
        <v>118.02409846610747</v>
      </c>
      <c r="P43" s="54">
        <f>M43-J43</f>
        <v>0.125</v>
      </c>
      <c r="Q43" s="88">
        <f>N43-K43</f>
        <v>-277.14521050462463</v>
      </c>
      <c r="R43" s="105">
        <f t="shared" ref="R43:R51" si="27">O43/L43</f>
        <v>0.86173299407373871</v>
      </c>
      <c r="S43" s="667"/>
      <c r="T43" s="89"/>
      <c r="U43" s="89"/>
      <c r="V43" s="449"/>
      <c r="W43" s="449"/>
      <c r="X43" s="123"/>
      <c r="Y43" s="123"/>
      <c r="Z43" s="132">
        <f>SUM(Z31:Z42)</f>
        <v>0</v>
      </c>
      <c r="AA43" s="132">
        <f>SUM(AA31:AA42)</f>
        <v>0</v>
      </c>
      <c r="AB43" s="644"/>
      <c r="AC43" s="644"/>
      <c r="AD43" s="107">
        <f>SUM(AD31:AD42)</f>
        <v>1</v>
      </c>
      <c r="AE43" s="107">
        <f>SUM(AE31:AE42)</f>
        <v>0</v>
      </c>
      <c r="AF43" s="48">
        <f t="shared" ref="AF43:AF54" si="28">N43-K43</f>
        <v>-277.14521050462463</v>
      </c>
      <c r="AG43" s="454">
        <f t="shared" si="7"/>
        <v>0.8695863958568909</v>
      </c>
      <c r="AH43" s="659"/>
    </row>
    <row r="44" spans="1:34" s="145" customFormat="1" ht="19.2" customHeight="1">
      <c r="A44" s="678" t="s">
        <v>463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2079</v>
      </c>
      <c r="H44" s="45">
        <f>F44*G44</f>
        <v>51413.67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2079.0000000000005</v>
      </c>
      <c r="O44" s="138">
        <f t="shared" ref="O44:O51" si="30">N44/M44</f>
        <v>415.80000000000007</v>
      </c>
      <c r="P44" s="51">
        <f t="shared" ref="P44:P51" si="31">M44-J44</f>
        <v>1</v>
      </c>
      <c r="Q44" s="139">
        <f t="shared" ref="Q44:Q51" si="32">O44-L44</f>
        <v>-84.199999999999932</v>
      </c>
      <c r="R44" s="140">
        <f t="shared" si="27"/>
        <v>0.83160000000000012</v>
      </c>
      <c r="S44" s="658">
        <f>R56</f>
        <v>0.88948185852560013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644"/>
      <c r="AC44" s="644"/>
      <c r="AD44" s="449"/>
      <c r="AE44" s="449"/>
      <c r="AF44" s="144">
        <f t="shared" si="28"/>
        <v>79.000000000000455</v>
      </c>
      <c r="AG44" s="456">
        <f t="shared" si="7"/>
        <v>1.0395000000000003</v>
      </c>
      <c r="AH44" s="681">
        <f>AG56</f>
        <v>0.96079323022474239</v>
      </c>
    </row>
    <row r="45" spans="1:34" s="145" customFormat="1" ht="19.2" customHeight="1">
      <c r="A45" s="679"/>
      <c r="B45" s="97" t="s">
        <v>104</v>
      </c>
      <c r="C45" s="133"/>
      <c r="D45" s="42" t="s">
        <v>73</v>
      </c>
      <c r="E45" s="43"/>
      <c r="F45" s="280">
        <v>24.73</v>
      </c>
      <c r="G45" s="134">
        <v>1903</v>
      </c>
      <c r="H45" s="45">
        <f>F45*G45</f>
        <v>47061.19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2075.9999999999995</v>
      </c>
      <c r="O45" s="138">
        <f t="shared" si="30"/>
        <v>415.19999999999993</v>
      </c>
      <c r="P45" s="51">
        <f t="shared" si="31"/>
        <v>1</v>
      </c>
      <c r="Q45" s="139">
        <f t="shared" si="32"/>
        <v>-84.800000000000068</v>
      </c>
      <c r="R45" s="140">
        <f t="shared" si="27"/>
        <v>0.83039999999999992</v>
      </c>
      <c r="S45" s="658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644"/>
      <c r="AC45" s="644"/>
      <c r="AD45" s="449"/>
      <c r="AE45" s="449"/>
      <c r="AF45" s="144">
        <f t="shared" si="28"/>
        <v>75.999999999999545</v>
      </c>
      <c r="AG45" s="456">
        <f t="shared" si="7"/>
        <v>1.0379999999999998</v>
      </c>
      <c r="AH45" s="681"/>
    </row>
    <row r="46" spans="1:34" s="145" customFormat="1" ht="19.2" customHeight="1">
      <c r="A46" s="679"/>
      <c r="B46" s="97" t="s">
        <v>104</v>
      </c>
      <c r="C46" s="133"/>
      <c r="D46" s="42" t="s">
        <v>185</v>
      </c>
      <c r="E46" s="43"/>
      <c r="F46" s="280">
        <v>25.26</v>
      </c>
      <c r="G46" s="134">
        <v>1014</v>
      </c>
      <c r="H46" s="45">
        <f t="shared" ref="H46:H51" si="34">F46*G46</f>
        <v>25613.640000000003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2027.9999999999991</v>
      </c>
      <c r="O46" s="138">
        <f t="shared" si="30"/>
        <v>289.71428571428561</v>
      </c>
      <c r="P46" s="51">
        <f t="shared" si="31"/>
        <v>0</v>
      </c>
      <c r="Q46" s="139">
        <f t="shared" si="32"/>
        <v>-24.571428571428669</v>
      </c>
      <c r="R46" s="140">
        <f t="shared" si="27"/>
        <v>0.92181818181818154</v>
      </c>
      <c r="S46" s="658"/>
      <c r="T46" s="89">
        <v>0.21180555555555552</v>
      </c>
      <c r="U46" s="89">
        <v>0.23263888888888887</v>
      </c>
      <c r="V46" s="142">
        <v>5</v>
      </c>
      <c r="W46" s="143">
        <f t="shared" si="33"/>
        <v>30.000000000000014</v>
      </c>
      <c r="X46" s="123"/>
      <c r="Y46" s="123"/>
      <c r="Z46" s="124"/>
      <c r="AA46" s="124"/>
      <c r="AB46" s="644"/>
      <c r="AC46" s="644"/>
      <c r="AD46" s="449"/>
      <c r="AE46" s="449"/>
      <c r="AF46" s="144">
        <f t="shared" si="28"/>
        <v>-172.00000000000091</v>
      </c>
      <c r="AG46" s="456">
        <f t="shared" si="7"/>
        <v>0.92181818181818143</v>
      </c>
      <c r="AH46" s="681"/>
    </row>
    <row r="47" spans="1:34" s="145" customFormat="1" ht="19.2" customHeight="1">
      <c r="A47" s="679"/>
      <c r="B47" s="97" t="s">
        <v>103</v>
      </c>
      <c r="C47" s="133"/>
      <c r="D47" s="42" t="s">
        <v>65</v>
      </c>
      <c r="E47" s="148"/>
      <c r="F47" s="280">
        <v>31.43</v>
      </c>
      <c r="G47" s="137">
        <v>1938</v>
      </c>
      <c r="H47" s="45">
        <f t="shared" si="34"/>
        <v>60911.34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1435.5555555555559</v>
      </c>
      <c r="O47" s="138">
        <f t="shared" si="30"/>
        <v>205.07936507936512</v>
      </c>
      <c r="P47" s="51">
        <f t="shared" si="31"/>
        <v>0</v>
      </c>
      <c r="Q47" s="139">
        <f t="shared" si="32"/>
        <v>-9.2063492063491594</v>
      </c>
      <c r="R47" s="140">
        <f t="shared" si="27"/>
        <v>0.95703703703703724</v>
      </c>
      <c r="S47" s="658"/>
      <c r="T47" s="89">
        <v>0.24999999999999997</v>
      </c>
      <c r="U47" s="89">
        <v>0.30624999999999997</v>
      </c>
      <c r="V47" s="137">
        <v>25</v>
      </c>
      <c r="W47" s="143">
        <f t="shared" si="33"/>
        <v>80.999999999999986</v>
      </c>
      <c r="X47" s="123">
        <v>0.23750000000000002</v>
      </c>
      <c r="Y47" s="123">
        <v>0.24861111111111112</v>
      </c>
      <c r="Z47" s="124"/>
      <c r="AA47" s="124"/>
      <c r="AB47" s="644"/>
      <c r="AC47" s="644"/>
      <c r="AD47" s="449"/>
      <c r="AE47" s="449"/>
      <c r="AF47" s="144">
        <f t="shared" si="28"/>
        <v>-64.444444444444116</v>
      </c>
      <c r="AG47" s="456">
        <f t="shared" si="7"/>
        <v>0.95703703703703724</v>
      </c>
      <c r="AH47" s="681"/>
    </row>
    <row r="48" spans="1:34" s="145" customFormat="1" ht="19.2" customHeight="1">
      <c r="A48" s="679"/>
      <c r="B48" s="97" t="s">
        <v>103</v>
      </c>
      <c r="C48" s="133"/>
      <c r="D48" s="42" t="s">
        <v>148</v>
      </c>
      <c r="E48" s="148"/>
      <c r="F48" s="280">
        <v>11.86</v>
      </c>
      <c r="G48" s="137">
        <v>1625</v>
      </c>
      <c r="H48" s="45">
        <f t="shared" si="34"/>
        <v>19272.5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1433.8235294117649</v>
      </c>
      <c r="O48" s="138">
        <f t="shared" si="30"/>
        <v>238.97058823529414</v>
      </c>
      <c r="P48" s="51">
        <f t="shared" si="31"/>
        <v>0</v>
      </c>
      <c r="Q48" s="139">
        <f t="shared" si="32"/>
        <v>-33.696078431372541</v>
      </c>
      <c r="R48" s="140">
        <f t="shared" si="27"/>
        <v>0.8764202502516899</v>
      </c>
      <c r="S48" s="658"/>
      <c r="T48" s="89">
        <v>0.31666666666666665</v>
      </c>
      <c r="U48" s="89">
        <v>0.36388888888888887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644"/>
      <c r="AC48" s="644"/>
      <c r="AD48" s="449"/>
      <c r="AE48" s="449"/>
      <c r="AF48" s="144">
        <f t="shared" si="28"/>
        <v>-202.17647058823513</v>
      </c>
      <c r="AG48" s="456">
        <f t="shared" si="7"/>
        <v>0.87642025025169001</v>
      </c>
      <c r="AH48" s="681"/>
    </row>
    <row r="49" spans="1:34" s="145" customFormat="1" ht="19.2" customHeight="1">
      <c r="A49" s="679"/>
      <c r="B49" s="97" t="s">
        <v>103</v>
      </c>
      <c r="C49" s="133"/>
      <c r="D49" s="42" t="s">
        <v>171</v>
      </c>
      <c r="E49" s="148"/>
      <c r="F49" s="280">
        <v>28.47</v>
      </c>
      <c r="G49" s="134">
        <v>1170</v>
      </c>
      <c r="H49" s="45">
        <f t="shared" si="34"/>
        <v>33309.9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1432.6530612244901</v>
      </c>
      <c r="O49" s="138">
        <f t="shared" si="30"/>
        <v>204.66472303207001</v>
      </c>
      <c r="P49" s="51">
        <f t="shared" si="31"/>
        <v>0</v>
      </c>
      <c r="Q49" s="139">
        <f t="shared" si="32"/>
        <v>-9.620991253644263</v>
      </c>
      <c r="R49" s="140">
        <f t="shared" si="27"/>
        <v>0.95510204081632677</v>
      </c>
      <c r="S49" s="658"/>
      <c r="T49" s="89">
        <v>0.37430555555555556</v>
      </c>
      <c r="U49" s="89">
        <v>0.40833333333333333</v>
      </c>
      <c r="V49" s="134">
        <v>15</v>
      </c>
      <c r="W49" s="143">
        <f t="shared" si="33"/>
        <v>48.999999999999986</v>
      </c>
      <c r="X49" s="152"/>
      <c r="Y49" s="152"/>
      <c r="Z49" s="153"/>
      <c r="AA49" s="124"/>
      <c r="AB49" s="644"/>
      <c r="AC49" s="644"/>
      <c r="AD49" s="449"/>
      <c r="AE49" s="449">
        <v>1</v>
      </c>
      <c r="AF49" s="144">
        <f t="shared" si="28"/>
        <v>-67.346938775509898</v>
      </c>
      <c r="AG49" s="456">
        <f t="shared" si="7"/>
        <v>0.95510204081632677</v>
      </c>
      <c r="AH49" s="681"/>
    </row>
    <row r="50" spans="1:34" s="145" customFormat="1" ht="19.2" customHeight="1">
      <c r="A50" s="679"/>
      <c r="B50" s="97" t="s">
        <v>105</v>
      </c>
      <c r="C50" s="133"/>
      <c r="D50" s="42" t="s">
        <v>64</v>
      </c>
      <c r="E50" s="148"/>
      <c r="F50" s="280">
        <v>10.09</v>
      </c>
      <c r="G50" s="134">
        <v>2694.56</v>
      </c>
      <c r="H50" s="45">
        <f t="shared" si="34"/>
        <v>27188.110399999998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1418.1894736842105</v>
      </c>
      <c r="O50" s="138">
        <f t="shared" si="30"/>
        <v>236.36491228070176</v>
      </c>
      <c r="P50" s="51">
        <f t="shared" si="31"/>
        <v>0</v>
      </c>
      <c r="Q50" s="139">
        <f t="shared" si="32"/>
        <v>-13.635087719298241</v>
      </c>
      <c r="R50" s="140">
        <f t="shared" si="27"/>
        <v>0.945459649122807</v>
      </c>
      <c r="S50" s="658"/>
      <c r="T50" s="89">
        <v>0.42916666666666664</v>
      </c>
      <c r="U50" s="89">
        <v>0.5083333333333333</v>
      </c>
      <c r="V50" s="134">
        <v>30</v>
      </c>
      <c r="W50" s="143">
        <f t="shared" si="33"/>
        <v>114</v>
      </c>
      <c r="X50" s="152">
        <v>0.41250000000000003</v>
      </c>
      <c r="Y50" s="152">
        <v>0.42777777777777781</v>
      </c>
      <c r="Z50" s="153"/>
      <c r="AA50" s="153"/>
      <c r="AB50" s="644"/>
      <c r="AC50" s="644"/>
      <c r="AD50" s="449"/>
      <c r="AE50" s="449"/>
      <c r="AF50" s="144">
        <f t="shared" si="28"/>
        <v>-81.810526315789502</v>
      </c>
      <c r="AG50" s="456">
        <f t="shared" si="7"/>
        <v>0.945459649122807</v>
      </c>
      <c r="AH50" s="681"/>
    </row>
    <row r="51" spans="1:34" s="145" customFormat="1" ht="19.2" customHeight="1">
      <c r="A51" s="679"/>
      <c r="B51" s="97" t="s">
        <v>105</v>
      </c>
      <c r="C51" s="133"/>
      <c r="D51" s="150" t="s">
        <v>64</v>
      </c>
      <c r="E51" s="148"/>
      <c r="F51" s="280">
        <v>10.09</v>
      </c>
      <c r="G51" s="134">
        <v>3429.4400000000005</v>
      </c>
      <c r="H51" s="45">
        <f t="shared" si="34"/>
        <v>34603.049600000006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1390.3135135135142</v>
      </c>
      <c r="O51" s="138">
        <f t="shared" si="30"/>
        <v>231.71891891891903</v>
      </c>
      <c r="P51" s="51">
        <f t="shared" si="31"/>
        <v>0</v>
      </c>
      <c r="Q51" s="139">
        <f t="shared" si="32"/>
        <v>-18.28108108108097</v>
      </c>
      <c r="R51" s="140">
        <f t="shared" si="27"/>
        <v>0.92687567567567608</v>
      </c>
      <c r="S51" s="658"/>
      <c r="T51" s="151">
        <v>0.52916666666666667</v>
      </c>
      <c r="U51" s="151">
        <v>0.63194444444444442</v>
      </c>
      <c r="V51" s="134">
        <v>30</v>
      </c>
      <c r="W51" s="143">
        <f t="shared" si="33"/>
        <v>147.99999999999994</v>
      </c>
      <c r="X51" s="152">
        <v>0.51250000000000007</v>
      </c>
      <c r="Y51" s="152">
        <v>0.52777777777777779</v>
      </c>
      <c r="Z51" s="153"/>
      <c r="AA51" s="153"/>
      <c r="AB51" s="644"/>
      <c r="AC51" s="644"/>
      <c r="AD51" s="449"/>
      <c r="AE51" s="449"/>
      <c r="AF51" s="144">
        <f t="shared" si="28"/>
        <v>-109.68648648648582</v>
      </c>
      <c r="AG51" s="456">
        <f t="shared" si="7"/>
        <v>0.92687567567567608</v>
      </c>
      <c r="AH51" s="681"/>
    </row>
    <row r="52" spans="1:34" s="145" customFormat="1" ht="19.2" customHeight="1">
      <c r="A52" s="679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5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44"/>
      <c r="AC52" s="644"/>
      <c r="AD52" s="449"/>
      <c r="AE52" s="449"/>
      <c r="AF52" s="144">
        <f t="shared" si="28"/>
        <v>0</v>
      </c>
      <c r="AG52" s="456" t="e">
        <f t="shared" si="7"/>
        <v>#DIV/0!</v>
      </c>
      <c r="AH52" s="681"/>
    </row>
    <row r="53" spans="1:34" s="145" customFormat="1" ht="19.2" customHeight="1">
      <c r="A53" s="679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0"/>
      <c r="S53" s="65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44"/>
      <c r="AC53" s="644"/>
      <c r="AD53" s="449"/>
      <c r="AE53" s="449"/>
      <c r="AF53" s="144">
        <f t="shared" si="28"/>
        <v>0</v>
      </c>
      <c r="AG53" s="456" t="e">
        <f t="shared" si="7"/>
        <v>#DIV/0!</v>
      </c>
      <c r="AH53" s="681"/>
    </row>
    <row r="54" spans="1:34" s="145" customFormat="1" ht="19.2" customHeight="1">
      <c r="A54" s="679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0"/>
      <c r="S54" s="65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44"/>
      <c r="AC54" s="644"/>
      <c r="AD54" s="449"/>
      <c r="AE54" s="449"/>
      <c r="AF54" s="144">
        <f t="shared" si="28"/>
        <v>0</v>
      </c>
      <c r="AG54" s="456" t="e">
        <f t="shared" si="7"/>
        <v>#DIV/0!</v>
      </c>
      <c r="AH54" s="681"/>
    </row>
    <row r="55" spans="1:34" s="145" customFormat="1" ht="19.2" customHeight="1">
      <c r="A55" s="679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0"/>
      <c r="S55" s="65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44"/>
      <c r="AC55" s="644"/>
      <c r="AD55" s="449"/>
      <c r="AE55" s="449"/>
      <c r="AF55" s="144"/>
      <c r="AG55" s="456"/>
      <c r="AH55" s="681"/>
    </row>
    <row r="56" spans="1:34" ht="19.2" customHeight="1">
      <c r="A56" s="680"/>
      <c r="B56" s="157">
        <v>0</v>
      </c>
      <c r="C56" s="265" t="s">
        <v>464</v>
      </c>
      <c r="D56" s="677" t="s">
        <v>460</v>
      </c>
      <c r="E56" s="673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1661.691891673692</v>
      </c>
      <c r="O56" s="104">
        <f t="shared" si="35"/>
        <v>279.68909915757945</v>
      </c>
      <c r="P56" s="158">
        <f>M56-J56</f>
        <v>0.25</v>
      </c>
      <c r="Q56" s="117">
        <f>N56-K56</f>
        <v>-67.808108326308002</v>
      </c>
      <c r="R56" s="159">
        <f t="shared" ref="R56:R61" si="36">O56/L56</f>
        <v>0.88948185852560013</v>
      </c>
      <c r="S56" s="658"/>
      <c r="T56" s="160"/>
      <c r="U56" s="160"/>
      <c r="V56" s="46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44"/>
      <c r="AC56" s="644"/>
      <c r="AD56" s="107">
        <f>SUM(AD44:AD55)</f>
        <v>0</v>
      </c>
      <c r="AE56" s="107">
        <f>SUM(AE44:AE55)</f>
        <v>1</v>
      </c>
      <c r="AF56" s="162">
        <f>N56-K56</f>
        <v>-67.808108326308002</v>
      </c>
      <c r="AG56" s="450">
        <f>N56/K56</f>
        <v>0.96079323022474239</v>
      </c>
      <c r="AH56" s="681"/>
    </row>
    <row r="57" spans="1:34" ht="19.2" customHeight="1">
      <c r="A57" s="684" t="s">
        <v>465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1411</v>
      </c>
      <c r="H57" s="84">
        <f t="shared" ref="H57:H66" si="37">F57*G57</f>
        <v>39874.86</v>
      </c>
      <c r="I57" s="449"/>
      <c r="J57" s="87">
        <v>7</v>
      </c>
      <c r="K57" s="57">
        <v>1500</v>
      </c>
      <c r="L57" s="86">
        <v>214.28571428571428</v>
      </c>
      <c r="M57" s="459">
        <v>7</v>
      </c>
      <c r="N57" s="57">
        <f t="shared" ref="N57:N61" si="38">G57/W57*60</f>
        <v>1434.9152542372883</v>
      </c>
      <c r="O57" s="86">
        <f t="shared" ref="O57:O61" si="39">N57/M57</f>
        <v>204.98789346246977</v>
      </c>
      <c r="P57" s="165">
        <f t="shared" ref="P57:P61" si="40">M57-J57</f>
        <v>0</v>
      </c>
      <c r="Q57" s="49">
        <f t="shared" ref="Q57:Q61" si="41">O57-L57</f>
        <v>-9.297820823244507</v>
      </c>
      <c r="R57" s="453">
        <f t="shared" si="36"/>
        <v>0.95661016949152566</v>
      </c>
      <c r="S57" s="658">
        <f>R69</f>
        <v>0.96211271693598233</v>
      </c>
      <c r="T57" s="50">
        <v>0.125</v>
      </c>
      <c r="U57" s="50">
        <v>0.16597222222222222</v>
      </c>
      <c r="V57" s="451">
        <v>5</v>
      </c>
      <c r="W57" s="461">
        <f>(U57-T57)*24*60</f>
        <v>58.999999999999993</v>
      </c>
      <c r="X57" s="53"/>
      <c r="Y57" s="53"/>
      <c r="Z57" s="54"/>
      <c r="AA57" s="54"/>
      <c r="AB57" s="644"/>
      <c r="AC57" s="644"/>
      <c r="AD57" s="449"/>
      <c r="AE57" s="449"/>
      <c r="AF57" s="48">
        <f t="shared" si="6"/>
        <v>-65.084745762711691</v>
      </c>
      <c r="AG57" s="452">
        <f t="shared" si="7"/>
        <v>0.95661016949152555</v>
      </c>
      <c r="AH57" s="672">
        <f>AG69</f>
        <v>0.96219924044086835</v>
      </c>
    </row>
    <row r="58" spans="1:34" ht="19.2" customHeight="1">
      <c r="A58" s="675"/>
      <c r="B58" s="121" t="s">
        <v>103</v>
      </c>
      <c r="C58" s="449"/>
      <c r="D58" s="42" t="s">
        <v>67</v>
      </c>
      <c r="E58" s="43"/>
      <c r="F58" s="273">
        <v>27.88</v>
      </c>
      <c r="G58" s="44">
        <v>3760</v>
      </c>
      <c r="H58" s="45">
        <f t="shared" si="37"/>
        <v>104828.8</v>
      </c>
      <c r="I58" s="451"/>
      <c r="J58" s="46">
        <v>7</v>
      </c>
      <c r="K58" s="44">
        <v>1500</v>
      </c>
      <c r="L58" s="86">
        <v>214.28571428571428</v>
      </c>
      <c r="M58" s="462">
        <v>7</v>
      </c>
      <c r="N58" s="44">
        <f t="shared" si="38"/>
        <v>1436.9426751592359</v>
      </c>
      <c r="O58" s="47">
        <f t="shared" si="39"/>
        <v>205.27752502274799</v>
      </c>
      <c r="P58" s="165">
        <f t="shared" si="40"/>
        <v>0</v>
      </c>
      <c r="Q58" s="49">
        <f t="shared" si="41"/>
        <v>-9.0081892629662832</v>
      </c>
      <c r="R58" s="453">
        <f t="shared" si="36"/>
        <v>0.95796178343949068</v>
      </c>
      <c r="S58" s="658"/>
      <c r="T58" s="50">
        <v>0.17986111111111111</v>
      </c>
      <c r="U58" s="50">
        <v>0.28888888888888886</v>
      </c>
      <c r="V58" s="451">
        <v>20</v>
      </c>
      <c r="W58" s="461">
        <f>(U58-T58)*24*60</f>
        <v>156.99999999999997</v>
      </c>
      <c r="X58" s="53">
        <v>0.19791666666666666</v>
      </c>
      <c r="Y58" s="53">
        <v>0.20694444444444446</v>
      </c>
      <c r="Z58" s="54"/>
      <c r="AA58" s="54"/>
      <c r="AB58" s="682"/>
      <c r="AC58" s="683"/>
      <c r="AD58" s="449"/>
      <c r="AE58" s="449"/>
      <c r="AF58" s="48">
        <f t="shared" si="6"/>
        <v>-63.057324840764068</v>
      </c>
      <c r="AG58" s="453">
        <f t="shared" si="7"/>
        <v>0.95796178343949057</v>
      </c>
      <c r="AH58" s="658"/>
    </row>
    <row r="59" spans="1:34" ht="19.2" customHeight="1">
      <c r="A59" s="675"/>
      <c r="B59" s="121" t="s">
        <v>103</v>
      </c>
      <c r="C59" s="449"/>
      <c r="D59" s="42" t="s">
        <v>68</v>
      </c>
      <c r="E59" s="43"/>
      <c r="F59" s="273">
        <v>28</v>
      </c>
      <c r="G59" s="44">
        <v>3558</v>
      </c>
      <c r="H59" s="45">
        <f t="shared" si="37"/>
        <v>99624</v>
      </c>
      <c r="I59" s="451"/>
      <c r="J59" s="46">
        <v>7</v>
      </c>
      <c r="K59" s="44">
        <v>1500</v>
      </c>
      <c r="L59" s="86">
        <v>214.28571428571428</v>
      </c>
      <c r="M59" s="462">
        <v>7</v>
      </c>
      <c r="N59" s="44">
        <f t="shared" si="38"/>
        <v>1462.1917808219175</v>
      </c>
      <c r="O59" s="47">
        <f t="shared" si="39"/>
        <v>208.88454011741678</v>
      </c>
      <c r="P59" s="165">
        <f t="shared" si="40"/>
        <v>0</v>
      </c>
      <c r="Q59" s="49">
        <f t="shared" si="41"/>
        <v>-5.4011741682975014</v>
      </c>
      <c r="R59" s="453">
        <f t="shared" si="36"/>
        <v>0.97479452054794502</v>
      </c>
      <c r="S59" s="658"/>
      <c r="T59" s="50">
        <v>0.30624999999999997</v>
      </c>
      <c r="U59" s="50">
        <v>0.40763888888888888</v>
      </c>
      <c r="V59" s="142">
        <v>25</v>
      </c>
      <c r="W59" s="461">
        <f t="shared" ref="W59:W69" si="42">(U59-T59)*24*60</f>
        <v>146.00000000000003</v>
      </c>
      <c r="X59" s="53">
        <v>0.29305555555555557</v>
      </c>
      <c r="Y59" s="53">
        <v>0.30555555555555552</v>
      </c>
      <c r="Z59" s="54"/>
      <c r="AA59" s="54"/>
      <c r="AB59" s="644"/>
      <c r="AC59" s="644"/>
      <c r="AD59" s="449"/>
      <c r="AE59" s="449"/>
      <c r="AF59" s="48">
        <f t="shared" si="6"/>
        <v>-37.808219178082481</v>
      </c>
      <c r="AG59" s="453">
        <f t="shared" si="7"/>
        <v>0.97479452054794502</v>
      </c>
      <c r="AH59" s="658"/>
    </row>
    <row r="60" spans="1:34" ht="19.2" customHeight="1">
      <c r="A60" s="675"/>
      <c r="B60" s="121" t="s">
        <v>105</v>
      </c>
      <c r="C60" s="449"/>
      <c r="D60" s="42" t="s">
        <v>64</v>
      </c>
      <c r="E60" s="43"/>
      <c r="F60" s="273">
        <v>10.09</v>
      </c>
      <c r="G60" s="44">
        <v>2817.04</v>
      </c>
      <c r="H60" s="45">
        <f t="shared" si="37"/>
        <v>28423.9336</v>
      </c>
      <c r="I60" s="4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1444.6358974358975</v>
      </c>
      <c r="O60" s="47">
        <f t="shared" si="39"/>
        <v>240.77264957264958</v>
      </c>
      <c r="P60" s="165">
        <f t="shared" si="40"/>
        <v>0</v>
      </c>
      <c r="Q60" s="49">
        <f t="shared" si="41"/>
        <v>-9.2273504273504159</v>
      </c>
      <c r="R60" s="453">
        <f t="shared" si="36"/>
        <v>0.96309059829059829</v>
      </c>
      <c r="S60" s="658"/>
      <c r="T60" s="50">
        <v>0.4284722222222222</v>
      </c>
      <c r="U60" s="50">
        <v>0.50972222222222219</v>
      </c>
      <c r="V60" s="142">
        <v>30</v>
      </c>
      <c r="W60" s="461">
        <f t="shared" si="42"/>
        <v>116.99999999999999</v>
      </c>
      <c r="X60" s="53">
        <v>0.41250000000000003</v>
      </c>
      <c r="Y60" s="53">
        <v>0.42777777777777781</v>
      </c>
      <c r="Z60" s="54"/>
      <c r="AA60" s="54"/>
      <c r="AB60" s="644"/>
      <c r="AC60" s="644"/>
      <c r="AD60" s="449">
        <v>1</v>
      </c>
      <c r="AE60" s="449"/>
      <c r="AF60" s="48">
        <f t="shared" si="6"/>
        <v>-55.364102564102495</v>
      </c>
      <c r="AG60" s="452">
        <f t="shared" si="7"/>
        <v>0.96309059829059829</v>
      </c>
      <c r="AH60" s="658"/>
    </row>
    <row r="61" spans="1:34" ht="19.2" customHeight="1">
      <c r="A61" s="675"/>
      <c r="B61" s="121" t="s">
        <v>105</v>
      </c>
      <c r="C61" s="449"/>
      <c r="D61" s="42" t="s">
        <v>64</v>
      </c>
      <c r="E61" s="43"/>
      <c r="F61" s="273">
        <v>10.09</v>
      </c>
      <c r="G61" s="44">
        <v>3306.96</v>
      </c>
      <c r="H61" s="45">
        <f t="shared" si="37"/>
        <v>33367.2264</v>
      </c>
      <c r="I61" s="4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1437.8086956521738</v>
      </c>
      <c r="O61" s="47">
        <f t="shared" si="39"/>
        <v>239.63478260869564</v>
      </c>
      <c r="P61" s="165">
        <f t="shared" si="40"/>
        <v>0</v>
      </c>
      <c r="Q61" s="49">
        <f t="shared" si="41"/>
        <v>-10.365217391304355</v>
      </c>
      <c r="R61" s="453">
        <f t="shared" si="36"/>
        <v>0.95853913043478256</v>
      </c>
      <c r="S61" s="658"/>
      <c r="T61" s="50">
        <v>0.53055555555555556</v>
      </c>
      <c r="U61" s="50">
        <v>0.62638888888888888</v>
      </c>
      <c r="V61" s="142">
        <v>30</v>
      </c>
      <c r="W61" s="461">
        <f t="shared" si="42"/>
        <v>138</v>
      </c>
      <c r="X61" s="53">
        <v>0.51388888888888895</v>
      </c>
      <c r="Y61" s="53">
        <v>0.52916666666666667</v>
      </c>
      <c r="Z61" s="54"/>
      <c r="AA61" s="54"/>
      <c r="AB61" s="644"/>
      <c r="AC61" s="644"/>
      <c r="AD61" s="449"/>
      <c r="AE61" s="449"/>
      <c r="AF61" s="48">
        <f t="shared" si="6"/>
        <v>-62.19130434782619</v>
      </c>
      <c r="AG61" s="453">
        <f t="shared" si="7"/>
        <v>0.95853913043478256</v>
      </c>
      <c r="AH61" s="658"/>
    </row>
    <row r="62" spans="1:34" ht="19.2" customHeight="1">
      <c r="A62" s="675"/>
      <c r="B62" s="121">
        <v>0</v>
      </c>
      <c r="C62" s="449"/>
      <c r="D62" s="42"/>
      <c r="E62" s="43"/>
      <c r="F62" s="273" t="s">
        <v>106</v>
      </c>
      <c r="G62" s="134"/>
      <c r="H62" s="45">
        <f t="shared" si="37"/>
        <v>0</v>
      </c>
      <c r="I62" s="451"/>
      <c r="J62" s="46"/>
      <c r="K62" s="44"/>
      <c r="L62" s="86"/>
      <c r="M62" s="62"/>
      <c r="N62" s="44"/>
      <c r="O62" s="47"/>
      <c r="P62" s="165"/>
      <c r="Q62" s="49"/>
      <c r="R62" s="453"/>
      <c r="S62" s="658"/>
      <c r="T62" s="166"/>
      <c r="U62" s="166"/>
      <c r="V62" s="142"/>
      <c r="W62" s="461">
        <f t="shared" si="42"/>
        <v>0</v>
      </c>
      <c r="X62" s="53"/>
      <c r="Y62" s="53"/>
      <c r="Z62" s="54"/>
      <c r="AA62" s="54"/>
      <c r="AB62" s="644"/>
      <c r="AC62" s="644"/>
      <c r="AD62" s="449"/>
      <c r="AE62" s="449"/>
      <c r="AF62" s="48">
        <f t="shared" si="6"/>
        <v>0</v>
      </c>
      <c r="AG62" s="453" t="e">
        <f t="shared" si="7"/>
        <v>#DIV/0!</v>
      </c>
      <c r="AH62" s="658"/>
    </row>
    <row r="63" spans="1:34" ht="19.2" customHeight="1">
      <c r="A63" s="675"/>
      <c r="B63" s="121">
        <v>0</v>
      </c>
      <c r="C63" s="449"/>
      <c r="D63" s="42"/>
      <c r="E63" s="43"/>
      <c r="F63" s="273" t="s">
        <v>106</v>
      </c>
      <c r="G63" s="134"/>
      <c r="H63" s="45">
        <f t="shared" si="37"/>
        <v>0</v>
      </c>
      <c r="I63" s="451"/>
      <c r="J63" s="46"/>
      <c r="K63" s="44"/>
      <c r="L63" s="86"/>
      <c r="M63" s="62" t="s">
        <v>15</v>
      </c>
      <c r="N63" s="44"/>
      <c r="O63" s="47"/>
      <c r="P63" s="165"/>
      <c r="Q63" s="49"/>
      <c r="R63" s="453"/>
      <c r="S63" s="658"/>
      <c r="T63" s="166"/>
      <c r="U63" s="166"/>
      <c r="V63" s="142"/>
      <c r="W63" s="461">
        <f t="shared" si="42"/>
        <v>0</v>
      </c>
      <c r="X63" s="53"/>
      <c r="Y63" s="53"/>
      <c r="Z63" s="54"/>
      <c r="AA63" s="54"/>
      <c r="AB63" s="644"/>
      <c r="AC63" s="644"/>
      <c r="AD63" s="449"/>
      <c r="AE63" s="449"/>
      <c r="AF63" s="48">
        <f t="shared" si="6"/>
        <v>0</v>
      </c>
      <c r="AG63" s="452" t="e">
        <f t="shared" si="7"/>
        <v>#DIV/0!</v>
      </c>
      <c r="AH63" s="658"/>
    </row>
    <row r="64" spans="1:34" ht="19.2" customHeight="1">
      <c r="A64" s="64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51"/>
      <c r="J64" s="167"/>
      <c r="K64" s="61"/>
      <c r="L64" s="86"/>
      <c r="M64" s="62"/>
      <c r="N64" s="44"/>
      <c r="O64" s="47"/>
      <c r="P64" s="165"/>
      <c r="Q64" s="49"/>
      <c r="R64" s="453"/>
      <c r="S64" s="658"/>
      <c r="T64" s="166"/>
      <c r="U64" s="166"/>
      <c r="V64" s="142"/>
      <c r="W64" s="461">
        <f t="shared" si="42"/>
        <v>0</v>
      </c>
      <c r="X64" s="451"/>
      <c r="Y64" s="451"/>
      <c r="Z64" s="54"/>
      <c r="AA64" s="54"/>
      <c r="AB64" s="644"/>
      <c r="AC64" s="644"/>
      <c r="AD64" s="449"/>
      <c r="AE64" s="449"/>
      <c r="AF64" s="48">
        <f t="shared" si="6"/>
        <v>0</v>
      </c>
      <c r="AG64" s="453" t="e">
        <f t="shared" si="7"/>
        <v>#DIV/0!</v>
      </c>
      <c r="AH64" s="658"/>
    </row>
    <row r="65" spans="1:34" ht="19.2" customHeight="1">
      <c r="A65" s="640"/>
      <c r="B65" s="97">
        <v>0</v>
      </c>
      <c r="C65" s="457"/>
      <c r="D65" s="42"/>
      <c r="E65" s="43"/>
      <c r="F65" s="273" t="s">
        <v>106</v>
      </c>
      <c r="G65" s="134"/>
      <c r="H65" s="45">
        <f t="shared" si="37"/>
        <v>0</v>
      </c>
      <c r="I65" s="451"/>
      <c r="J65" s="167"/>
      <c r="K65" s="61"/>
      <c r="L65" s="86"/>
      <c r="M65" s="62"/>
      <c r="N65" s="61"/>
      <c r="O65" s="77"/>
      <c r="P65" s="48"/>
      <c r="Q65" s="49"/>
      <c r="R65" s="453"/>
      <c r="S65" s="658"/>
      <c r="T65" s="166"/>
      <c r="U65" s="166"/>
      <c r="V65" s="142"/>
      <c r="W65" s="461">
        <f t="shared" si="42"/>
        <v>0</v>
      </c>
      <c r="X65" s="451"/>
      <c r="Y65" s="451"/>
      <c r="Z65" s="54"/>
      <c r="AA65" s="54"/>
      <c r="AB65" s="644"/>
      <c r="AC65" s="644"/>
      <c r="AD65" s="449"/>
      <c r="AE65" s="449"/>
      <c r="AF65" s="48">
        <f t="shared" si="6"/>
        <v>0</v>
      </c>
      <c r="AG65" s="453" t="e">
        <f t="shared" si="7"/>
        <v>#DIV/0!</v>
      </c>
      <c r="AH65" s="658"/>
    </row>
    <row r="66" spans="1:34" ht="19.2" customHeight="1">
      <c r="A66" s="640"/>
      <c r="B66" s="97">
        <v>0</v>
      </c>
      <c r="C66" s="457"/>
      <c r="D66" s="42"/>
      <c r="E66" s="43"/>
      <c r="F66" s="273" t="s">
        <v>106</v>
      </c>
      <c r="G66" s="134"/>
      <c r="H66" s="45">
        <f t="shared" si="37"/>
        <v>0</v>
      </c>
      <c r="I66" s="451"/>
      <c r="J66" s="167"/>
      <c r="K66" s="61"/>
      <c r="L66" s="86"/>
      <c r="M66" s="62"/>
      <c r="N66" s="61"/>
      <c r="O66" s="77"/>
      <c r="P66" s="48"/>
      <c r="Q66" s="49"/>
      <c r="R66" s="453"/>
      <c r="S66" s="658"/>
      <c r="T66" s="166"/>
      <c r="U66" s="166"/>
      <c r="V66" s="142"/>
      <c r="W66" s="461">
        <f t="shared" si="42"/>
        <v>0</v>
      </c>
      <c r="X66" s="451"/>
      <c r="Y66" s="451"/>
      <c r="Z66" s="54"/>
      <c r="AA66" s="54"/>
      <c r="AB66" s="644"/>
      <c r="AC66" s="644"/>
      <c r="AD66" s="449"/>
      <c r="AE66" s="449"/>
      <c r="AF66" s="48">
        <f t="shared" si="6"/>
        <v>0</v>
      </c>
      <c r="AG66" s="452" t="e">
        <f t="shared" si="7"/>
        <v>#DIV/0!</v>
      </c>
      <c r="AH66" s="658"/>
    </row>
    <row r="67" spans="1:34" ht="19.2" customHeight="1">
      <c r="A67" s="640"/>
      <c r="B67" s="97">
        <v>0</v>
      </c>
      <c r="C67" s="457"/>
      <c r="D67" s="42"/>
      <c r="E67" s="43"/>
      <c r="F67" s="273" t="s">
        <v>106</v>
      </c>
      <c r="G67" s="134"/>
      <c r="H67" s="45">
        <f>F67*G67</f>
        <v>0</v>
      </c>
      <c r="I67" s="451"/>
      <c r="J67" s="167"/>
      <c r="K67" s="61"/>
      <c r="L67" s="86"/>
      <c r="M67" s="62"/>
      <c r="N67" s="61"/>
      <c r="O67" s="77"/>
      <c r="P67" s="48"/>
      <c r="Q67" s="49"/>
      <c r="R67" s="453"/>
      <c r="S67" s="658"/>
      <c r="T67" s="166"/>
      <c r="U67" s="166"/>
      <c r="V67" s="142"/>
      <c r="W67" s="461">
        <f t="shared" si="42"/>
        <v>0</v>
      </c>
      <c r="X67" s="451"/>
      <c r="Y67" s="451"/>
      <c r="Z67" s="54"/>
      <c r="AA67" s="54"/>
      <c r="AB67" s="644"/>
      <c r="AC67" s="644"/>
      <c r="AD67" s="449"/>
      <c r="AE67" s="449"/>
      <c r="AF67" s="48">
        <f t="shared" si="6"/>
        <v>0</v>
      </c>
      <c r="AG67" s="453" t="e">
        <f t="shared" si="7"/>
        <v>#DIV/0!</v>
      </c>
      <c r="AH67" s="658"/>
    </row>
    <row r="68" spans="1:34" ht="19.2" customHeight="1">
      <c r="A68" s="640"/>
      <c r="B68" s="451">
        <v>0</v>
      </c>
      <c r="C68" s="457"/>
      <c r="D68" s="42"/>
      <c r="E68" s="43"/>
      <c r="F68" s="280" t="s">
        <v>106</v>
      </c>
      <c r="G68" s="134"/>
      <c r="H68" s="45">
        <f>F68*G68</f>
        <v>0</v>
      </c>
      <c r="I68" s="451"/>
      <c r="J68" s="167"/>
      <c r="K68" s="61"/>
      <c r="L68" s="86"/>
      <c r="M68" s="62"/>
      <c r="N68" s="61"/>
      <c r="O68" s="77"/>
      <c r="P68" s="48"/>
      <c r="Q68" s="49"/>
      <c r="R68" s="453"/>
      <c r="S68" s="658"/>
      <c r="T68" s="166"/>
      <c r="U68" s="166"/>
      <c r="V68" s="142"/>
      <c r="W68" s="461">
        <f t="shared" si="42"/>
        <v>0</v>
      </c>
      <c r="X68" s="451"/>
      <c r="Y68" s="451"/>
      <c r="Z68" s="54"/>
      <c r="AA68" s="54"/>
      <c r="AB68" s="644"/>
      <c r="AC68" s="644"/>
      <c r="AD68" s="449"/>
      <c r="AE68" s="449"/>
      <c r="AF68" s="48"/>
      <c r="AG68" s="453"/>
      <c r="AH68" s="658"/>
    </row>
    <row r="69" spans="1:34" ht="19.2" customHeight="1">
      <c r="A69" s="640"/>
      <c r="B69" s="168">
        <v>0</v>
      </c>
      <c r="C69" s="6" t="s">
        <v>466</v>
      </c>
      <c r="D69" s="673" t="s">
        <v>460</v>
      </c>
      <c r="E69" s="67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1443.2988606613026</v>
      </c>
      <c r="O69" s="73">
        <f t="shared" si="43"/>
        <v>219.91147815679597</v>
      </c>
      <c r="P69" s="48">
        <f>M69-J69</f>
        <v>0</v>
      </c>
      <c r="Q69" s="49">
        <f>N69-K69</f>
        <v>-56.701139338697431</v>
      </c>
      <c r="R69" s="172">
        <f t="shared" ref="R69:R76" si="44">O69/L69</f>
        <v>0.96211271693598233</v>
      </c>
      <c r="S69" s="658"/>
      <c r="T69" s="141"/>
      <c r="U69" s="141"/>
      <c r="V69" s="44"/>
      <c r="W69" s="46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44"/>
      <c r="AC69" s="644"/>
      <c r="AD69" s="107">
        <f>SUM(AD57:AD68)</f>
        <v>1</v>
      </c>
      <c r="AE69" s="107">
        <f>SUM(AE57:AE68)</f>
        <v>0</v>
      </c>
      <c r="AF69" s="48">
        <f t="shared" si="6"/>
        <v>-56.701139338697431</v>
      </c>
      <c r="AG69" s="453">
        <f t="shared" si="7"/>
        <v>0.96219924044086835</v>
      </c>
      <c r="AH69" s="658"/>
    </row>
    <row r="70" spans="1:34" ht="19.2" customHeight="1">
      <c r="A70" s="642" t="s">
        <v>467</v>
      </c>
      <c r="B70" s="451" t="s">
        <v>105</v>
      </c>
      <c r="C70" s="97"/>
      <c r="D70" s="42" t="s">
        <v>115</v>
      </c>
      <c r="E70" s="43"/>
      <c r="F70" s="273">
        <v>54.09</v>
      </c>
      <c r="G70" s="57">
        <v>863.69999999999993</v>
      </c>
      <c r="H70" s="45">
        <f>F70*G70</f>
        <v>46717.532999999996</v>
      </c>
      <c r="I70" s="451"/>
      <c r="J70" s="46">
        <v>16</v>
      </c>
      <c r="K70" s="44">
        <v>1500</v>
      </c>
      <c r="L70" s="47">
        <v>93.75</v>
      </c>
      <c r="M70" s="462">
        <v>17</v>
      </c>
      <c r="N70" s="44">
        <f t="shared" ref="N70:N76" si="45">G70/W70*60</f>
        <v>1400.5945945945932</v>
      </c>
      <c r="O70" s="47">
        <f t="shared" ref="O70:O76" si="46">N70/M70</f>
        <v>82.387917329093725</v>
      </c>
      <c r="P70" s="48">
        <f t="shared" ref="P70:P76" si="47">M70-J70</f>
        <v>1</v>
      </c>
      <c r="Q70" s="49">
        <f t="shared" ref="Q70:Q76" si="48">O70-L70</f>
        <v>-11.362082670906275</v>
      </c>
      <c r="R70" s="453">
        <f t="shared" si="44"/>
        <v>0.87880445151033304</v>
      </c>
      <c r="S70" s="658">
        <f>R82</f>
        <v>0.89063934886323048</v>
      </c>
      <c r="T70" s="50">
        <v>0.25</v>
      </c>
      <c r="U70" s="50">
        <v>0.27569444444444446</v>
      </c>
      <c r="V70" s="451">
        <v>5</v>
      </c>
      <c r="W70" s="461">
        <f>(U70-T70)*24*60</f>
        <v>37.000000000000028</v>
      </c>
      <c r="X70" s="451"/>
      <c r="Y70" s="451"/>
      <c r="Z70" s="54"/>
      <c r="AA70" s="54"/>
      <c r="AB70" s="644"/>
      <c r="AC70" s="644"/>
      <c r="AD70" s="449"/>
      <c r="AE70" s="449"/>
      <c r="AF70" s="48">
        <f t="shared" si="6"/>
        <v>-99.405405405406782</v>
      </c>
      <c r="AG70" s="453">
        <f t="shared" si="7"/>
        <v>0.93372972972972879</v>
      </c>
      <c r="AH70" s="658">
        <f>AG82</f>
        <v>0.89767975692745816</v>
      </c>
    </row>
    <row r="71" spans="1:34" ht="19.2" customHeight="1">
      <c r="A71" s="642"/>
      <c r="B71" s="451" t="s">
        <v>101</v>
      </c>
      <c r="C71" s="41"/>
      <c r="D71" s="173" t="s">
        <v>183</v>
      </c>
      <c r="E71" s="43"/>
      <c r="F71" s="273">
        <v>65.27</v>
      </c>
      <c r="G71" s="44">
        <v>1395.9</v>
      </c>
      <c r="H71" s="45">
        <f>F71*G71</f>
        <v>91110.392999999996</v>
      </c>
      <c r="I71" s="451"/>
      <c r="J71" s="46">
        <v>18</v>
      </c>
      <c r="K71" s="174">
        <v>1440</v>
      </c>
      <c r="L71" s="47">
        <v>80</v>
      </c>
      <c r="M71" s="459">
        <v>18</v>
      </c>
      <c r="N71" s="44">
        <f t="shared" si="45"/>
        <v>1308.6562499999998</v>
      </c>
      <c r="O71" s="47">
        <f t="shared" si="46"/>
        <v>72.703124999999986</v>
      </c>
      <c r="P71" s="48">
        <f t="shared" si="47"/>
        <v>0</v>
      </c>
      <c r="Q71" s="49">
        <f t="shared" si="48"/>
        <v>-7.2968750000000142</v>
      </c>
      <c r="R71" s="453">
        <f t="shared" si="44"/>
        <v>0.9087890624999998</v>
      </c>
      <c r="S71" s="658"/>
      <c r="T71" s="50">
        <v>0.29097222222222224</v>
      </c>
      <c r="U71" s="50">
        <v>0.3354166666666667</v>
      </c>
      <c r="V71" s="451">
        <v>22</v>
      </c>
      <c r="W71" s="461">
        <f t="shared" ref="W71:W81" si="49">(U71-T71)*24*60</f>
        <v>64.000000000000014</v>
      </c>
      <c r="X71" s="53">
        <v>0.28055555555555556</v>
      </c>
      <c r="Y71" s="53">
        <v>0.2902777777777778</v>
      </c>
      <c r="Z71" s="54"/>
      <c r="AA71" s="54"/>
      <c r="AB71" s="644"/>
      <c r="AC71" s="644"/>
      <c r="AD71" s="449"/>
      <c r="AE71" s="449"/>
      <c r="AF71" s="48">
        <f>N71-K71</f>
        <v>-131.34375000000023</v>
      </c>
      <c r="AG71" s="453">
        <f>N71/K71</f>
        <v>0.9087890624999998</v>
      </c>
      <c r="AH71" s="658"/>
    </row>
    <row r="72" spans="1:34" ht="19.2" customHeight="1">
      <c r="A72" s="642"/>
      <c r="B72" s="451" t="s">
        <v>101</v>
      </c>
      <c r="C72" s="66"/>
      <c r="D72" s="173" t="s">
        <v>69</v>
      </c>
      <c r="E72" s="43"/>
      <c r="F72" s="273">
        <v>53.36</v>
      </c>
      <c r="G72" s="44">
        <v>4996.8</v>
      </c>
      <c r="H72" s="45">
        <f t="shared" ref="H72:H76" si="50">F72*G72</f>
        <v>266629.24800000002</v>
      </c>
      <c r="I72" s="451"/>
      <c r="J72" s="87">
        <v>19</v>
      </c>
      <c r="K72" s="57">
        <v>1636</v>
      </c>
      <c r="L72" s="86">
        <v>86.10526315789474</v>
      </c>
      <c r="M72" s="462">
        <v>19</v>
      </c>
      <c r="N72" s="44">
        <f t="shared" si="45"/>
        <v>1455.3786407766991</v>
      </c>
      <c r="O72" s="47">
        <f t="shared" si="46"/>
        <v>76.598875830352583</v>
      </c>
      <c r="P72" s="48">
        <f t="shared" si="47"/>
        <v>0</v>
      </c>
      <c r="Q72" s="49">
        <f t="shared" si="48"/>
        <v>-9.5063873275421571</v>
      </c>
      <c r="R72" s="453">
        <f t="shared" si="44"/>
        <v>0.88959574619602633</v>
      </c>
      <c r="S72" s="658"/>
      <c r="T72" s="50">
        <v>0.33958333333333335</v>
      </c>
      <c r="U72" s="50">
        <v>0.4826388888888889</v>
      </c>
      <c r="V72" s="451">
        <v>6</v>
      </c>
      <c r="W72" s="461">
        <f t="shared" si="49"/>
        <v>206</v>
      </c>
      <c r="X72" s="53"/>
      <c r="Y72" s="53"/>
      <c r="Z72" s="54"/>
      <c r="AA72" s="54"/>
      <c r="AB72" s="644"/>
      <c r="AC72" s="644"/>
      <c r="AD72" s="449"/>
      <c r="AE72" s="449"/>
      <c r="AF72" s="48">
        <f>N72-K72</f>
        <v>-180.62135922330094</v>
      </c>
      <c r="AG72" s="453">
        <f>N72/K72</f>
        <v>0.88959574619602633</v>
      </c>
      <c r="AH72" s="658"/>
    </row>
    <row r="73" spans="1:34" ht="19.2" customHeight="1">
      <c r="A73" s="642"/>
      <c r="B73" s="451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449"/>
      <c r="J73" s="178">
        <v>17</v>
      </c>
      <c r="K73" s="179">
        <v>1440</v>
      </c>
      <c r="L73" s="86">
        <v>84.705882352941174</v>
      </c>
      <c r="M73" s="459">
        <v>17</v>
      </c>
      <c r="N73" s="44">
        <f t="shared" si="45"/>
        <v>1346.4285714285709</v>
      </c>
      <c r="O73" s="47">
        <f t="shared" si="46"/>
        <v>79.201680672268878</v>
      </c>
      <c r="P73" s="48">
        <f t="shared" si="47"/>
        <v>0</v>
      </c>
      <c r="Q73" s="49">
        <f t="shared" si="48"/>
        <v>-5.5042016806722955</v>
      </c>
      <c r="R73" s="453">
        <f t="shared" si="44"/>
        <v>0.93501984126984095</v>
      </c>
      <c r="S73" s="658"/>
      <c r="T73" s="50">
        <v>0.52291666666666659</v>
      </c>
      <c r="U73" s="50">
        <v>0.58124999999999993</v>
      </c>
      <c r="V73" s="451">
        <v>5</v>
      </c>
      <c r="W73" s="461">
        <f t="shared" si="49"/>
        <v>84.000000000000028</v>
      </c>
      <c r="X73" s="180"/>
      <c r="Y73" s="180"/>
      <c r="Z73" s="124"/>
      <c r="AA73" s="124"/>
      <c r="AB73" s="644"/>
      <c r="AC73" s="644"/>
      <c r="AD73" s="449"/>
      <c r="AE73" s="449"/>
      <c r="AF73" s="48">
        <f>N73-K73</f>
        <v>-93.571428571429124</v>
      </c>
      <c r="AG73" s="453">
        <f>N73/K73</f>
        <v>0.93501984126984083</v>
      </c>
      <c r="AH73" s="658"/>
    </row>
    <row r="74" spans="1:34" ht="19.2" customHeight="1">
      <c r="A74" s="642"/>
      <c r="B74" s="451" t="s">
        <v>101</v>
      </c>
      <c r="C74" s="175"/>
      <c r="D74" s="176" t="s">
        <v>70</v>
      </c>
      <c r="E74" s="177"/>
      <c r="F74" s="273">
        <v>53.76</v>
      </c>
      <c r="G74" s="44">
        <v>2730</v>
      </c>
      <c r="H74" s="45">
        <f t="shared" si="50"/>
        <v>146764.79999999999</v>
      </c>
      <c r="I74" s="451"/>
      <c r="J74" s="87">
        <v>16</v>
      </c>
      <c r="K74" s="57">
        <v>1440</v>
      </c>
      <c r="L74" s="86">
        <v>90</v>
      </c>
      <c r="M74" s="462">
        <v>16</v>
      </c>
      <c r="N74" s="44">
        <f t="shared" si="45"/>
        <v>1331.7073170731703</v>
      </c>
      <c r="O74" s="47">
        <f t="shared" si="46"/>
        <v>83.231707317073145</v>
      </c>
      <c r="P74" s="48">
        <f t="shared" si="47"/>
        <v>0</v>
      </c>
      <c r="Q74" s="49">
        <f t="shared" si="48"/>
        <v>-6.7682926829268553</v>
      </c>
      <c r="R74" s="453">
        <f t="shared" si="44"/>
        <v>0.92479674796747935</v>
      </c>
      <c r="S74" s="658"/>
      <c r="T74" s="50">
        <v>0.58611111111111103</v>
      </c>
      <c r="U74" s="50">
        <v>0.67152777777777772</v>
      </c>
      <c r="V74" s="451">
        <v>7</v>
      </c>
      <c r="W74" s="461">
        <f t="shared" si="49"/>
        <v>123.00000000000004</v>
      </c>
      <c r="X74" s="180"/>
      <c r="Y74" s="180"/>
      <c r="Z74" s="124"/>
      <c r="AA74" s="124"/>
      <c r="AB74" s="644"/>
      <c r="AC74" s="644"/>
      <c r="AD74" s="449"/>
      <c r="AE74" s="449"/>
      <c r="AF74" s="48">
        <f t="shared" ref="AF74:AF80" si="51">N74-K74</f>
        <v>-108.29268292682968</v>
      </c>
      <c r="AG74" s="453">
        <f t="shared" ref="AG74:AG80" si="52">N74/K74</f>
        <v>0.92479674796747935</v>
      </c>
      <c r="AH74" s="658"/>
    </row>
    <row r="75" spans="1:34" ht="19.2" customHeight="1">
      <c r="A75" s="642"/>
      <c r="B75" s="451" t="s">
        <v>101</v>
      </c>
      <c r="C75" s="66"/>
      <c r="D75" s="176" t="s">
        <v>69</v>
      </c>
      <c r="E75" s="177"/>
      <c r="F75" s="273">
        <v>53.36</v>
      </c>
      <c r="G75" s="174">
        <v>555.20000000000005</v>
      </c>
      <c r="H75" s="45">
        <f t="shared" si="50"/>
        <v>29625.472000000002</v>
      </c>
      <c r="I75" s="451">
        <v>1</v>
      </c>
      <c r="J75" s="87">
        <v>19</v>
      </c>
      <c r="K75" s="57">
        <v>1636</v>
      </c>
      <c r="L75" s="86">
        <v>86.10526315789474</v>
      </c>
      <c r="M75" s="462">
        <v>19</v>
      </c>
      <c r="N75" s="44">
        <f t="shared" si="45"/>
        <v>1448.3478260869517</v>
      </c>
      <c r="O75" s="47">
        <f t="shared" si="46"/>
        <v>76.228832951944824</v>
      </c>
      <c r="P75" s="48">
        <f t="shared" si="47"/>
        <v>0</v>
      </c>
      <c r="Q75" s="49">
        <f t="shared" si="48"/>
        <v>-9.8764302059499158</v>
      </c>
      <c r="R75" s="453">
        <f t="shared" si="44"/>
        <v>0.8852981822047381</v>
      </c>
      <c r="S75" s="658"/>
      <c r="T75" s="50">
        <v>0.68680555555555545</v>
      </c>
      <c r="U75" s="50">
        <v>0.70277777777777772</v>
      </c>
      <c r="V75" s="451">
        <v>22</v>
      </c>
      <c r="W75" s="461">
        <f t="shared" si="49"/>
        <v>23.000000000000078</v>
      </c>
      <c r="X75" s="180">
        <v>0.67638888888888893</v>
      </c>
      <c r="Y75" s="180">
        <v>0.68611111111111101</v>
      </c>
      <c r="Z75" s="124"/>
      <c r="AA75" s="124"/>
      <c r="AB75" s="644"/>
      <c r="AC75" s="644"/>
      <c r="AD75" s="449"/>
      <c r="AE75" s="449"/>
      <c r="AF75" s="48">
        <f t="shared" si="51"/>
        <v>-187.65217391304827</v>
      </c>
      <c r="AG75" s="453">
        <f t="shared" si="52"/>
        <v>0.88529818220473822</v>
      </c>
      <c r="AH75" s="658"/>
    </row>
    <row r="76" spans="1:34" ht="19.2" customHeight="1">
      <c r="A76" s="642"/>
      <c r="B76" s="451" t="s">
        <v>101</v>
      </c>
      <c r="C76" s="175"/>
      <c r="D76" s="42" t="s">
        <v>183</v>
      </c>
      <c r="E76" s="43"/>
      <c r="F76" s="273">
        <v>65.27</v>
      </c>
      <c r="G76" s="174">
        <v>155.10000000000002</v>
      </c>
      <c r="H76" s="45">
        <f t="shared" si="50"/>
        <v>10123.377</v>
      </c>
      <c r="I76" s="451">
        <v>1</v>
      </c>
      <c r="J76" s="87">
        <v>18</v>
      </c>
      <c r="K76" s="57">
        <v>1440</v>
      </c>
      <c r="L76" s="86">
        <v>80</v>
      </c>
      <c r="M76" s="459">
        <v>18</v>
      </c>
      <c r="N76" s="44">
        <f t="shared" si="45"/>
        <v>1163.2500000000043</v>
      </c>
      <c r="O76" s="47">
        <f t="shared" si="46"/>
        <v>64.625000000000242</v>
      </c>
      <c r="P76" s="48">
        <f t="shared" si="47"/>
        <v>0</v>
      </c>
      <c r="Q76" s="49">
        <f t="shared" si="48"/>
        <v>-15.374999999999758</v>
      </c>
      <c r="R76" s="453">
        <f t="shared" si="44"/>
        <v>0.80781250000000304</v>
      </c>
      <c r="S76" s="658"/>
      <c r="T76" s="50">
        <v>0.70763888888888882</v>
      </c>
      <c r="U76" s="50">
        <v>0.71319444444444435</v>
      </c>
      <c r="V76" s="451">
        <v>7</v>
      </c>
      <c r="W76" s="461">
        <f t="shared" si="49"/>
        <v>7.9999999999999716</v>
      </c>
      <c r="X76" s="180"/>
      <c r="Y76" s="180"/>
      <c r="Z76" s="124"/>
      <c r="AA76" s="124"/>
      <c r="AB76" s="644"/>
      <c r="AC76" s="644"/>
      <c r="AD76" s="449"/>
      <c r="AE76" s="449"/>
      <c r="AF76" s="48">
        <f t="shared" si="51"/>
        <v>-276.74999999999568</v>
      </c>
      <c r="AG76" s="453">
        <f t="shared" si="52"/>
        <v>0.80781250000000304</v>
      </c>
      <c r="AH76" s="658"/>
    </row>
    <row r="77" spans="1:34" ht="19.2" customHeight="1">
      <c r="A77" s="642"/>
      <c r="B77" s="451">
        <v>0</v>
      </c>
      <c r="C77" s="457"/>
      <c r="D77" s="42"/>
      <c r="E77" s="43"/>
      <c r="F77" s="273"/>
      <c r="G77" s="174"/>
      <c r="H77" s="45"/>
      <c r="I77" s="449"/>
      <c r="J77" s="46"/>
      <c r="K77" s="174"/>
      <c r="L77" s="47"/>
      <c r="M77" s="459"/>
      <c r="N77" s="44"/>
      <c r="O77" s="47"/>
      <c r="P77" s="48"/>
      <c r="Q77" s="49"/>
      <c r="R77" s="453"/>
      <c r="S77" s="658"/>
      <c r="T77" s="50"/>
      <c r="U77" s="50"/>
      <c r="V77" s="451"/>
      <c r="W77" s="461">
        <f t="shared" si="49"/>
        <v>0</v>
      </c>
      <c r="X77" s="180"/>
      <c r="Y77" s="180"/>
      <c r="Z77" s="124"/>
      <c r="AA77" s="124"/>
      <c r="AB77" s="644"/>
      <c r="AC77" s="644"/>
      <c r="AD77" s="449"/>
      <c r="AE77" s="449"/>
      <c r="AF77" s="48">
        <f t="shared" si="51"/>
        <v>0</v>
      </c>
      <c r="AG77" s="453" t="e">
        <f t="shared" si="52"/>
        <v>#DIV/0!</v>
      </c>
      <c r="AH77" s="658"/>
    </row>
    <row r="78" spans="1:34" ht="19.2" customHeight="1">
      <c r="A78" s="642"/>
      <c r="B78" s="451">
        <v>0</v>
      </c>
      <c r="C78" s="457"/>
      <c r="D78" s="42"/>
      <c r="E78" s="43"/>
      <c r="F78" s="273"/>
      <c r="G78" s="57"/>
      <c r="H78" s="45"/>
      <c r="I78" s="449"/>
      <c r="J78" s="87"/>
      <c r="K78" s="57"/>
      <c r="L78" s="86"/>
      <c r="M78" s="459"/>
      <c r="N78" s="44"/>
      <c r="O78" s="47"/>
      <c r="P78" s="48"/>
      <c r="Q78" s="49"/>
      <c r="R78" s="453"/>
      <c r="S78" s="658"/>
      <c r="T78" s="50"/>
      <c r="U78" s="50"/>
      <c r="V78" s="451"/>
      <c r="W78" s="461">
        <f t="shared" si="49"/>
        <v>0</v>
      </c>
      <c r="X78" s="180"/>
      <c r="Y78" s="180"/>
      <c r="Z78" s="124"/>
      <c r="AA78" s="124"/>
      <c r="AB78" s="644"/>
      <c r="AC78" s="644"/>
      <c r="AD78" s="449"/>
      <c r="AE78" s="449"/>
      <c r="AF78" s="48">
        <f t="shared" si="51"/>
        <v>0</v>
      </c>
      <c r="AG78" s="453" t="e">
        <f t="shared" si="52"/>
        <v>#DIV/0!</v>
      </c>
      <c r="AH78" s="658"/>
    </row>
    <row r="79" spans="1:34" ht="19.2" customHeight="1">
      <c r="A79" s="642"/>
      <c r="B79" s="451">
        <v>0</v>
      </c>
      <c r="C79" s="175"/>
      <c r="D79" s="176"/>
      <c r="E79" s="177"/>
      <c r="F79" s="273"/>
      <c r="G79" s="57"/>
      <c r="H79" s="45"/>
      <c r="I79" s="449"/>
      <c r="J79" s="87"/>
      <c r="K79" s="57"/>
      <c r="L79" s="86"/>
      <c r="M79" s="459"/>
      <c r="N79" s="57"/>
      <c r="O79" s="181"/>
      <c r="P79" s="108"/>
      <c r="Q79" s="182"/>
      <c r="R79" s="109"/>
      <c r="S79" s="658"/>
      <c r="T79" s="50"/>
      <c r="U79" s="50"/>
      <c r="V79" s="451"/>
      <c r="W79" s="461">
        <f t="shared" si="49"/>
        <v>0</v>
      </c>
      <c r="X79" s="180"/>
      <c r="Y79" s="180"/>
      <c r="Z79" s="124"/>
      <c r="AA79" s="124"/>
      <c r="AB79" s="644"/>
      <c r="AC79" s="644"/>
      <c r="AD79" s="449"/>
      <c r="AE79" s="449"/>
      <c r="AF79" s="48">
        <f t="shared" si="51"/>
        <v>0</v>
      </c>
      <c r="AG79" s="453" t="e">
        <f t="shared" si="52"/>
        <v>#DIV/0!</v>
      </c>
      <c r="AH79" s="658"/>
    </row>
    <row r="80" spans="1:34" ht="19.2" customHeight="1">
      <c r="A80" s="642"/>
      <c r="B80" s="451">
        <v>0</v>
      </c>
      <c r="C80" s="457"/>
      <c r="D80" s="42"/>
      <c r="E80" s="43"/>
      <c r="F80" s="273"/>
      <c r="G80" s="57"/>
      <c r="H80" s="45"/>
      <c r="I80" s="449"/>
      <c r="J80" s="87"/>
      <c r="K80" s="57"/>
      <c r="L80" s="86"/>
      <c r="M80" s="459"/>
      <c r="N80" s="57"/>
      <c r="O80" s="183"/>
      <c r="P80" s="54"/>
      <c r="Q80" s="88"/>
      <c r="R80" s="455"/>
      <c r="S80" s="658"/>
      <c r="T80" s="50"/>
      <c r="U80" s="50"/>
      <c r="V80" s="451"/>
      <c r="W80" s="461">
        <f t="shared" si="49"/>
        <v>0</v>
      </c>
      <c r="X80" s="180"/>
      <c r="Y80" s="180"/>
      <c r="Z80" s="124"/>
      <c r="AA80" s="124"/>
      <c r="AB80" s="644"/>
      <c r="AC80" s="644"/>
      <c r="AD80" s="449"/>
      <c r="AE80" s="449"/>
      <c r="AF80" s="48">
        <f t="shared" si="51"/>
        <v>0</v>
      </c>
      <c r="AG80" s="453" t="e">
        <f t="shared" si="52"/>
        <v>#DIV/0!</v>
      </c>
      <c r="AH80" s="658"/>
    </row>
    <row r="81" spans="1:34" ht="19.2" customHeight="1">
      <c r="A81" s="642"/>
      <c r="B81" s="451">
        <v>0</v>
      </c>
      <c r="C81" s="457"/>
      <c r="D81" s="42"/>
      <c r="E81" s="43"/>
      <c r="F81" s="280"/>
      <c r="G81" s="57"/>
      <c r="H81" s="84"/>
      <c r="I81" s="449"/>
      <c r="J81" s="87"/>
      <c r="K81" s="57"/>
      <c r="L81" s="86"/>
      <c r="M81" s="459"/>
      <c r="N81" s="57"/>
      <c r="O81" s="183"/>
      <c r="P81" s="54"/>
      <c r="Q81" s="88"/>
      <c r="R81" s="455"/>
      <c r="S81" s="658"/>
      <c r="T81" s="50"/>
      <c r="U81" s="50"/>
      <c r="V81" s="451"/>
      <c r="W81" s="461">
        <f t="shared" si="49"/>
        <v>0</v>
      </c>
      <c r="X81" s="180"/>
      <c r="Y81" s="180"/>
      <c r="Z81" s="124"/>
      <c r="AA81" s="124"/>
      <c r="AB81" s="644"/>
      <c r="AC81" s="644"/>
      <c r="AD81" s="449"/>
      <c r="AE81" s="449"/>
      <c r="AF81" s="48"/>
      <c r="AG81" s="125"/>
      <c r="AH81" s="658"/>
    </row>
    <row r="82" spans="1:34" ht="19.2" customHeight="1">
      <c r="A82" s="685"/>
      <c r="B82" s="168">
        <v>0</v>
      </c>
      <c r="C82" s="100" t="s">
        <v>468</v>
      </c>
      <c r="D82" s="673" t="s">
        <v>460</v>
      </c>
      <c r="E82" s="673"/>
      <c r="F82" s="283"/>
      <c r="G82" s="101"/>
      <c r="H82" s="102"/>
      <c r="I82" s="103"/>
      <c r="J82" s="101">
        <v>17.571428571428573</v>
      </c>
      <c r="K82" s="101">
        <v>1504.5714285714287</v>
      </c>
      <c r="L82" s="104">
        <v>85.809486952675798</v>
      </c>
      <c r="M82" s="101">
        <f t="shared" ref="M82:O82" si="53">AVERAGE(M70:M81)</f>
        <v>17.714285714285715</v>
      </c>
      <c r="N82" s="101">
        <f t="shared" si="53"/>
        <v>1350.6233142799986</v>
      </c>
      <c r="O82" s="184">
        <f t="shared" si="53"/>
        <v>76.425305585819046</v>
      </c>
      <c r="P82" s="116">
        <f>M82-J82</f>
        <v>0.14285714285714235</v>
      </c>
      <c r="Q82" s="117">
        <f>N82-K82</f>
        <v>-153.9481142914301</v>
      </c>
      <c r="R82" s="172">
        <f>O82/L82</f>
        <v>0.89063934886323048</v>
      </c>
      <c r="S82" s="658"/>
      <c r="T82" s="50"/>
      <c r="U82" s="50"/>
      <c r="V82" s="451"/>
      <c r="W82" s="44"/>
      <c r="X82" s="47"/>
      <c r="Y82" s="47"/>
      <c r="Z82" s="106">
        <f>SUM(Z70:Z81)</f>
        <v>0</v>
      </c>
      <c r="AA82" s="106">
        <f>SUM(AA70:AA81)</f>
        <v>0</v>
      </c>
      <c r="AB82" s="644"/>
      <c r="AC82" s="644"/>
      <c r="AD82" s="107">
        <f>SUM(AD70:AD81)</f>
        <v>0</v>
      </c>
      <c r="AE82" s="107">
        <f>SUM(AE70:AE81)</f>
        <v>0</v>
      </c>
      <c r="AF82" s="48">
        <f>N82-K82</f>
        <v>-153.9481142914301</v>
      </c>
      <c r="AG82" s="453">
        <f>N82/K82</f>
        <v>0.89767975692745816</v>
      </c>
      <c r="AH82" s="658"/>
    </row>
    <row r="83" spans="1:34" ht="19.2" customHeight="1">
      <c r="A83" s="686" t="s">
        <v>469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1887.6000000000001</v>
      </c>
      <c r="H83" s="84">
        <f t="shared" ref="H83:H94" si="54">F83*G83</f>
        <v>115181.35200000001</v>
      </c>
      <c r="I83" s="449"/>
      <c r="J83" s="87">
        <v>16</v>
      </c>
      <c r="K83" s="57">
        <v>1440</v>
      </c>
      <c r="L83" s="86">
        <v>90</v>
      </c>
      <c r="M83" s="459">
        <v>16</v>
      </c>
      <c r="N83" s="57">
        <f t="shared" ref="N83:N89" si="55">G83/W83*60</f>
        <v>1364.5301204819273</v>
      </c>
      <c r="O83" s="183">
        <f t="shared" ref="O83:O89" si="56">N83/M83</f>
        <v>85.283132530120454</v>
      </c>
      <c r="P83" s="54">
        <f t="shared" ref="P83:P85" si="57">M83-J83</f>
        <v>0</v>
      </c>
      <c r="Q83" s="88">
        <f t="shared" ref="Q83:Q85" si="58">O83-L83</f>
        <v>-4.7168674698795456</v>
      </c>
      <c r="R83" s="185">
        <f t="shared" ref="R83:R85" si="59">O83/L83</f>
        <v>0.94759036144578279</v>
      </c>
      <c r="S83" s="658">
        <f>R95</f>
        <v>0.85475246183234388</v>
      </c>
      <c r="T83" s="50">
        <v>0.33333333333333331</v>
      </c>
      <c r="U83" s="50">
        <v>0.39097222222222222</v>
      </c>
      <c r="V83" s="451">
        <v>5</v>
      </c>
      <c r="W83" s="461">
        <f t="shared" ref="W83:W93" si="60">(U83-T83)*24*60</f>
        <v>83.000000000000028</v>
      </c>
      <c r="X83" s="53"/>
      <c r="Y83" s="53"/>
      <c r="Z83" s="54"/>
      <c r="AA83" s="54"/>
      <c r="AB83" s="644"/>
      <c r="AC83" s="644"/>
      <c r="AD83" s="449"/>
      <c r="AE83" s="449"/>
      <c r="AF83" s="48">
        <f t="shared" ref="AF83:AF173" si="61">N83-K83</f>
        <v>-75.46987951807273</v>
      </c>
      <c r="AG83" s="453">
        <f t="shared" ref="AG83:AG173" si="62">N83/K83</f>
        <v>0.94759036144578279</v>
      </c>
      <c r="AH83" s="658">
        <f>AG95</f>
        <v>0.85161575719153826</v>
      </c>
    </row>
    <row r="84" spans="1:34" ht="19.2" customHeight="1">
      <c r="A84" s="687"/>
      <c r="B84" s="110" t="s">
        <v>102</v>
      </c>
      <c r="C84" s="457"/>
      <c r="D84" s="186" t="s">
        <v>187</v>
      </c>
      <c r="E84" s="43"/>
      <c r="F84" s="280">
        <v>53.27</v>
      </c>
      <c r="G84" s="44">
        <v>2747.55</v>
      </c>
      <c r="H84" s="84">
        <f t="shared" si="54"/>
        <v>146361.98850000001</v>
      </c>
      <c r="I84" s="451"/>
      <c r="J84" s="87">
        <v>17</v>
      </c>
      <c r="K84" s="57">
        <v>1565</v>
      </c>
      <c r="L84" s="86">
        <v>92.058823529411768</v>
      </c>
      <c r="M84" s="459">
        <v>17</v>
      </c>
      <c r="N84" s="57">
        <f t="shared" si="55"/>
        <v>1287.9140624999998</v>
      </c>
      <c r="O84" s="183">
        <f t="shared" si="56"/>
        <v>75.759650735294102</v>
      </c>
      <c r="P84" s="54">
        <f t="shared" si="57"/>
        <v>0</v>
      </c>
      <c r="Q84" s="88">
        <f t="shared" si="58"/>
        <v>-16.299172794117666</v>
      </c>
      <c r="R84" s="185">
        <f t="shared" si="59"/>
        <v>0.82294828274760368</v>
      </c>
      <c r="S84" s="658"/>
      <c r="T84" s="50">
        <v>0.40625</v>
      </c>
      <c r="U84" s="50">
        <v>0.49513888888888891</v>
      </c>
      <c r="V84" s="451">
        <v>22</v>
      </c>
      <c r="W84" s="461">
        <f t="shared" si="60"/>
        <v>128.00000000000003</v>
      </c>
      <c r="X84" s="53">
        <v>0.39583333333333331</v>
      </c>
      <c r="Y84" s="53">
        <v>0.4055555555555555</v>
      </c>
      <c r="Z84" s="54"/>
      <c r="AA84" s="54"/>
      <c r="AB84" s="644"/>
      <c r="AC84" s="644"/>
      <c r="AD84" s="449">
        <v>1</v>
      </c>
      <c r="AE84" s="449"/>
      <c r="AF84" s="48">
        <f t="shared" si="61"/>
        <v>-277.08593750000023</v>
      </c>
      <c r="AG84" s="453">
        <f t="shared" si="62"/>
        <v>0.82294828274760368</v>
      </c>
      <c r="AH84" s="658"/>
    </row>
    <row r="85" spans="1:34" ht="19.2" customHeight="1">
      <c r="A85" s="687"/>
      <c r="B85" s="110" t="s">
        <v>101</v>
      </c>
      <c r="C85" s="122"/>
      <c r="D85" s="186" t="s">
        <v>161</v>
      </c>
      <c r="E85" s="43"/>
      <c r="F85" s="280">
        <v>61.09</v>
      </c>
      <c r="G85" s="44">
        <v>1983.6000000000001</v>
      </c>
      <c r="H85" s="84">
        <f t="shared" si="54"/>
        <v>121178.12400000001</v>
      </c>
      <c r="I85" s="451"/>
      <c r="J85" s="87">
        <v>17</v>
      </c>
      <c r="K85" s="57">
        <v>1440</v>
      </c>
      <c r="L85" s="86">
        <v>84.705882352941174</v>
      </c>
      <c r="M85" s="459">
        <v>17</v>
      </c>
      <c r="N85" s="57">
        <f t="shared" si="55"/>
        <v>1293.6521739130435</v>
      </c>
      <c r="O85" s="183">
        <f t="shared" si="56"/>
        <v>76.097186700767267</v>
      </c>
      <c r="P85" s="54">
        <f t="shared" si="57"/>
        <v>0</v>
      </c>
      <c r="Q85" s="88">
        <f t="shared" si="58"/>
        <v>-8.6086956521739069</v>
      </c>
      <c r="R85" s="185">
        <f t="shared" si="59"/>
        <v>0.89836956521739142</v>
      </c>
      <c r="S85" s="658"/>
      <c r="T85" s="50">
        <v>0.53541666666666665</v>
      </c>
      <c r="U85" s="50">
        <v>0.59930555555555554</v>
      </c>
      <c r="V85" s="451">
        <v>5</v>
      </c>
      <c r="W85" s="461">
        <f t="shared" si="60"/>
        <v>92</v>
      </c>
      <c r="X85" s="53"/>
      <c r="Y85" s="53"/>
      <c r="Z85" s="54"/>
      <c r="AA85" s="54"/>
      <c r="AB85" s="644"/>
      <c r="AC85" s="644"/>
      <c r="AD85" s="449"/>
      <c r="AE85" s="449"/>
      <c r="AF85" s="48">
        <f t="shared" si="61"/>
        <v>-146.3478260869565</v>
      </c>
      <c r="AG85" s="453">
        <f t="shared" si="62"/>
        <v>0.89836956521739131</v>
      </c>
      <c r="AH85" s="658"/>
    </row>
    <row r="86" spans="1:34" ht="19.2" customHeight="1">
      <c r="A86" s="687"/>
      <c r="B86" s="110" t="s">
        <v>105</v>
      </c>
      <c r="C86" s="97"/>
      <c r="D86" s="186" t="s">
        <v>177</v>
      </c>
      <c r="E86" s="43"/>
      <c r="F86" s="280">
        <v>51.44</v>
      </c>
      <c r="G86" s="44">
        <v>1346.4</v>
      </c>
      <c r="H86" s="84">
        <f t="shared" si="54"/>
        <v>69258.816000000006</v>
      </c>
      <c r="I86" s="451"/>
      <c r="J86" s="87">
        <v>20</v>
      </c>
      <c r="K86" s="57">
        <v>1440</v>
      </c>
      <c r="L86" s="86">
        <v>72</v>
      </c>
      <c r="M86" s="459">
        <v>21</v>
      </c>
      <c r="N86" s="57">
        <f t="shared" si="55"/>
        <v>1262.2500000000016</v>
      </c>
      <c r="O86" s="183">
        <f t="shared" si="56"/>
        <v>60.107142857142932</v>
      </c>
      <c r="P86" s="54">
        <f>M86-J86</f>
        <v>1</v>
      </c>
      <c r="Q86" s="88">
        <f>O86-L86</f>
        <v>-11.892857142857068</v>
      </c>
      <c r="R86" s="185">
        <f>O86/L86</f>
        <v>0.8348214285714296</v>
      </c>
      <c r="S86" s="658"/>
      <c r="T86" s="50">
        <v>0.60416666666666663</v>
      </c>
      <c r="U86" s="50">
        <v>0.64861111111111103</v>
      </c>
      <c r="V86" s="451">
        <v>7</v>
      </c>
      <c r="W86" s="461">
        <f t="shared" si="60"/>
        <v>63.999999999999929</v>
      </c>
      <c r="X86" s="53"/>
      <c r="Y86" s="53"/>
      <c r="Z86" s="54"/>
      <c r="AA86" s="54"/>
      <c r="AB86" s="644"/>
      <c r="AC86" s="644"/>
      <c r="AD86" s="449"/>
      <c r="AE86" s="449"/>
      <c r="AF86" s="48">
        <f>N86-K86</f>
        <v>-177.74999999999841</v>
      </c>
      <c r="AG86" s="453">
        <f>N86/K86</f>
        <v>0.87656250000000113</v>
      </c>
      <c r="AH86" s="658"/>
    </row>
    <row r="87" spans="1:34" ht="19.2" customHeight="1">
      <c r="A87" s="687"/>
      <c r="B87" s="110" t="s">
        <v>101</v>
      </c>
      <c r="C87" s="97"/>
      <c r="D87" s="186" t="s">
        <v>154</v>
      </c>
      <c r="E87" s="43"/>
      <c r="F87" s="280">
        <v>61.02</v>
      </c>
      <c r="G87" s="44">
        <v>1016.4</v>
      </c>
      <c r="H87" s="84">
        <f t="shared" si="54"/>
        <v>62020.728000000003</v>
      </c>
      <c r="I87" s="451">
        <v>1</v>
      </c>
      <c r="J87" s="87">
        <v>16</v>
      </c>
      <c r="K87" s="57">
        <v>1440</v>
      </c>
      <c r="L87" s="86">
        <v>90</v>
      </c>
      <c r="M87" s="459">
        <v>16</v>
      </c>
      <c r="N87" s="57">
        <f t="shared" si="55"/>
        <v>1297.5319148936173</v>
      </c>
      <c r="O87" s="183">
        <f t="shared" si="56"/>
        <v>81.095744680851084</v>
      </c>
      <c r="P87" s="54">
        <f>M87-J87</f>
        <v>0</v>
      </c>
      <c r="Q87" s="88">
        <f>O87-L87</f>
        <v>-8.9042553191489162</v>
      </c>
      <c r="R87" s="185">
        <f>O87/L87</f>
        <v>0.90106382978723432</v>
      </c>
      <c r="S87" s="658"/>
      <c r="T87" s="50">
        <v>0.6645833333333333</v>
      </c>
      <c r="U87" s="50">
        <v>0.69722222222222219</v>
      </c>
      <c r="V87" s="451">
        <v>23</v>
      </c>
      <c r="W87" s="461">
        <f t="shared" si="60"/>
        <v>46.999999999999993</v>
      </c>
      <c r="X87" s="53">
        <v>0.65277777777777779</v>
      </c>
      <c r="Y87" s="53">
        <v>0.66388888888888886</v>
      </c>
      <c r="Z87" s="54"/>
      <c r="AA87" s="54"/>
      <c r="AB87" s="644"/>
      <c r="AC87" s="644"/>
      <c r="AD87" s="449"/>
      <c r="AE87" s="449"/>
      <c r="AF87" s="48">
        <f>N87-K87</f>
        <v>-142.46808510638266</v>
      </c>
      <c r="AG87" s="453">
        <f>N87/K87</f>
        <v>0.90106382978723432</v>
      </c>
      <c r="AH87" s="658"/>
    </row>
    <row r="88" spans="1:34" ht="19.2" customHeight="1">
      <c r="A88" s="687"/>
      <c r="B88" s="110" t="s">
        <v>102</v>
      </c>
      <c r="C88" s="457"/>
      <c r="D88" s="186" t="s">
        <v>187</v>
      </c>
      <c r="E88" s="43"/>
      <c r="F88" s="280">
        <v>53.27</v>
      </c>
      <c r="G88" s="57">
        <v>1479.4499999999998</v>
      </c>
      <c r="H88" s="84">
        <f t="shared" si="54"/>
        <v>78810.301500000001</v>
      </c>
      <c r="I88" s="451">
        <v>1</v>
      </c>
      <c r="J88" s="87">
        <v>17</v>
      </c>
      <c r="K88" s="57">
        <v>1565</v>
      </c>
      <c r="L88" s="86">
        <v>92.058823529411768</v>
      </c>
      <c r="M88" s="459">
        <v>17</v>
      </c>
      <c r="N88" s="57">
        <f t="shared" si="55"/>
        <v>1232.8749999999989</v>
      </c>
      <c r="O88" s="183">
        <f t="shared" si="56"/>
        <v>72.522058823529349</v>
      </c>
      <c r="P88" s="54">
        <f t="shared" ref="P88:P89" si="63">M88-J88</f>
        <v>0</v>
      </c>
      <c r="Q88" s="88">
        <f t="shared" ref="Q88:Q89" si="64">O88-L88</f>
        <v>-19.536764705882419</v>
      </c>
      <c r="R88" s="185">
        <f t="shared" ref="R88:R89" si="65">O88/L88</f>
        <v>0.78777955271565425</v>
      </c>
      <c r="S88" s="658"/>
      <c r="T88" s="50">
        <v>0.70208333333333328</v>
      </c>
      <c r="U88" s="50">
        <v>0.75208333333333333</v>
      </c>
      <c r="V88" s="451">
        <v>7</v>
      </c>
      <c r="W88" s="461">
        <f t="shared" si="60"/>
        <v>72.000000000000057</v>
      </c>
      <c r="X88" s="53"/>
      <c r="Y88" s="53"/>
      <c r="Z88" s="54"/>
      <c r="AA88" s="54"/>
      <c r="AB88" s="644"/>
      <c r="AC88" s="644"/>
      <c r="AD88" s="449"/>
      <c r="AE88" s="449"/>
      <c r="AF88" s="48">
        <f>N88-K88</f>
        <v>-332.12500000000114</v>
      </c>
      <c r="AG88" s="453">
        <f>N88/K88</f>
        <v>0.78777955271565425</v>
      </c>
      <c r="AH88" s="658"/>
    </row>
    <row r="89" spans="1:34" ht="19.2" customHeight="1">
      <c r="A89" s="687"/>
      <c r="B89" s="110" t="s">
        <v>105</v>
      </c>
      <c r="C89" s="457"/>
      <c r="D89" s="42" t="s">
        <v>182</v>
      </c>
      <c r="E89" s="43"/>
      <c r="F89" s="280">
        <v>54.5</v>
      </c>
      <c r="G89" s="114">
        <v>1129</v>
      </c>
      <c r="H89" s="84">
        <f t="shared" si="54"/>
        <v>61530.5</v>
      </c>
      <c r="I89" s="451">
        <v>1</v>
      </c>
      <c r="J89" s="87">
        <v>21</v>
      </c>
      <c r="K89" s="57">
        <v>1440</v>
      </c>
      <c r="L89" s="86">
        <v>68.571428571428569</v>
      </c>
      <c r="M89" s="459">
        <v>20</v>
      </c>
      <c r="N89" s="57">
        <f t="shared" si="55"/>
        <v>1058.4375000000014</v>
      </c>
      <c r="O89" s="183">
        <f t="shared" si="56"/>
        <v>52.921875000000071</v>
      </c>
      <c r="P89" s="54">
        <f t="shared" si="63"/>
        <v>-1</v>
      </c>
      <c r="Q89" s="88">
        <f t="shared" si="64"/>
        <v>-15.649553571428498</v>
      </c>
      <c r="R89" s="185">
        <f t="shared" si="65"/>
        <v>0.77177734375000107</v>
      </c>
      <c r="S89" s="658"/>
      <c r="T89" s="50">
        <v>0.75763888888888886</v>
      </c>
      <c r="U89" s="50">
        <v>0.80208333333333326</v>
      </c>
      <c r="V89" s="451">
        <v>8</v>
      </c>
      <c r="W89" s="461">
        <f t="shared" si="60"/>
        <v>63.999999999999929</v>
      </c>
      <c r="X89" s="53"/>
      <c r="Y89" s="53"/>
      <c r="Z89" s="54"/>
      <c r="AA89" s="54"/>
      <c r="AB89" s="644"/>
      <c r="AC89" s="644"/>
      <c r="AD89" s="449">
        <v>1</v>
      </c>
      <c r="AE89" s="449">
        <v>1</v>
      </c>
      <c r="AF89" s="48">
        <f>N89-K89</f>
        <v>-381.56249999999864</v>
      </c>
      <c r="AG89" s="453">
        <f>N89/K89</f>
        <v>0.73502604166666763</v>
      </c>
      <c r="AH89" s="658"/>
    </row>
    <row r="90" spans="1:34" ht="19.2" customHeight="1">
      <c r="A90" s="687"/>
      <c r="B90" s="110">
        <v>0</v>
      </c>
      <c r="C90" s="457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459"/>
      <c r="N90" s="57"/>
      <c r="O90" s="183"/>
      <c r="P90" s="54"/>
      <c r="Q90" s="88"/>
      <c r="R90" s="185"/>
      <c r="S90" s="658"/>
      <c r="T90" s="50"/>
      <c r="U90" s="50"/>
      <c r="V90" s="451"/>
      <c r="W90" s="461">
        <f t="shared" si="60"/>
        <v>0</v>
      </c>
      <c r="X90" s="188"/>
      <c r="Y90" s="188"/>
      <c r="Z90" s="54"/>
      <c r="AA90" s="54"/>
      <c r="AB90" s="644"/>
      <c r="AC90" s="644"/>
      <c r="AD90" s="449"/>
      <c r="AE90" s="449"/>
      <c r="AF90" s="48">
        <f t="shared" si="61"/>
        <v>0</v>
      </c>
      <c r="AG90" s="453" t="e">
        <f t="shared" si="62"/>
        <v>#DIV/0!</v>
      </c>
      <c r="AH90" s="658"/>
    </row>
    <row r="91" spans="1:34" ht="19.2" customHeight="1">
      <c r="A91" s="687"/>
      <c r="B91" s="110">
        <v>0</v>
      </c>
      <c r="C91" s="45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59"/>
      <c r="N91" s="57"/>
      <c r="O91" s="183"/>
      <c r="P91" s="54"/>
      <c r="Q91" s="88"/>
      <c r="R91" s="185"/>
      <c r="S91" s="659"/>
      <c r="T91" s="50"/>
      <c r="U91" s="50"/>
      <c r="V91" s="451"/>
      <c r="W91" s="461">
        <f t="shared" si="60"/>
        <v>0</v>
      </c>
      <c r="X91" s="115"/>
      <c r="Y91" s="115"/>
      <c r="Z91" s="54"/>
      <c r="AA91" s="54"/>
      <c r="AB91" s="644"/>
      <c r="AC91" s="644"/>
      <c r="AD91" s="449"/>
      <c r="AE91" s="449"/>
      <c r="AF91" s="48">
        <f t="shared" si="61"/>
        <v>0</v>
      </c>
      <c r="AG91" s="453" t="e">
        <f t="shared" si="62"/>
        <v>#DIV/0!</v>
      </c>
      <c r="AH91" s="659"/>
    </row>
    <row r="92" spans="1:34" ht="19.2" customHeight="1">
      <c r="A92" s="687"/>
      <c r="B92" s="110">
        <v>0</v>
      </c>
      <c r="C92" s="45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659"/>
      <c r="T92" s="50"/>
      <c r="U92" s="50"/>
      <c r="V92" s="451"/>
      <c r="W92" s="461">
        <f t="shared" si="60"/>
        <v>0</v>
      </c>
      <c r="X92" s="180"/>
      <c r="Y92" s="180"/>
      <c r="Z92" s="124"/>
      <c r="AA92" s="124"/>
      <c r="AB92" s="644"/>
      <c r="AC92" s="644"/>
      <c r="AD92" s="449"/>
      <c r="AE92" s="449"/>
      <c r="AF92" s="48">
        <f t="shared" si="61"/>
        <v>0</v>
      </c>
      <c r="AG92" s="453" t="e">
        <f t="shared" si="62"/>
        <v>#DIV/0!</v>
      </c>
      <c r="AH92" s="659"/>
    </row>
    <row r="93" spans="1:34" ht="19.2" customHeight="1">
      <c r="A93" s="687"/>
      <c r="B93" s="46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59"/>
      <c r="N93" s="57"/>
      <c r="O93" s="86"/>
      <c r="P93" s="54"/>
      <c r="Q93" s="88"/>
      <c r="R93" s="450"/>
      <c r="S93" s="688"/>
      <c r="T93" s="63"/>
      <c r="U93" s="63"/>
      <c r="V93" s="463"/>
      <c r="W93" s="461">
        <f t="shared" si="60"/>
        <v>0</v>
      </c>
      <c r="X93" s="194"/>
      <c r="Y93" s="194"/>
      <c r="Z93" s="124"/>
      <c r="AA93" s="124"/>
      <c r="AB93" s="644"/>
      <c r="AC93" s="644"/>
      <c r="AD93" s="449"/>
      <c r="AE93" s="449"/>
      <c r="AF93" s="48">
        <f t="shared" si="61"/>
        <v>0</v>
      </c>
      <c r="AG93" s="453" t="e">
        <f t="shared" si="62"/>
        <v>#DIV/0!</v>
      </c>
      <c r="AH93" s="659"/>
    </row>
    <row r="94" spans="1:34" ht="19.2" customHeight="1">
      <c r="A94" s="687"/>
      <c r="B94" s="46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50"/>
      <c r="S94" s="688"/>
      <c r="T94" s="63"/>
      <c r="U94" s="63"/>
      <c r="V94" s="463"/>
      <c r="W94" s="461">
        <f>(U94-T94)*24*60</f>
        <v>0</v>
      </c>
      <c r="X94" s="194"/>
      <c r="Y94" s="194"/>
      <c r="Z94" s="124"/>
      <c r="AA94" s="124"/>
      <c r="AB94" s="644"/>
      <c r="AC94" s="644"/>
      <c r="AD94" s="449"/>
      <c r="AE94" s="449"/>
      <c r="AF94" s="48">
        <f t="shared" si="61"/>
        <v>0</v>
      </c>
      <c r="AG94" s="453" t="e">
        <f t="shared" si="62"/>
        <v>#DIV/0!</v>
      </c>
      <c r="AH94" s="659"/>
    </row>
    <row r="95" spans="1:34" ht="19.2" customHeight="1">
      <c r="A95" s="687"/>
      <c r="B95" s="197">
        <v>0</v>
      </c>
      <c r="C95" s="100" t="s">
        <v>470</v>
      </c>
      <c r="D95" s="673" t="s">
        <v>460</v>
      </c>
      <c r="E95" s="673"/>
      <c r="F95" s="274"/>
      <c r="G95" s="70"/>
      <c r="H95" s="198"/>
      <c r="I95" s="103"/>
      <c r="J95" s="199">
        <v>17.714285714285715</v>
      </c>
      <c r="K95" s="199">
        <v>1475.7142857142858</v>
      </c>
      <c r="L95" s="200">
        <v>84.199279711884742</v>
      </c>
      <c r="M95" s="199">
        <f t="shared" ref="M95:O95" si="66">AVERAGE(M83:M94)</f>
        <v>17.714285714285715</v>
      </c>
      <c r="N95" s="199">
        <f t="shared" si="66"/>
        <v>1256.7415388269415</v>
      </c>
      <c r="O95" s="200">
        <f t="shared" si="66"/>
        <v>71.969541618243611</v>
      </c>
      <c r="P95" s="201">
        <f>M95-J95</f>
        <v>0</v>
      </c>
      <c r="Q95" s="202">
        <f t="shared" ref="Q95:Q103" si="67">O95-L95</f>
        <v>-12.229738093641132</v>
      </c>
      <c r="R95" s="203">
        <f>O95/L95</f>
        <v>0.85475246183234388</v>
      </c>
      <c r="S95" s="65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44"/>
      <c r="AC95" s="644"/>
      <c r="AD95" s="107">
        <f>SUM(AD83:AD94)</f>
        <v>2</v>
      </c>
      <c r="AE95" s="107">
        <f>SUM(AE83:AE94)</f>
        <v>1</v>
      </c>
      <c r="AF95" s="65">
        <f t="shared" si="61"/>
        <v>-218.97274688734433</v>
      </c>
      <c r="AG95" s="454">
        <f t="shared" si="62"/>
        <v>0.85161575719153826</v>
      </c>
      <c r="AH95" s="659"/>
    </row>
    <row r="96" spans="1:34" ht="19.2" customHeight="1">
      <c r="A96" s="689" t="s">
        <v>471</v>
      </c>
      <c r="B96" s="451" t="s">
        <v>103</v>
      </c>
      <c r="C96" s="97"/>
      <c r="D96" s="42" t="s">
        <v>169</v>
      </c>
      <c r="E96" s="43"/>
      <c r="F96" s="273">
        <v>29.46</v>
      </c>
      <c r="G96" s="44">
        <v>1671</v>
      </c>
      <c r="H96" s="45">
        <f t="shared" ref="H96:H105" si="68">F96*G96</f>
        <v>49227.66</v>
      </c>
      <c r="I96" s="451"/>
      <c r="J96" s="46">
        <v>16</v>
      </c>
      <c r="K96" s="44">
        <v>1385</v>
      </c>
      <c r="L96" s="47">
        <v>86.5625</v>
      </c>
      <c r="M96" s="462">
        <v>16</v>
      </c>
      <c r="N96" s="44">
        <f t="shared" ref="N96:N103" si="69">G96/W96*60</f>
        <v>1101.7582417582416</v>
      </c>
      <c r="O96" s="47">
        <f t="shared" ref="O96:O103" si="70">N96/M96</f>
        <v>68.859890109890102</v>
      </c>
      <c r="P96" s="48">
        <f t="shared" ref="P96:P103" si="71">M96-J96</f>
        <v>0</v>
      </c>
      <c r="Q96" s="49">
        <f t="shared" si="67"/>
        <v>-17.702609890109898</v>
      </c>
      <c r="R96" s="453">
        <f t="shared" ref="R96:R103" si="72">O96/L96</f>
        <v>0.79549331534891088</v>
      </c>
      <c r="S96" s="658">
        <f>R108</f>
        <v>0.84575617289429095</v>
      </c>
      <c r="T96" s="89">
        <v>0.33333333333333331</v>
      </c>
      <c r="U96" s="89">
        <v>0.39652777777777776</v>
      </c>
      <c r="V96" s="449">
        <v>5</v>
      </c>
      <c r="W96" s="90">
        <f t="shared" ref="W96:W133" si="73">(U96-T96)*24*60</f>
        <v>91</v>
      </c>
      <c r="X96" s="96"/>
      <c r="Y96" s="96"/>
      <c r="Z96" s="54"/>
      <c r="AA96" s="54"/>
      <c r="AB96" s="644"/>
      <c r="AC96" s="644"/>
      <c r="AD96" s="449"/>
      <c r="AE96" s="449"/>
      <c r="AF96" s="54">
        <f t="shared" si="61"/>
        <v>-283.24175824175836</v>
      </c>
      <c r="AG96" s="450">
        <f t="shared" si="62"/>
        <v>0.79549331534891088</v>
      </c>
      <c r="AH96" s="667">
        <f>AG108</f>
        <v>0.84151445515846379</v>
      </c>
    </row>
    <row r="97" spans="1:34" s="212" customFormat="1" ht="19.2" customHeight="1">
      <c r="A97" s="689"/>
      <c r="B97" s="451" t="s">
        <v>103</v>
      </c>
      <c r="C97" s="204"/>
      <c r="D97" s="205" t="s">
        <v>63</v>
      </c>
      <c r="E97" s="56"/>
      <c r="F97" s="284">
        <v>29.113149847094796</v>
      </c>
      <c r="G97" s="206">
        <v>3581</v>
      </c>
      <c r="H97" s="207">
        <f t="shared" si="68"/>
        <v>104254.18960244647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1234.8275862068963</v>
      </c>
      <c r="O97" s="47">
        <f t="shared" si="70"/>
        <v>61.741379310344811</v>
      </c>
      <c r="P97" s="48">
        <f t="shared" si="71"/>
        <v>0</v>
      </c>
      <c r="Q97" s="49">
        <f t="shared" si="67"/>
        <v>-7.5086206896551886</v>
      </c>
      <c r="R97" s="453">
        <f t="shared" si="72"/>
        <v>0.89157226440931137</v>
      </c>
      <c r="S97" s="658"/>
      <c r="T97" s="208">
        <v>0.41180555555555554</v>
      </c>
      <c r="U97" s="208">
        <v>0.53263888888888888</v>
      </c>
      <c r="V97" s="209">
        <v>22</v>
      </c>
      <c r="W97" s="90">
        <f t="shared" si="73"/>
        <v>174.00000000000003</v>
      </c>
      <c r="X97" s="53">
        <v>0.40138888888888885</v>
      </c>
      <c r="Y97" s="53">
        <v>0.41111111111111115</v>
      </c>
      <c r="Z97" s="54"/>
      <c r="AA97" s="54"/>
      <c r="AB97" s="644"/>
      <c r="AC97" s="644"/>
      <c r="AD97" s="209">
        <v>1</v>
      </c>
      <c r="AE97" s="209"/>
      <c r="AF97" s="210">
        <f t="shared" si="61"/>
        <v>-150.17241379310371</v>
      </c>
      <c r="AG97" s="211">
        <f t="shared" si="62"/>
        <v>0.89157226440931137</v>
      </c>
      <c r="AH97" s="667"/>
    </row>
    <row r="98" spans="1:34" s="215" customFormat="1" ht="19.2" customHeight="1">
      <c r="A98" s="689"/>
      <c r="B98" s="451" t="s">
        <v>101</v>
      </c>
      <c r="C98" s="55"/>
      <c r="D98" s="42" t="s">
        <v>147</v>
      </c>
      <c r="E98" s="83"/>
      <c r="F98" s="284">
        <v>77.349999999999994</v>
      </c>
      <c r="G98" s="57">
        <v>225</v>
      </c>
      <c r="H98" s="207">
        <f t="shared" si="68"/>
        <v>17403.75</v>
      </c>
      <c r="I98" s="44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9"/>
        <v>1038.4615384615422</v>
      </c>
      <c r="O98" s="47">
        <f t="shared" si="70"/>
        <v>57.692307692307899</v>
      </c>
      <c r="P98" s="48">
        <f t="shared" si="71"/>
        <v>-1</v>
      </c>
      <c r="Q98" s="49">
        <f t="shared" si="67"/>
        <v>-18.097165991902621</v>
      </c>
      <c r="R98" s="453">
        <f t="shared" si="72"/>
        <v>0.76121794871795156</v>
      </c>
      <c r="S98" s="658"/>
      <c r="T98" s="89">
        <v>0.57291666666666663</v>
      </c>
      <c r="U98" s="89">
        <v>0.58194444444444438</v>
      </c>
      <c r="V98" s="449">
        <v>5</v>
      </c>
      <c r="W98" s="90">
        <f t="shared" si="73"/>
        <v>12.999999999999954</v>
      </c>
      <c r="X98" s="213"/>
      <c r="Y98" s="213"/>
      <c r="Z98" s="214"/>
      <c r="AA98" s="214"/>
      <c r="AB98" s="644"/>
      <c r="AC98" s="644"/>
      <c r="AD98" s="449"/>
      <c r="AE98" s="449"/>
      <c r="AF98" s="54">
        <f t="shared" si="61"/>
        <v>-401.5384615384578</v>
      </c>
      <c r="AG98" s="450">
        <f t="shared" si="62"/>
        <v>0.7211538461538487</v>
      </c>
      <c r="AH98" s="667"/>
    </row>
    <row r="99" spans="1:34" ht="19.2" customHeight="1">
      <c r="A99" s="689"/>
      <c r="B99" s="451" t="s">
        <v>101</v>
      </c>
      <c r="C99" s="81"/>
      <c r="D99" s="82" t="s">
        <v>57</v>
      </c>
      <c r="E99" s="83"/>
      <c r="F99" s="284">
        <v>77.34</v>
      </c>
      <c r="G99" s="57">
        <v>696</v>
      </c>
      <c r="H99" s="207">
        <f t="shared" si="68"/>
        <v>53828.639999999999</v>
      </c>
      <c r="I99" s="449"/>
      <c r="J99" s="46">
        <v>18</v>
      </c>
      <c r="K99" s="44">
        <v>1440</v>
      </c>
      <c r="L99" s="47">
        <v>80</v>
      </c>
      <c r="M99" s="462">
        <v>18</v>
      </c>
      <c r="N99" s="44">
        <f t="shared" si="69"/>
        <v>1228.2352941176455</v>
      </c>
      <c r="O99" s="47">
        <f t="shared" si="70"/>
        <v>68.235294117646973</v>
      </c>
      <c r="P99" s="48">
        <f t="shared" si="71"/>
        <v>0</v>
      </c>
      <c r="Q99" s="49">
        <f t="shared" si="67"/>
        <v>-11.764705882353027</v>
      </c>
      <c r="R99" s="453">
        <f t="shared" si="72"/>
        <v>0.8529411764705872</v>
      </c>
      <c r="S99" s="658"/>
      <c r="T99" s="89">
        <v>0.58611111111111103</v>
      </c>
      <c r="U99" s="89">
        <v>0.60972222222222217</v>
      </c>
      <c r="V99" s="449">
        <v>6</v>
      </c>
      <c r="W99" s="90">
        <f t="shared" si="73"/>
        <v>34.000000000000043</v>
      </c>
      <c r="X99" s="180"/>
      <c r="Y99" s="180"/>
      <c r="Z99" s="124"/>
      <c r="AA99" s="124"/>
      <c r="AB99" s="644"/>
      <c r="AC99" s="644"/>
      <c r="AD99" s="449"/>
      <c r="AE99" s="449"/>
      <c r="AF99" s="210">
        <f t="shared" si="61"/>
        <v>-211.76470588235452</v>
      </c>
      <c r="AG99" s="211">
        <f t="shared" si="62"/>
        <v>0.85294117647058709</v>
      </c>
      <c r="AH99" s="667"/>
    </row>
    <row r="100" spans="1:34" s="215" customFormat="1" ht="19.2" customHeight="1">
      <c r="A100" s="689"/>
      <c r="B100" s="451" t="s">
        <v>101</v>
      </c>
      <c r="C100" s="55"/>
      <c r="D100" s="42" t="s">
        <v>56</v>
      </c>
      <c r="E100" s="83"/>
      <c r="F100" s="284">
        <v>71.55</v>
      </c>
      <c r="G100" s="57">
        <v>887</v>
      </c>
      <c r="H100" s="207">
        <f t="shared" si="68"/>
        <v>63464.85</v>
      </c>
      <c r="I100" s="44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9"/>
        <v>1209.5454545454545</v>
      </c>
      <c r="O100" s="47">
        <f t="shared" si="70"/>
        <v>67.196969696969688</v>
      </c>
      <c r="P100" s="48">
        <f t="shared" si="71"/>
        <v>0</v>
      </c>
      <c r="Q100" s="49">
        <f t="shared" si="67"/>
        <v>-9.7474747474747545</v>
      </c>
      <c r="R100" s="453">
        <f t="shared" si="72"/>
        <v>0.87331801772234974</v>
      </c>
      <c r="S100" s="658"/>
      <c r="T100" s="208">
        <v>0.6152777777777777</v>
      </c>
      <c r="U100" s="208">
        <v>0.64583333333333326</v>
      </c>
      <c r="V100" s="209">
        <v>8</v>
      </c>
      <c r="W100" s="90">
        <f t="shared" si="73"/>
        <v>44</v>
      </c>
      <c r="X100" s="216"/>
      <c r="Y100" s="216"/>
      <c r="Z100" s="214"/>
      <c r="AA100" s="214"/>
      <c r="AB100" s="644"/>
      <c r="AC100" s="644"/>
      <c r="AD100" s="449"/>
      <c r="AE100" s="449"/>
      <c r="AF100" s="54">
        <f t="shared" si="61"/>
        <v>-175.4545454545455</v>
      </c>
      <c r="AG100" s="450">
        <f t="shared" si="62"/>
        <v>0.87331801772234985</v>
      </c>
      <c r="AH100" s="667"/>
    </row>
    <row r="101" spans="1:34" s="215" customFormat="1" ht="19.2" customHeight="1">
      <c r="A101" s="689"/>
      <c r="B101" s="451" t="s">
        <v>101</v>
      </c>
      <c r="C101" s="55"/>
      <c r="D101" s="82" t="s">
        <v>58</v>
      </c>
      <c r="E101" s="83"/>
      <c r="F101" s="284">
        <v>59.54</v>
      </c>
      <c r="G101" s="57">
        <v>1508</v>
      </c>
      <c r="H101" s="207">
        <f t="shared" si="68"/>
        <v>89786.319999999992</v>
      </c>
      <c r="I101" s="44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9"/>
        <v>1206.3999999999992</v>
      </c>
      <c r="O101" s="47">
        <f t="shared" si="70"/>
        <v>67.022222222222183</v>
      </c>
      <c r="P101" s="48">
        <f t="shared" si="71"/>
        <v>0</v>
      </c>
      <c r="Q101" s="49">
        <f t="shared" si="67"/>
        <v>-9.9222222222222598</v>
      </c>
      <c r="R101" s="453">
        <f t="shared" si="72"/>
        <v>0.87104693140794176</v>
      </c>
      <c r="S101" s="658"/>
      <c r="T101" s="208">
        <v>0.66111111111111098</v>
      </c>
      <c r="U101" s="89">
        <v>0.71319444444444435</v>
      </c>
      <c r="V101" s="209">
        <v>22</v>
      </c>
      <c r="W101" s="90">
        <f t="shared" si="73"/>
        <v>75.000000000000057</v>
      </c>
      <c r="X101" s="217">
        <v>0.65</v>
      </c>
      <c r="Y101" s="217">
        <v>0.65972222222222221</v>
      </c>
      <c r="Z101" s="214"/>
      <c r="AA101" s="214"/>
      <c r="AB101" s="644"/>
      <c r="AC101" s="644"/>
      <c r="AD101" s="449"/>
      <c r="AE101" s="449"/>
      <c r="AF101" s="210">
        <f t="shared" si="61"/>
        <v>-178.60000000000082</v>
      </c>
      <c r="AG101" s="211">
        <f t="shared" si="62"/>
        <v>0.87104693140794165</v>
      </c>
      <c r="AH101" s="667"/>
    </row>
    <row r="102" spans="1:34" s="215" customFormat="1" ht="19.2" customHeight="1">
      <c r="A102" s="689"/>
      <c r="B102" s="451" t="s">
        <v>102</v>
      </c>
      <c r="C102" s="175"/>
      <c r="D102" s="176" t="s">
        <v>164</v>
      </c>
      <c r="E102" s="177"/>
      <c r="F102" s="284">
        <v>50.67</v>
      </c>
      <c r="G102" s="57">
        <v>1018.1700000000001</v>
      </c>
      <c r="H102" s="207">
        <f t="shared" si="68"/>
        <v>51590.673900000009</v>
      </c>
      <c r="I102" s="45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9"/>
        <v>1299.7914893617026</v>
      </c>
      <c r="O102" s="47">
        <f t="shared" si="70"/>
        <v>68.410078387458029</v>
      </c>
      <c r="P102" s="48">
        <f t="shared" si="71"/>
        <v>0</v>
      </c>
      <c r="Q102" s="49">
        <f t="shared" si="67"/>
        <v>-10.537290033594601</v>
      </c>
      <c r="R102" s="453">
        <f t="shared" si="72"/>
        <v>0.86652765957446842</v>
      </c>
      <c r="S102" s="658"/>
      <c r="T102" s="208">
        <v>0.71805555555555545</v>
      </c>
      <c r="U102" s="208">
        <v>0.75069444444444433</v>
      </c>
      <c r="V102" s="209">
        <v>7</v>
      </c>
      <c r="W102" s="90">
        <f t="shared" si="73"/>
        <v>46.999999999999993</v>
      </c>
      <c r="X102" s="217"/>
      <c r="Y102" s="217"/>
      <c r="Z102" s="214"/>
      <c r="AA102" s="214"/>
      <c r="AB102" s="644"/>
      <c r="AC102" s="644"/>
      <c r="AD102" s="449">
        <v>1</v>
      </c>
      <c r="AE102" s="449"/>
      <c r="AF102" s="54">
        <f t="shared" si="61"/>
        <v>-200.20851063829741</v>
      </c>
      <c r="AG102" s="450">
        <f t="shared" si="62"/>
        <v>0.86652765957446842</v>
      </c>
      <c r="AH102" s="667"/>
    </row>
    <row r="103" spans="1:34" s="215" customFormat="1" ht="19.2" customHeight="1">
      <c r="A103" s="689"/>
      <c r="B103" s="451" t="s">
        <v>102</v>
      </c>
      <c r="C103" s="218"/>
      <c r="D103" s="82" t="s">
        <v>149</v>
      </c>
      <c r="E103" s="83"/>
      <c r="F103" s="284">
        <v>49.91</v>
      </c>
      <c r="G103" s="57">
        <v>515.88</v>
      </c>
      <c r="H103" s="207">
        <f t="shared" si="68"/>
        <v>25747.570799999998</v>
      </c>
      <c r="I103" s="219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9"/>
        <v>1345.7739130434738</v>
      </c>
      <c r="O103" s="47">
        <f t="shared" si="70"/>
        <v>79.163171355498463</v>
      </c>
      <c r="P103" s="48">
        <f t="shared" si="71"/>
        <v>0</v>
      </c>
      <c r="Q103" s="49">
        <f t="shared" si="67"/>
        <v>-12.895652173913305</v>
      </c>
      <c r="R103" s="453">
        <f t="shared" si="72"/>
        <v>0.85991943325461584</v>
      </c>
      <c r="S103" s="658"/>
      <c r="T103" s="208">
        <v>0.75624999999999987</v>
      </c>
      <c r="U103" s="208">
        <v>0.77222222222222214</v>
      </c>
      <c r="V103" s="209">
        <v>8</v>
      </c>
      <c r="W103" s="90">
        <f t="shared" si="73"/>
        <v>23.000000000000078</v>
      </c>
      <c r="X103" s="217"/>
      <c r="Y103" s="217"/>
      <c r="Z103" s="214"/>
      <c r="AA103" s="214"/>
      <c r="AB103" s="644"/>
      <c r="AC103" s="644"/>
      <c r="AD103" s="449"/>
      <c r="AE103" s="449"/>
      <c r="AF103" s="54">
        <f t="shared" si="61"/>
        <v>-219.22608695652616</v>
      </c>
      <c r="AG103" s="450">
        <f t="shared" si="62"/>
        <v>0.85991943325461584</v>
      </c>
      <c r="AH103" s="667"/>
    </row>
    <row r="104" spans="1:34" s="215" customFormat="1" ht="19.2" customHeight="1">
      <c r="A104" s="689"/>
      <c r="B104" s="45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53"/>
      <c r="S104" s="65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644"/>
      <c r="AC104" s="644"/>
      <c r="AD104" s="449"/>
      <c r="AE104" s="449"/>
      <c r="AF104" s="210">
        <f t="shared" si="61"/>
        <v>0</v>
      </c>
      <c r="AG104" s="211" t="e">
        <f t="shared" si="62"/>
        <v>#DIV/0!</v>
      </c>
      <c r="AH104" s="667"/>
    </row>
    <row r="105" spans="1:34" s="215" customFormat="1" ht="19.2" customHeight="1">
      <c r="A105" s="689"/>
      <c r="B105" s="45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53"/>
      <c r="S105" s="65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644"/>
      <c r="AC105" s="644"/>
      <c r="AD105" s="449"/>
      <c r="AE105" s="449"/>
      <c r="AF105" s="54">
        <f t="shared" si="61"/>
        <v>0</v>
      </c>
      <c r="AG105" s="450" t="e">
        <f t="shared" si="62"/>
        <v>#DIV/0!</v>
      </c>
      <c r="AH105" s="667"/>
    </row>
    <row r="106" spans="1:34" s="215" customFormat="1" ht="19.2" customHeight="1">
      <c r="A106" s="68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53"/>
      <c r="S106" s="68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644"/>
      <c r="AC106" s="644"/>
      <c r="AD106" s="449"/>
      <c r="AE106" s="449"/>
      <c r="AF106" s="54">
        <f t="shared" si="61"/>
        <v>0</v>
      </c>
      <c r="AG106" s="450" t="e">
        <f t="shared" si="62"/>
        <v>#DIV/0!</v>
      </c>
      <c r="AH106" s="667"/>
    </row>
    <row r="107" spans="1:34" s="215" customFormat="1" ht="19.2" customHeight="1">
      <c r="A107" s="68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50"/>
      <c r="S107" s="68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644"/>
      <c r="AC107" s="644"/>
      <c r="AD107" s="449"/>
      <c r="AE107" s="449"/>
      <c r="AF107" s="214"/>
      <c r="AG107" s="450"/>
      <c r="AH107" s="667"/>
    </row>
    <row r="108" spans="1:34" ht="19.2" customHeight="1">
      <c r="A108" s="689"/>
      <c r="B108" s="110">
        <v>0</v>
      </c>
      <c r="C108" s="100" t="s">
        <v>472</v>
      </c>
      <c r="D108" s="673" t="s">
        <v>460</v>
      </c>
      <c r="E108" s="673"/>
      <c r="F108" s="285"/>
      <c r="G108" s="101"/>
      <c r="H108" s="102"/>
      <c r="I108" s="103"/>
      <c r="J108" s="101">
        <v>18.125</v>
      </c>
      <c r="K108" s="101">
        <v>1435.625</v>
      </c>
      <c r="L108" s="104">
        <v>79.562131815445468</v>
      </c>
      <c r="M108" s="101">
        <f t="shared" ref="M108:O108" si="74">AVERAGE(M96:M107)</f>
        <v>18</v>
      </c>
      <c r="N108" s="101">
        <f t="shared" si="74"/>
        <v>1208.0991896868695</v>
      </c>
      <c r="O108" s="104">
        <f t="shared" si="74"/>
        <v>67.290164111542268</v>
      </c>
      <c r="P108" s="54">
        <f t="shared" ref="P108:P116" si="75">M108-J108</f>
        <v>-0.125</v>
      </c>
      <c r="Q108" s="88">
        <f t="shared" ref="Q108:Q116" si="76">O108-L108</f>
        <v>-12.271967703903201</v>
      </c>
      <c r="R108" s="105">
        <f t="shared" ref="R108:R116" si="77">O108/L108</f>
        <v>0.84575617289429095</v>
      </c>
      <c r="S108" s="65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44"/>
      <c r="AC108" s="644"/>
      <c r="AD108" s="107">
        <f>SUM(AD96:AD107)</f>
        <v>2</v>
      </c>
      <c r="AE108" s="107">
        <f>SUM(AE96:AE107)</f>
        <v>0</v>
      </c>
      <c r="AF108" s="54">
        <f t="shared" si="61"/>
        <v>-227.52581031313048</v>
      </c>
      <c r="AG108" s="450">
        <f t="shared" si="62"/>
        <v>0.84151445515846379</v>
      </c>
      <c r="AH108" s="667"/>
    </row>
    <row r="109" spans="1:34" ht="19.2" customHeight="1">
      <c r="A109" s="690" t="s">
        <v>473</v>
      </c>
      <c r="B109" s="451" t="s">
        <v>104</v>
      </c>
      <c r="C109" s="457"/>
      <c r="D109" s="320" t="s">
        <v>176</v>
      </c>
      <c r="E109" s="43"/>
      <c r="F109" s="273">
        <v>29.965493443754308</v>
      </c>
      <c r="G109" s="44">
        <v>1689</v>
      </c>
      <c r="H109" s="45">
        <f t="shared" ref="H109:H119" si="78">F109*G109</f>
        <v>50611.718426501029</v>
      </c>
      <c r="I109" s="451"/>
      <c r="J109" s="46">
        <v>18</v>
      </c>
      <c r="K109" s="44">
        <v>1200</v>
      </c>
      <c r="L109" s="47">
        <v>66.666666666666671</v>
      </c>
      <c r="M109" s="462">
        <v>19</v>
      </c>
      <c r="N109" s="44">
        <f t="shared" ref="N109:N116" si="79">G109/W109*60</f>
        <v>1220.9638554216863</v>
      </c>
      <c r="O109" s="47">
        <f t="shared" ref="O109:O116" si="80">N109/M109</f>
        <v>64.261255548509808</v>
      </c>
      <c r="P109" s="48">
        <f t="shared" si="75"/>
        <v>1</v>
      </c>
      <c r="Q109" s="49">
        <f t="shared" si="76"/>
        <v>-2.4054111181568629</v>
      </c>
      <c r="R109" s="453">
        <f t="shared" si="77"/>
        <v>0.96391883322764704</v>
      </c>
      <c r="S109" s="693">
        <f>R121</f>
        <v>0.93825555727320509</v>
      </c>
      <c r="T109" s="223">
        <v>0.5</v>
      </c>
      <c r="U109" s="223">
        <v>0.55763888888888891</v>
      </c>
      <c r="V109" s="224">
        <v>5</v>
      </c>
      <c r="W109" s="461">
        <f t="shared" si="73"/>
        <v>83.000000000000028</v>
      </c>
      <c r="X109" s="53"/>
      <c r="Y109" s="53"/>
      <c r="Z109" s="54"/>
      <c r="AA109" s="54"/>
      <c r="AB109" s="644"/>
      <c r="AC109" s="644"/>
      <c r="AD109" s="449"/>
      <c r="AE109" s="449"/>
      <c r="AF109" s="48">
        <f t="shared" si="61"/>
        <v>20.963855421686276</v>
      </c>
      <c r="AG109" s="125">
        <f t="shared" si="62"/>
        <v>1.0174698795180719</v>
      </c>
      <c r="AH109" s="667">
        <f>AG121</f>
        <v>0.93213451533212111</v>
      </c>
    </row>
    <row r="110" spans="1:34" ht="19.2" customHeight="1">
      <c r="A110" s="691"/>
      <c r="B110" s="451" t="s">
        <v>105</v>
      </c>
      <c r="C110" s="175"/>
      <c r="D110" s="42" t="s">
        <v>75</v>
      </c>
      <c r="E110" s="177"/>
      <c r="F110" s="273">
        <v>56.43</v>
      </c>
      <c r="G110" s="174">
        <v>975</v>
      </c>
      <c r="H110" s="45">
        <f t="shared" si="78"/>
        <v>55019.25</v>
      </c>
      <c r="I110" s="451"/>
      <c r="J110" s="46">
        <v>18</v>
      </c>
      <c r="K110" s="44">
        <v>1500</v>
      </c>
      <c r="L110" s="47">
        <v>83.333333333333329</v>
      </c>
      <c r="M110" s="462">
        <v>18</v>
      </c>
      <c r="N110" s="44">
        <f t="shared" si="79"/>
        <v>1300</v>
      </c>
      <c r="O110" s="47">
        <f t="shared" si="80"/>
        <v>72.222222222222229</v>
      </c>
      <c r="P110" s="48">
        <f t="shared" si="75"/>
        <v>0</v>
      </c>
      <c r="Q110" s="49">
        <f t="shared" si="76"/>
        <v>-11.1111111111111</v>
      </c>
      <c r="R110" s="453">
        <f t="shared" si="77"/>
        <v>0.86666666666666681</v>
      </c>
      <c r="S110" s="694"/>
      <c r="T110" s="223">
        <v>0.5625</v>
      </c>
      <c r="U110" s="223">
        <v>0.59375</v>
      </c>
      <c r="V110" s="224">
        <v>7</v>
      </c>
      <c r="W110" s="461">
        <f t="shared" si="73"/>
        <v>45</v>
      </c>
      <c r="X110" s="188"/>
      <c r="Y110" s="188"/>
      <c r="Z110" s="54"/>
      <c r="AA110" s="54"/>
      <c r="AB110" s="644"/>
      <c r="AC110" s="644"/>
      <c r="AD110" s="449">
        <v>1</v>
      </c>
      <c r="AE110" s="449"/>
      <c r="AF110" s="48">
        <f t="shared" si="61"/>
        <v>-200</v>
      </c>
      <c r="AG110" s="125">
        <f t="shared" si="62"/>
        <v>0.8666666666666667</v>
      </c>
      <c r="AH110" s="667"/>
    </row>
    <row r="111" spans="1:34" ht="19.2" customHeight="1">
      <c r="A111" s="691"/>
      <c r="B111" s="451" t="s">
        <v>104</v>
      </c>
      <c r="C111" s="175"/>
      <c r="D111" s="176" t="s">
        <v>87</v>
      </c>
      <c r="E111" s="177"/>
      <c r="F111" s="273">
        <v>34.229999999999997</v>
      </c>
      <c r="G111" s="57">
        <v>1244.5999999999999</v>
      </c>
      <c r="H111" s="45">
        <f t="shared" si="78"/>
        <v>42602.657999999996</v>
      </c>
      <c r="I111" s="449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2196.352941176468</v>
      </c>
      <c r="O111" s="47">
        <f t="shared" si="80"/>
        <v>168.9502262443437</v>
      </c>
      <c r="P111" s="48">
        <f t="shared" si="75"/>
        <v>0</v>
      </c>
      <c r="Q111" s="49">
        <f t="shared" si="76"/>
        <v>-4.1266968325793698</v>
      </c>
      <c r="R111" s="453">
        <f t="shared" si="77"/>
        <v>0.97615686274509694</v>
      </c>
      <c r="S111" s="694"/>
      <c r="T111" s="223">
        <v>0.60902777777777772</v>
      </c>
      <c r="U111" s="223">
        <v>0.63263888888888886</v>
      </c>
      <c r="V111" s="224">
        <v>22</v>
      </c>
      <c r="W111" s="461">
        <f t="shared" si="73"/>
        <v>34.000000000000043</v>
      </c>
      <c r="X111" s="53">
        <v>0.59861111111111109</v>
      </c>
      <c r="Y111" s="53">
        <v>0.60833333333333328</v>
      </c>
      <c r="Z111" s="54"/>
      <c r="AA111" s="54"/>
      <c r="AB111" s="644"/>
      <c r="AC111" s="644"/>
      <c r="AD111" s="449"/>
      <c r="AE111" s="449"/>
      <c r="AF111" s="48">
        <f t="shared" si="61"/>
        <v>-53.647058823532006</v>
      </c>
      <c r="AG111" s="125">
        <f t="shared" si="62"/>
        <v>0.97615686274509683</v>
      </c>
      <c r="AH111" s="667"/>
    </row>
    <row r="112" spans="1:34" ht="19.2" customHeight="1">
      <c r="A112" s="691"/>
      <c r="B112" s="451" t="s">
        <v>104</v>
      </c>
      <c r="C112" s="175"/>
      <c r="D112" s="176" t="s">
        <v>88</v>
      </c>
      <c r="E112" s="83"/>
      <c r="F112" s="273">
        <v>34.229999999999997</v>
      </c>
      <c r="G112" s="57">
        <v>1324.75</v>
      </c>
      <c r="H112" s="45">
        <f t="shared" si="78"/>
        <v>45346.192499999997</v>
      </c>
      <c r="I112" s="449">
        <v>1</v>
      </c>
      <c r="J112" s="46">
        <v>13</v>
      </c>
      <c r="K112" s="44">
        <v>2250</v>
      </c>
      <c r="L112" s="47">
        <v>173.07692307692307</v>
      </c>
      <c r="M112" s="462">
        <v>13</v>
      </c>
      <c r="N112" s="44">
        <f t="shared" si="79"/>
        <v>2148.2432432432415</v>
      </c>
      <c r="O112" s="47">
        <f t="shared" si="80"/>
        <v>165.24948024948011</v>
      </c>
      <c r="P112" s="48">
        <f t="shared" si="75"/>
        <v>0</v>
      </c>
      <c r="Q112" s="49">
        <f t="shared" si="76"/>
        <v>-7.8274428274429511</v>
      </c>
      <c r="R112" s="453">
        <f t="shared" si="77"/>
        <v>0.95477477477477402</v>
      </c>
      <c r="S112" s="694"/>
      <c r="T112" s="223">
        <v>0.64791666666666659</v>
      </c>
      <c r="U112" s="223">
        <v>0.67361111111111105</v>
      </c>
      <c r="V112" s="224">
        <v>22</v>
      </c>
      <c r="W112" s="461">
        <f t="shared" si="73"/>
        <v>37.000000000000028</v>
      </c>
      <c r="X112" s="213">
        <v>0.63750000000000007</v>
      </c>
      <c r="Y112" s="213">
        <v>0.64722222222222225</v>
      </c>
      <c r="Z112" s="54"/>
      <c r="AA112" s="54"/>
      <c r="AB112" s="644"/>
      <c r="AC112" s="644"/>
      <c r="AD112" s="449">
        <v>1</v>
      </c>
      <c r="AE112" s="449"/>
      <c r="AF112" s="48">
        <f t="shared" si="61"/>
        <v>-101.75675675675848</v>
      </c>
      <c r="AG112" s="125">
        <f t="shared" si="62"/>
        <v>0.95477477477477402</v>
      </c>
      <c r="AH112" s="667"/>
    </row>
    <row r="113" spans="1:34" s="215" customFormat="1" ht="19.2" customHeight="1">
      <c r="A113" s="691"/>
      <c r="B113" s="451" t="s">
        <v>104</v>
      </c>
      <c r="C113" s="175"/>
      <c r="D113" s="176" t="s">
        <v>89</v>
      </c>
      <c r="E113" s="83"/>
      <c r="F113" s="273">
        <v>35.83</v>
      </c>
      <c r="G113" s="57">
        <v>1976.8</v>
      </c>
      <c r="H113" s="45">
        <f t="shared" si="78"/>
        <v>70828.743999999992</v>
      </c>
      <c r="I113" s="449">
        <v>1</v>
      </c>
      <c r="J113" s="46">
        <v>11</v>
      </c>
      <c r="K113" s="44">
        <v>2250</v>
      </c>
      <c r="L113" s="47">
        <v>204.54545454545453</v>
      </c>
      <c r="M113" s="459">
        <v>11</v>
      </c>
      <c r="N113" s="44">
        <f t="shared" si="79"/>
        <v>2196.4444444444457</v>
      </c>
      <c r="O113" s="47">
        <f t="shared" si="80"/>
        <v>199.67676767676778</v>
      </c>
      <c r="P113" s="48">
        <f t="shared" si="75"/>
        <v>0</v>
      </c>
      <c r="Q113" s="49">
        <f t="shared" si="76"/>
        <v>-4.8686868686867513</v>
      </c>
      <c r="R113" s="453">
        <f t="shared" si="77"/>
        <v>0.97619753086419814</v>
      </c>
      <c r="S113" s="694"/>
      <c r="T113" s="223">
        <v>0.71319444444444435</v>
      </c>
      <c r="U113" s="223">
        <v>0.75069444444444433</v>
      </c>
      <c r="V113" s="224">
        <v>4</v>
      </c>
      <c r="W113" s="461">
        <f t="shared" si="73"/>
        <v>53.999999999999972</v>
      </c>
      <c r="X113" s="213"/>
      <c r="Y113" s="213"/>
      <c r="Z113" s="214"/>
      <c r="AA113" s="214"/>
      <c r="AB113" s="644"/>
      <c r="AC113" s="644"/>
      <c r="AD113" s="218"/>
      <c r="AE113" s="218">
        <v>1</v>
      </c>
      <c r="AF113" s="48">
        <f t="shared" si="61"/>
        <v>-53.555555555554292</v>
      </c>
      <c r="AG113" s="125">
        <f t="shared" si="62"/>
        <v>0.97619753086419814</v>
      </c>
      <c r="AH113" s="667"/>
    </row>
    <row r="114" spans="1:34" s="215" customFormat="1" ht="19.2" customHeight="1">
      <c r="A114" s="691"/>
      <c r="B114" s="451" t="s">
        <v>105</v>
      </c>
      <c r="C114" s="175"/>
      <c r="D114" s="176" t="s">
        <v>172</v>
      </c>
      <c r="E114" s="43"/>
      <c r="F114" s="273">
        <v>54.09</v>
      </c>
      <c r="G114" s="44">
        <v>209</v>
      </c>
      <c r="H114" s="45">
        <f t="shared" si="78"/>
        <v>11304.810000000001</v>
      </c>
      <c r="I114" s="449"/>
      <c r="J114" s="46">
        <v>16</v>
      </c>
      <c r="K114" s="44">
        <v>1440</v>
      </c>
      <c r="L114" s="47">
        <v>90</v>
      </c>
      <c r="M114" s="459">
        <v>15</v>
      </c>
      <c r="N114" s="44">
        <f t="shared" si="79"/>
        <v>1140.0000000000041</v>
      </c>
      <c r="O114" s="47">
        <f t="shared" si="80"/>
        <v>76.00000000000027</v>
      </c>
      <c r="P114" s="48">
        <f t="shared" si="75"/>
        <v>-1</v>
      </c>
      <c r="Q114" s="49">
        <f t="shared" si="76"/>
        <v>-13.99999999999973</v>
      </c>
      <c r="R114" s="453">
        <f t="shared" si="77"/>
        <v>0.84444444444444744</v>
      </c>
      <c r="S114" s="694"/>
      <c r="T114" s="223">
        <v>0.75486111111111098</v>
      </c>
      <c r="U114" s="223">
        <v>0.76249999999999984</v>
      </c>
      <c r="V114" s="224">
        <v>6</v>
      </c>
      <c r="W114" s="461">
        <f t="shared" si="73"/>
        <v>10.999999999999961</v>
      </c>
      <c r="X114" s="213"/>
      <c r="Y114" s="213"/>
      <c r="Z114" s="214"/>
      <c r="AA114" s="214"/>
      <c r="AB114" s="644"/>
      <c r="AC114" s="644"/>
      <c r="AD114" s="218"/>
      <c r="AE114" s="218"/>
      <c r="AF114" s="48">
        <f t="shared" si="61"/>
        <v>-299.99999999999591</v>
      </c>
      <c r="AG114" s="125">
        <f t="shared" si="62"/>
        <v>0.79166666666666952</v>
      </c>
      <c r="AH114" s="667"/>
    </row>
    <row r="115" spans="1:34" s="215" customFormat="1" ht="19.2" customHeight="1">
      <c r="A115" s="691"/>
      <c r="B115" s="451" t="s">
        <v>105</v>
      </c>
      <c r="C115" s="175"/>
      <c r="D115" s="82" t="s">
        <v>76</v>
      </c>
      <c r="E115" s="83"/>
      <c r="F115" s="273">
        <v>55.56</v>
      </c>
      <c r="G115" s="226">
        <v>1372</v>
      </c>
      <c r="H115" s="45">
        <f t="shared" si="78"/>
        <v>76228.320000000007</v>
      </c>
      <c r="I115" s="449"/>
      <c r="J115" s="46">
        <v>16</v>
      </c>
      <c r="K115" s="44">
        <v>1440</v>
      </c>
      <c r="L115" s="47">
        <v>90</v>
      </c>
      <c r="M115" s="459">
        <v>16</v>
      </c>
      <c r="N115" s="44">
        <f t="shared" si="79"/>
        <v>1327.7419354838723</v>
      </c>
      <c r="O115" s="47">
        <f t="shared" si="80"/>
        <v>82.983870967742021</v>
      </c>
      <c r="P115" s="48">
        <f t="shared" si="75"/>
        <v>0</v>
      </c>
      <c r="Q115" s="49">
        <f t="shared" si="76"/>
        <v>-7.0161290322579788</v>
      </c>
      <c r="R115" s="453">
        <f t="shared" si="77"/>
        <v>0.92204301075268913</v>
      </c>
      <c r="S115" s="694"/>
      <c r="T115" s="223">
        <v>0.76597222222222205</v>
      </c>
      <c r="U115" s="223">
        <v>0.80902777777777757</v>
      </c>
      <c r="V115" s="224">
        <v>5</v>
      </c>
      <c r="W115" s="461">
        <f t="shared" si="73"/>
        <v>61.999999999999943</v>
      </c>
      <c r="X115" s="213"/>
      <c r="Y115" s="213"/>
      <c r="Z115" s="214"/>
      <c r="AA115" s="214"/>
      <c r="AB115" s="644"/>
      <c r="AC115" s="644"/>
      <c r="AD115" s="218"/>
      <c r="AE115" s="218"/>
      <c r="AF115" s="48">
        <f t="shared" si="61"/>
        <v>-112.25806451612766</v>
      </c>
      <c r="AG115" s="125">
        <f t="shared" si="62"/>
        <v>0.92204301075268913</v>
      </c>
      <c r="AH115" s="667"/>
    </row>
    <row r="116" spans="1:34" s="215" customFormat="1" ht="19.2" customHeight="1">
      <c r="A116" s="691"/>
      <c r="B116" s="451" t="s">
        <v>105</v>
      </c>
      <c r="C116" s="55"/>
      <c r="D116" s="82" t="s">
        <v>474</v>
      </c>
      <c r="E116" s="83"/>
      <c r="F116" s="273">
        <v>58.17</v>
      </c>
      <c r="G116" s="226">
        <v>3939</v>
      </c>
      <c r="H116" s="45">
        <f t="shared" si="78"/>
        <v>229131.63</v>
      </c>
      <c r="I116" s="449"/>
      <c r="J116" s="46">
        <v>15</v>
      </c>
      <c r="K116" s="44">
        <v>1440</v>
      </c>
      <c r="L116" s="47">
        <v>96</v>
      </c>
      <c r="M116" s="459">
        <v>15</v>
      </c>
      <c r="N116" s="44">
        <f t="shared" si="79"/>
        <v>1305.7458563535911</v>
      </c>
      <c r="O116" s="47">
        <f t="shared" si="80"/>
        <v>87.049723756906076</v>
      </c>
      <c r="P116" s="48">
        <f t="shared" si="75"/>
        <v>0</v>
      </c>
      <c r="Q116" s="49">
        <f t="shared" si="76"/>
        <v>-8.9502762430939242</v>
      </c>
      <c r="R116" s="453">
        <f t="shared" si="77"/>
        <v>0.90676795580110492</v>
      </c>
      <c r="S116" s="694"/>
      <c r="T116" s="223">
        <v>0.81319444444444422</v>
      </c>
      <c r="U116" s="223">
        <v>0.93888888888888866</v>
      </c>
      <c r="V116" s="224">
        <v>6</v>
      </c>
      <c r="W116" s="461">
        <f t="shared" si="73"/>
        <v>181</v>
      </c>
      <c r="X116" s="213"/>
      <c r="Y116" s="213"/>
      <c r="Z116" s="214"/>
      <c r="AA116" s="214"/>
      <c r="AB116" s="644"/>
      <c r="AC116" s="644"/>
      <c r="AD116" s="218"/>
      <c r="AE116" s="218"/>
      <c r="AF116" s="48">
        <f t="shared" si="61"/>
        <v>-134.25414364640892</v>
      </c>
      <c r="AG116" s="125">
        <f t="shared" si="62"/>
        <v>0.90676795580110492</v>
      </c>
      <c r="AH116" s="667"/>
    </row>
    <row r="117" spans="1:34" s="215" customFormat="1" ht="19.2" customHeight="1">
      <c r="A117" s="691"/>
      <c r="B117" s="45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449"/>
      <c r="J117" s="46"/>
      <c r="K117" s="44"/>
      <c r="L117" s="47"/>
      <c r="M117" s="459"/>
      <c r="N117" s="44"/>
      <c r="O117" s="47"/>
      <c r="P117" s="48"/>
      <c r="Q117" s="49"/>
      <c r="R117" s="453"/>
      <c r="S117" s="694"/>
      <c r="T117" s="223"/>
      <c r="U117" s="223"/>
      <c r="V117" s="224"/>
      <c r="W117" s="461">
        <f t="shared" si="73"/>
        <v>0</v>
      </c>
      <c r="X117" s="213"/>
      <c r="Y117" s="213"/>
      <c r="Z117" s="214"/>
      <c r="AA117" s="214"/>
      <c r="AB117" s="644"/>
      <c r="AC117" s="644"/>
      <c r="AD117" s="218"/>
      <c r="AE117" s="218"/>
      <c r="AF117" s="48">
        <f t="shared" si="61"/>
        <v>0</v>
      </c>
      <c r="AG117" s="125" t="e">
        <f t="shared" si="62"/>
        <v>#DIV/0!</v>
      </c>
      <c r="AH117" s="667"/>
    </row>
    <row r="118" spans="1:34" s="215" customFormat="1" ht="19.2" customHeight="1">
      <c r="A118" s="691"/>
      <c r="B118" s="451">
        <v>0</v>
      </c>
      <c r="C118" s="163"/>
      <c r="D118" s="176"/>
      <c r="E118" s="43"/>
      <c r="F118" s="273" t="s">
        <v>106</v>
      </c>
      <c r="G118" s="44"/>
      <c r="H118" s="45">
        <f t="shared" si="78"/>
        <v>0</v>
      </c>
      <c r="I118" s="449"/>
      <c r="J118" s="46"/>
      <c r="K118" s="44"/>
      <c r="L118" s="47"/>
      <c r="M118" s="459"/>
      <c r="N118" s="44"/>
      <c r="O118" s="47"/>
      <c r="P118" s="48"/>
      <c r="Q118" s="49"/>
      <c r="R118" s="453"/>
      <c r="S118" s="694"/>
      <c r="T118" s="223"/>
      <c r="U118" s="223"/>
      <c r="V118" s="224"/>
      <c r="W118" s="461">
        <f t="shared" si="73"/>
        <v>0</v>
      </c>
      <c r="X118" s="213"/>
      <c r="Y118" s="213"/>
      <c r="Z118" s="214"/>
      <c r="AA118" s="214"/>
      <c r="AB118" s="644"/>
      <c r="AC118" s="644"/>
      <c r="AD118" s="218"/>
      <c r="AE118" s="218"/>
      <c r="AF118" s="48">
        <f t="shared" si="61"/>
        <v>0</v>
      </c>
      <c r="AG118" s="125" t="e">
        <f t="shared" si="62"/>
        <v>#DIV/0!</v>
      </c>
      <c r="AH118" s="667"/>
    </row>
    <row r="119" spans="1:34" s="215" customFormat="1" ht="19.2" customHeight="1">
      <c r="A119" s="691"/>
      <c r="B119" s="45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49"/>
      <c r="J119" s="46"/>
      <c r="K119" s="44"/>
      <c r="L119" s="47"/>
      <c r="M119" s="459"/>
      <c r="N119" s="44"/>
      <c r="O119" s="47"/>
      <c r="P119" s="48"/>
      <c r="Q119" s="49"/>
      <c r="R119" s="453"/>
      <c r="S119" s="694"/>
      <c r="T119" s="223"/>
      <c r="U119" s="223"/>
      <c r="V119" s="224"/>
      <c r="W119" s="461">
        <f t="shared" si="73"/>
        <v>0</v>
      </c>
      <c r="X119" s="213"/>
      <c r="Y119" s="213"/>
      <c r="Z119" s="214"/>
      <c r="AA119" s="214"/>
      <c r="AB119" s="644"/>
      <c r="AC119" s="644"/>
      <c r="AD119" s="218"/>
      <c r="AE119" s="218"/>
      <c r="AF119" s="48">
        <f t="shared" si="61"/>
        <v>0</v>
      </c>
      <c r="AG119" s="125" t="e">
        <f t="shared" si="62"/>
        <v>#DIV/0!</v>
      </c>
      <c r="AH119" s="667"/>
    </row>
    <row r="120" spans="1:34" s="215" customFormat="1" ht="19.2" customHeight="1">
      <c r="A120" s="691"/>
      <c r="B120" s="45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49"/>
      <c r="J120" s="178"/>
      <c r="K120" s="228"/>
      <c r="L120" s="47"/>
      <c r="M120" s="459"/>
      <c r="N120" s="179"/>
      <c r="O120" s="221"/>
      <c r="P120" s="165"/>
      <c r="Q120" s="49"/>
      <c r="R120" s="453"/>
      <c r="S120" s="694"/>
      <c r="T120" s="223"/>
      <c r="U120" s="223"/>
      <c r="V120" s="224"/>
      <c r="W120" s="461">
        <f t="shared" si="73"/>
        <v>0</v>
      </c>
      <c r="X120" s="213"/>
      <c r="Y120" s="213"/>
      <c r="Z120" s="214"/>
      <c r="AA120" s="214"/>
      <c r="AB120" s="644"/>
      <c r="AC120" s="644"/>
      <c r="AD120" s="218"/>
      <c r="AE120" s="218"/>
      <c r="AF120" s="48">
        <f t="shared" si="61"/>
        <v>0</v>
      </c>
      <c r="AG120" s="125" t="e">
        <f t="shared" si="62"/>
        <v>#DIV/0!</v>
      </c>
      <c r="AH120" s="667"/>
    </row>
    <row r="121" spans="1:34" ht="19.2" customHeight="1">
      <c r="A121" s="692"/>
      <c r="B121" s="121">
        <v>0</v>
      </c>
      <c r="C121" s="100" t="s">
        <v>475</v>
      </c>
      <c r="D121" s="229" t="s">
        <v>460</v>
      </c>
      <c r="E121" s="230"/>
      <c r="F121" s="282"/>
      <c r="G121" s="231"/>
      <c r="H121" s="232"/>
      <c r="I121" s="233"/>
      <c r="J121" s="199">
        <v>15</v>
      </c>
      <c r="K121" s="199">
        <v>1721.25</v>
      </c>
      <c r="L121" s="200">
        <v>122.08741258741259</v>
      </c>
      <c r="M121" s="199">
        <f t="shared" ref="M121:O121" si="81">AVERAGE(M109:M120)</f>
        <v>15</v>
      </c>
      <c r="N121" s="199">
        <f t="shared" si="81"/>
        <v>1604.4365345154135</v>
      </c>
      <c r="O121" s="200">
        <f t="shared" si="81"/>
        <v>114.54919333324651</v>
      </c>
      <c r="P121" s="48">
        <f t="shared" ref="P121:P130" si="82">M121-J121</f>
        <v>0</v>
      </c>
      <c r="Q121" s="49">
        <f t="shared" ref="Q121:Q130" si="83">O121-L121</f>
        <v>-7.53821925416608</v>
      </c>
      <c r="R121" s="172">
        <f t="shared" ref="R121:R130" si="84">O121/L121</f>
        <v>0.93825555727320509</v>
      </c>
      <c r="S121" s="672"/>
      <c r="T121" s="50"/>
      <c r="U121" s="50"/>
      <c r="V121" s="44"/>
      <c r="W121" s="46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44"/>
      <c r="AC121" s="644"/>
      <c r="AD121" s="107">
        <f>SUM(AD109:AD120)</f>
        <v>2</v>
      </c>
      <c r="AE121" s="107">
        <f>SUM(AE109:AE120)</f>
        <v>1</v>
      </c>
      <c r="AF121" s="48">
        <f>N121-K121</f>
        <v>-116.81346548458646</v>
      </c>
      <c r="AG121" s="125">
        <f>N121/K121</f>
        <v>0.93213451533212111</v>
      </c>
      <c r="AH121" s="667"/>
    </row>
    <row r="122" spans="1:34" ht="19.2" customHeight="1">
      <c r="A122" s="695" t="s">
        <v>476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763</v>
      </c>
      <c r="H122" s="45">
        <f t="shared" ref="H122:H132" si="85">F122*G122</f>
        <v>48770.96</v>
      </c>
      <c r="I122" s="451"/>
      <c r="J122" s="46">
        <v>19</v>
      </c>
      <c r="K122" s="44">
        <v>1440</v>
      </c>
      <c r="L122" s="47">
        <v>75.78947368421052</v>
      </c>
      <c r="M122" s="462">
        <v>19</v>
      </c>
      <c r="N122" s="174">
        <f t="shared" ref="N122:N130" si="86">G122/W122*60</f>
        <v>1307.9999999999989</v>
      </c>
      <c r="O122" s="234">
        <f t="shared" ref="O122:O130" si="87">N122/M122</f>
        <v>68.842105263157833</v>
      </c>
      <c r="P122" s="108">
        <f t="shared" si="82"/>
        <v>0</v>
      </c>
      <c r="Q122" s="182">
        <f t="shared" si="83"/>
        <v>-6.9473684210526869</v>
      </c>
      <c r="R122" s="109">
        <f t="shared" si="84"/>
        <v>0.90833333333333255</v>
      </c>
      <c r="S122" s="658">
        <f>R134</f>
        <v>0.89441983877362297</v>
      </c>
      <c r="T122" s="50">
        <v>0.5</v>
      </c>
      <c r="U122" s="50">
        <v>0.52430555555555558</v>
      </c>
      <c r="V122" s="224">
        <v>5</v>
      </c>
      <c r="W122" s="461">
        <f t="shared" si="73"/>
        <v>35.000000000000036</v>
      </c>
      <c r="X122" s="53"/>
      <c r="Y122" s="53"/>
      <c r="Z122" s="54"/>
      <c r="AA122" s="54"/>
      <c r="AB122" s="644"/>
      <c r="AC122" s="644"/>
      <c r="AD122" s="449"/>
      <c r="AE122" s="449"/>
      <c r="AF122" s="48">
        <f t="shared" si="61"/>
        <v>-132.00000000000114</v>
      </c>
      <c r="AG122" s="453">
        <f t="shared" si="62"/>
        <v>0.90833333333333255</v>
      </c>
      <c r="AH122" s="672">
        <f>AG134</f>
        <v>0.89575995700795275</v>
      </c>
    </row>
    <row r="123" spans="1:34" ht="19.2" customHeight="1">
      <c r="A123" s="69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1766</v>
      </c>
      <c r="H123" s="45">
        <f t="shared" si="85"/>
        <v>103611.22</v>
      </c>
      <c r="I123" s="449"/>
      <c r="J123" s="46">
        <v>19</v>
      </c>
      <c r="K123" s="44">
        <v>1440</v>
      </c>
      <c r="L123" s="47">
        <v>75.78947368421052</v>
      </c>
      <c r="M123" s="459">
        <v>19</v>
      </c>
      <c r="N123" s="57">
        <f t="shared" si="86"/>
        <v>1341.2658227848094</v>
      </c>
      <c r="O123" s="86">
        <f t="shared" si="87"/>
        <v>70.592938041305757</v>
      </c>
      <c r="P123" s="54">
        <f t="shared" si="82"/>
        <v>0</v>
      </c>
      <c r="Q123" s="88">
        <f t="shared" si="83"/>
        <v>-5.1965356429047631</v>
      </c>
      <c r="R123" s="450">
        <f t="shared" si="84"/>
        <v>0.9314345991561177</v>
      </c>
      <c r="S123" s="658"/>
      <c r="T123" s="50">
        <v>0.52916666666666667</v>
      </c>
      <c r="U123" s="50">
        <v>0.58402777777777781</v>
      </c>
      <c r="V123" s="224">
        <v>7</v>
      </c>
      <c r="W123" s="461">
        <f t="shared" si="73"/>
        <v>79.000000000000043</v>
      </c>
      <c r="X123" s="53"/>
      <c r="Y123" s="53"/>
      <c r="Z123" s="54"/>
      <c r="AA123" s="54"/>
      <c r="AB123" s="644"/>
      <c r="AC123" s="644"/>
      <c r="AD123" s="449"/>
      <c r="AE123" s="449"/>
      <c r="AF123" s="48">
        <f t="shared" si="61"/>
        <v>-98.734177215190584</v>
      </c>
      <c r="AG123" s="453">
        <f t="shared" si="62"/>
        <v>0.9314345991561177</v>
      </c>
      <c r="AH123" s="658"/>
    </row>
    <row r="124" spans="1:34" ht="19.2" customHeight="1">
      <c r="A124" s="69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2017</v>
      </c>
      <c r="H124" s="45">
        <f t="shared" si="85"/>
        <v>120051.84000000001</v>
      </c>
      <c r="I124" s="235"/>
      <c r="J124" s="46">
        <v>21</v>
      </c>
      <c r="K124" s="44">
        <v>1385</v>
      </c>
      <c r="L124" s="47">
        <v>65.952380952380949</v>
      </c>
      <c r="M124" s="462">
        <v>21</v>
      </c>
      <c r="N124" s="174">
        <f t="shared" si="86"/>
        <v>1260.6250000000002</v>
      </c>
      <c r="O124" s="234">
        <f t="shared" si="87"/>
        <v>60.029761904761912</v>
      </c>
      <c r="P124" s="108">
        <f t="shared" si="82"/>
        <v>0</v>
      </c>
      <c r="Q124" s="182">
        <f t="shared" si="83"/>
        <v>-5.9226190476190368</v>
      </c>
      <c r="R124" s="109">
        <f t="shared" si="84"/>
        <v>0.91019855595667887</v>
      </c>
      <c r="S124" s="696"/>
      <c r="T124" s="50">
        <v>0.60000000000000009</v>
      </c>
      <c r="U124" s="50">
        <v>0.66666666666666674</v>
      </c>
      <c r="V124" s="224">
        <v>23</v>
      </c>
      <c r="W124" s="461">
        <f t="shared" si="73"/>
        <v>95.999999999999972</v>
      </c>
      <c r="X124" s="188">
        <v>0.58888888888888891</v>
      </c>
      <c r="Y124" s="188">
        <v>0.59861111111111109</v>
      </c>
      <c r="Z124" s="54"/>
      <c r="AA124" s="54"/>
      <c r="AB124" s="644"/>
      <c r="AC124" s="644"/>
      <c r="AD124" s="449"/>
      <c r="AE124" s="449"/>
      <c r="AF124" s="108">
        <f t="shared" si="61"/>
        <v>-124.37499999999977</v>
      </c>
      <c r="AG124" s="109">
        <f t="shared" si="62"/>
        <v>0.91019855595667887</v>
      </c>
      <c r="AH124" s="658"/>
    </row>
    <row r="125" spans="1:34" ht="19.2" customHeight="1">
      <c r="A125" s="69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1440</v>
      </c>
      <c r="H125" s="45">
        <f t="shared" si="85"/>
        <v>81777.600000000006</v>
      </c>
      <c r="I125" s="451"/>
      <c r="J125" s="46">
        <v>18</v>
      </c>
      <c r="K125" s="44">
        <v>1636</v>
      </c>
      <c r="L125" s="47">
        <v>90.888888888888886</v>
      </c>
      <c r="M125" s="462">
        <v>18</v>
      </c>
      <c r="N125" s="174">
        <f t="shared" si="86"/>
        <v>1416.3934426229521</v>
      </c>
      <c r="O125" s="234">
        <f t="shared" si="87"/>
        <v>78.688524590164008</v>
      </c>
      <c r="P125" s="108">
        <f t="shared" si="82"/>
        <v>0</v>
      </c>
      <c r="Q125" s="182">
        <f t="shared" si="83"/>
        <v>-12.200364298724878</v>
      </c>
      <c r="R125" s="109">
        <f t="shared" si="84"/>
        <v>0.86576616297246467</v>
      </c>
      <c r="S125" s="696"/>
      <c r="T125" s="50">
        <v>0.70694444444444449</v>
      </c>
      <c r="U125" s="50">
        <v>0.74930555555555556</v>
      </c>
      <c r="V125" s="224">
        <v>5</v>
      </c>
      <c r="W125" s="461">
        <f t="shared" si="73"/>
        <v>60.999999999999943</v>
      </c>
      <c r="X125" s="64"/>
      <c r="Y125" s="64"/>
      <c r="Z125" s="54"/>
      <c r="AA125" s="54"/>
      <c r="AB125" s="644"/>
      <c r="AC125" s="644"/>
      <c r="AD125" s="449"/>
      <c r="AE125" s="449">
        <v>1</v>
      </c>
      <c r="AF125" s="48">
        <f t="shared" si="61"/>
        <v>-219.60655737704792</v>
      </c>
      <c r="AG125" s="453">
        <f t="shared" si="62"/>
        <v>0.86576616297246456</v>
      </c>
      <c r="AH125" s="659"/>
    </row>
    <row r="126" spans="1:34" ht="19.2" customHeight="1">
      <c r="A126" s="695"/>
      <c r="B126" s="130" t="s">
        <v>105</v>
      </c>
      <c r="C126" s="449"/>
      <c r="D126" s="321" t="s">
        <v>80</v>
      </c>
      <c r="E126" s="177"/>
      <c r="F126" s="273">
        <v>56.87</v>
      </c>
      <c r="G126" s="57">
        <v>1154</v>
      </c>
      <c r="H126" s="45">
        <f t="shared" si="85"/>
        <v>65627.98</v>
      </c>
      <c r="I126" s="449"/>
      <c r="J126" s="46">
        <v>18</v>
      </c>
      <c r="K126" s="44">
        <v>1636</v>
      </c>
      <c r="L126" s="47">
        <v>90.888888888888886</v>
      </c>
      <c r="M126" s="459">
        <v>18</v>
      </c>
      <c r="N126" s="57">
        <f t="shared" si="86"/>
        <v>1442.5000000000005</v>
      </c>
      <c r="O126" s="86">
        <f t="shared" si="87"/>
        <v>80.138888888888914</v>
      </c>
      <c r="P126" s="54">
        <f t="shared" si="82"/>
        <v>0</v>
      </c>
      <c r="Q126" s="88">
        <f t="shared" si="83"/>
        <v>-10.749999999999972</v>
      </c>
      <c r="R126" s="450">
        <f t="shared" si="84"/>
        <v>0.88172371638141844</v>
      </c>
      <c r="S126" s="696"/>
      <c r="T126" s="50">
        <v>0.75416666666666665</v>
      </c>
      <c r="U126" s="50">
        <v>0.78749999999999998</v>
      </c>
      <c r="V126" s="224">
        <v>7</v>
      </c>
      <c r="W126" s="461">
        <f t="shared" si="73"/>
        <v>47.999999999999986</v>
      </c>
      <c r="X126" s="64"/>
      <c r="Y126" s="64"/>
      <c r="Z126" s="54"/>
      <c r="AA126" s="54"/>
      <c r="AB126" s="644"/>
      <c r="AC126" s="644"/>
      <c r="AD126" s="449"/>
      <c r="AE126" s="449"/>
      <c r="AF126" s="108">
        <f t="shared" si="61"/>
        <v>-193.49999999999955</v>
      </c>
      <c r="AG126" s="109">
        <f t="shared" si="62"/>
        <v>0.88172371638141833</v>
      </c>
      <c r="AH126" s="659"/>
    </row>
    <row r="127" spans="1:34" ht="19.2" customHeight="1">
      <c r="A127" s="69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1438</v>
      </c>
      <c r="H127" s="45">
        <f t="shared" si="85"/>
        <v>68448.800000000003</v>
      </c>
      <c r="I127" s="218"/>
      <c r="J127" s="46">
        <v>19</v>
      </c>
      <c r="K127" s="44">
        <v>1440</v>
      </c>
      <c r="L127" s="47">
        <v>75.78947368421052</v>
      </c>
      <c r="M127" s="462">
        <v>19</v>
      </c>
      <c r="N127" s="57">
        <f t="shared" si="86"/>
        <v>1327.3846153846168</v>
      </c>
      <c r="O127" s="86">
        <f t="shared" si="87"/>
        <v>69.862348178137722</v>
      </c>
      <c r="P127" s="54">
        <f t="shared" si="82"/>
        <v>0</v>
      </c>
      <c r="Q127" s="88">
        <f t="shared" si="83"/>
        <v>-5.9271255060727981</v>
      </c>
      <c r="R127" s="450">
        <f t="shared" si="84"/>
        <v>0.92179487179487285</v>
      </c>
      <c r="S127" s="696"/>
      <c r="T127" s="50">
        <v>0.79236111111111107</v>
      </c>
      <c r="U127" s="50">
        <v>0.83749999999999991</v>
      </c>
      <c r="V127" s="451">
        <v>7</v>
      </c>
      <c r="W127" s="461">
        <f t="shared" si="73"/>
        <v>64.999999999999929</v>
      </c>
      <c r="X127" s="64"/>
      <c r="Y127" s="64"/>
      <c r="Z127" s="54"/>
      <c r="AA127" s="54"/>
      <c r="AB127" s="644"/>
      <c r="AC127" s="644"/>
      <c r="AD127" s="449"/>
      <c r="AE127" s="449"/>
      <c r="AF127" s="108">
        <f t="shared" si="61"/>
        <v>-112.61538461538316</v>
      </c>
      <c r="AG127" s="109">
        <f t="shared" si="62"/>
        <v>0.92179487179487285</v>
      </c>
      <c r="AH127" s="659"/>
    </row>
    <row r="128" spans="1:34" ht="19.2" customHeight="1">
      <c r="A128" s="69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1227</v>
      </c>
      <c r="H128" s="45">
        <f t="shared" si="85"/>
        <v>62172.090000000004</v>
      </c>
      <c r="I128" s="44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1338.5454545454554</v>
      </c>
      <c r="O128" s="86">
        <f t="shared" si="87"/>
        <v>74.363636363636417</v>
      </c>
      <c r="P128" s="54">
        <f t="shared" si="82"/>
        <v>0</v>
      </c>
      <c r="Q128" s="88">
        <f t="shared" si="83"/>
        <v>-8.969696969696912</v>
      </c>
      <c r="R128" s="450">
        <f t="shared" si="84"/>
        <v>0.89236363636363703</v>
      </c>
      <c r="S128" s="696"/>
      <c r="T128" s="50">
        <v>0.85347222222222219</v>
      </c>
      <c r="U128" s="50">
        <v>0.89166666666666661</v>
      </c>
      <c r="V128" s="451">
        <v>23</v>
      </c>
      <c r="W128" s="461">
        <f t="shared" si="73"/>
        <v>54.999999999999964</v>
      </c>
      <c r="X128" s="64">
        <v>0.84166666666666667</v>
      </c>
      <c r="Y128" s="64">
        <v>0.85277777777777775</v>
      </c>
      <c r="Z128" s="54"/>
      <c r="AA128" s="54"/>
      <c r="AB128" s="644"/>
      <c r="AC128" s="644"/>
      <c r="AD128" s="449"/>
      <c r="AE128" s="449"/>
      <c r="AF128" s="48">
        <f t="shared" si="61"/>
        <v>-161.45454545454459</v>
      </c>
      <c r="AG128" s="453">
        <f t="shared" si="62"/>
        <v>0.89236363636363691</v>
      </c>
      <c r="AH128" s="659"/>
    </row>
    <row r="129" spans="1:34" ht="19.2" customHeight="1">
      <c r="A129" s="69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909</v>
      </c>
      <c r="H129" s="45">
        <f t="shared" si="85"/>
        <v>52876.53</v>
      </c>
      <c r="I129" s="44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1398.4615384615377</v>
      </c>
      <c r="O129" s="86">
        <f t="shared" si="87"/>
        <v>87.403846153846104</v>
      </c>
      <c r="P129" s="54">
        <f t="shared" si="82"/>
        <v>0</v>
      </c>
      <c r="Q129" s="88">
        <f t="shared" si="83"/>
        <v>-14.846153846153896</v>
      </c>
      <c r="R129" s="450">
        <f t="shared" si="84"/>
        <v>0.85480534135790809</v>
      </c>
      <c r="S129" s="696"/>
      <c r="T129" s="50">
        <v>0.8965277777777777</v>
      </c>
      <c r="U129" s="50">
        <v>0.92361111111111105</v>
      </c>
      <c r="V129" s="451">
        <v>7</v>
      </c>
      <c r="W129" s="461">
        <f t="shared" si="73"/>
        <v>39.000000000000021</v>
      </c>
      <c r="X129" s="64"/>
      <c r="Y129" s="64"/>
      <c r="Z129" s="54"/>
      <c r="AA129" s="54"/>
      <c r="AB129" s="644"/>
      <c r="AC129" s="644"/>
      <c r="AD129" s="449"/>
      <c r="AE129" s="449">
        <v>1</v>
      </c>
      <c r="AF129" s="108">
        <f t="shared" si="61"/>
        <v>-237.53846153846234</v>
      </c>
      <c r="AG129" s="109">
        <f t="shared" si="62"/>
        <v>0.85480534135790809</v>
      </c>
      <c r="AH129" s="659"/>
    </row>
    <row r="130" spans="1:34" ht="19.2" customHeight="1">
      <c r="A130" s="69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1111</v>
      </c>
      <c r="H130" s="45">
        <f t="shared" si="85"/>
        <v>63660.299999999996</v>
      </c>
      <c r="I130" s="449"/>
      <c r="J130" s="46">
        <v>19</v>
      </c>
      <c r="K130" s="44">
        <v>1440</v>
      </c>
      <c r="L130" s="47">
        <v>75.78947368421052</v>
      </c>
      <c r="M130" s="459">
        <v>19</v>
      </c>
      <c r="N130" s="57">
        <f t="shared" si="86"/>
        <v>1307.0588235294122</v>
      </c>
      <c r="O130" s="86">
        <f t="shared" si="87"/>
        <v>68.792569659442748</v>
      </c>
      <c r="P130" s="54">
        <f t="shared" si="82"/>
        <v>0</v>
      </c>
      <c r="Q130" s="88">
        <f t="shared" si="83"/>
        <v>-6.9969040247677725</v>
      </c>
      <c r="R130" s="450">
        <f t="shared" si="84"/>
        <v>0.90767973856209183</v>
      </c>
      <c r="S130" s="696"/>
      <c r="T130" s="50">
        <v>0.92916666666666659</v>
      </c>
      <c r="U130" s="50">
        <v>0.96458333333333324</v>
      </c>
      <c r="V130" s="451">
        <v>8</v>
      </c>
      <c r="W130" s="461">
        <f t="shared" si="73"/>
        <v>50.999999999999979</v>
      </c>
      <c r="X130" s="64"/>
      <c r="Y130" s="64"/>
      <c r="Z130" s="54"/>
      <c r="AA130" s="54"/>
      <c r="AB130" s="644"/>
      <c r="AC130" s="644"/>
      <c r="AD130" s="449"/>
      <c r="AE130" s="449"/>
      <c r="AF130" s="108">
        <f t="shared" si="61"/>
        <v>-132.94117647058783</v>
      </c>
      <c r="AG130" s="109">
        <f t="shared" si="62"/>
        <v>0.90767973856209183</v>
      </c>
      <c r="AH130" s="659"/>
    </row>
    <row r="131" spans="1:34" ht="19.2" customHeight="1">
      <c r="A131" s="69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50"/>
      <c r="S131" s="696"/>
      <c r="T131" s="50"/>
      <c r="U131" s="50"/>
      <c r="V131" s="451"/>
      <c r="W131" s="461">
        <f t="shared" si="73"/>
        <v>0</v>
      </c>
      <c r="X131" s="64"/>
      <c r="Y131" s="64"/>
      <c r="Z131" s="54"/>
      <c r="AA131" s="54"/>
      <c r="AB131" s="644"/>
      <c r="AC131" s="644"/>
      <c r="AD131" s="449"/>
      <c r="AE131" s="449"/>
      <c r="AF131" s="48">
        <f t="shared" si="61"/>
        <v>0</v>
      </c>
      <c r="AG131" s="453" t="e">
        <f t="shared" si="62"/>
        <v>#DIV/0!</v>
      </c>
      <c r="AH131" s="659"/>
    </row>
    <row r="132" spans="1:34" ht="19.2" customHeight="1">
      <c r="A132" s="69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49"/>
      <c r="J132" s="87"/>
      <c r="K132" s="57"/>
      <c r="L132" s="86"/>
      <c r="M132" s="459"/>
      <c r="N132" s="57"/>
      <c r="O132" s="86"/>
      <c r="P132" s="54"/>
      <c r="Q132" s="88"/>
      <c r="R132" s="450"/>
      <c r="S132" s="696"/>
      <c r="T132" s="50"/>
      <c r="U132" s="50"/>
      <c r="V132" s="451"/>
      <c r="W132" s="461">
        <f t="shared" si="73"/>
        <v>0</v>
      </c>
      <c r="X132" s="64"/>
      <c r="Y132" s="64"/>
      <c r="Z132" s="54"/>
      <c r="AA132" s="54"/>
      <c r="AB132" s="644"/>
      <c r="AC132" s="644"/>
      <c r="AD132" s="449"/>
      <c r="AE132" s="449"/>
      <c r="AF132" s="65"/>
      <c r="AG132" s="454"/>
      <c r="AH132" s="659"/>
    </row>
    <row r="133" spans="1:34" ht="19.2" customHeight="1">
      <c r="A133" s="69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49"/>
      <c r="J133" s="87"/>
      <c r="K133" s="57"/>
      <c r="L133" s="86"/>
      <c r="M133" s="459"/>
      <c r="N133" s="57"/>
      <c r="O133" s="86"/>
      <c r="P133" s="54"/>
      <c r="Q133" s="88"/>
      <c r="R133" s="450"/>
      <c r="S133" s="696"/>
      <c r="T133" s="50"/>
      <c r="U133" s="50"/>
      <c r="V133" s="451"/>
      <c r="W133" s="236">
        <f t="shared" si="73"/>
        <v>0</v>
      </c>
      <c r="X133" s="64"/>
      <c r="Y133" s="64"/>
      <c r="Z133" s="54"/>
      <c r="AA133" s="54"/>
      <c r="AB133" s="644"/>
      <c r="AC133" s="644"/>
      <c r="AD133" s="449"/>
      <c r="AE133" s="449"/>
      <c r="AF133" s="65"/>
      <c r="AG133" s="454"/>
      <c r="AH133" s="659"/>
    </row>
    <row r="134" spans="1:34" ht="19.2" customHeight="1">
      <c r="A134" s="695"/>
      <c r="B134" s="168">
        <v>0</v>
      </c>
      <c r="C134" s="100" t="s">
        <v>477</v>
      </c>
      <c r="D134" s="673" t="s">
        <v>460</v>
      </c>
      <c r="E134" s="673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1348.9149663698649</v>
      </c>
      <c r="O134" s="240">
        <f t="shared" si="88"/>
        <v>73.19051322703794</v>
      </c>
      <c r="P134" s="51">
        <f t="shared" ref="P134:P144" si="89">M134-J134</f>
        <v>0</v>
      </c>
      <c r="Q134" s="139">
        <f t="shared" ref="Q134:Q144" si="90">O134-L134</f>
        <v>-8.6396408618880827</v>
      </c>
      <c r="R134" s="241">
        <f t="shared" ref="R134:R144" si="91">O134/L134</f>
        <v>0.89441983877362297</v>
      </c>
      <c r="S134" s="658"/>
      <c r="T134" s="50"/>
      <c r="U134" s="50"/>
      <c r="V134" s="451"/>
      <c r="W134" s="451"/>
      <c r="X134" s="53"/>
      <c r="Y134" s="53"/>
      <c r="Z134" s="106">
        <f>SUM(Z122:Z133)</f>
        <v>0</v>
      </c>
      <c r="AA134" s="106">
        <f>SUM(AA122:AA133)</f>
        <v>0</v>
      </c>
      <c r="AB134" s="644"/>
      <c r="AC134" s="644"/>
      <c r="AD134" s="107">
        <f>SUM(AD122:AD133)</f>
        <v>0</v>
      </c>
      <c r="AE134" s="107">
        <f>SUM(AE122:AE133)</f>
        <v>2</v>
      </c>
      <c r="AF134" s="48">
        <f t="shared" si="61"/>
        <v>-156.97392251902397</v>
      </c>
      <c r="AG134" s="453">
        <f t="shared" si="62"/>
        <v>0.89575995700795275</v>
      </c>
      <c r="AH134" s="659"/>
    </row>
    <row r="135" spans="1:34" ht="19.2" customHeight="1">
      <c r="A135" s="697" t="s">
        <v>478</v>
      </c>
      <c r="B135" s="451" t="s">
        <v>105</v>
      </c>
      <c r="C135" s="449"/>
      <c r="D135" s="82" t="s">
        <v>115</v>
      </c>
      <c r="E135" s="83"/>
      <c r="F135" s="273">
        <v>54.09</v>
      </c>
      <c r="G135" s="57">
        <v>2015.3</v>
      </c>
      <c r="H135" s="242">
        <f t="shared" ref="H135:H146" si="92">F135*G135</f>
        <v>109007.577</v>
      </c>
      <c r="I135" s="449">
        <v>1</v>
      </c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1374.0681818181829</v>
      </c>
      <c r="O135" s="115">
        <f t="shared" ref="O135:O144" si="94">N135/M135</f>
        <v>85.879261363636431</v>
      </c>
      <c r="P135" s="54">
        <f t="shared" si="89"/>
        <v>0</v>
      </c>
      <c r="Q135" s="88">
        <f t="shared" si="90"/>
        <v>-7.8707386363635692</v>
      </c>
      <c r="R135" s="450">
        <f t="shared" si="91"/>
        <v>0.91604545454545527</v>
      </c>
      <c r="S135" s="694">
        <f>R147</f>
        <v>0.89877678228139013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644"/>
      <c r="AC135" s="644"/>
      <c r="AD135" s="449"/>
      <c r="AE135" s="449"/>
      <c r="AF135" s="116">
        <f t="shared" si="61"/>
        <v>-125.93181818181711</v>
      </c>
      <c r="AG135" s="120">
        <f t="shared" si="62"/>
        <v>0.91604545454545527</v>
      </c>
      <c r="AH135" s="667">
        <f>AG147</f>
        <v>0.90561320358668829</v>
      </c>
    </row>
    <row r="136" spans="1:34" ht="19.2" customHeight="1">
      <c r="A136" s="698"/>
      <c r="B136" s="451" t="s">
        <v>105</v>
      </c>
      <c r="C136" s="449"/>
      <c r="D136" s="82" t="s">
        <v>74</v>
      </c>
      <c r="E136" s="83"/>
      <c r="F136" s="273">
        <v>57.734999999999999</v>
      </c>
      <c r="G136" s="57">
        <v>1851</v>
      </c>
      <c r="H136" s="84">
        <f t="shared" si="92"/>
        <v>106867.485</v>
      </c>
      <c r="I136" s="449"/>
      <c r="J136" s="46">
        <v>16</v>
      </c>
      <c r="K136" s="57">
        <v>1565</v>
      </c>
      <c r="L136" s="86">
        <v>97.8125</v>
      </c>
      <c r="M136" s="459">
        <v>16</v>
      </c>
      <c r="N136" s="57">
        <f t="shared" si="93"/>
        <v>1371.1111111111106</v>
      </c>
      <c r="O136" s="86">
        <f t="shared" si="94"/>
        <v>85.694444444444414</v>
      </c>
      <c r="P136" s="54">
        <f t="shared" si="89"/>
        <v>0</v>
      </c>
      <c r="Q136" s="88">
        <f t="shared" si="90"/>
        <v>-12.118055555555586</v>
      </c>
      <c r="R136" s="450">
        <f t="shared" si="91"/>
        <v>0.87610933617323361</v>
      </c>
      <c r="S136" s="694"/>
      <c r="T136" s="243">
        <v>0.52499999999999991</v>
      </c>
      <c r="U136" s="50">
        <v>0.58124999999999993</v>
      </c>
      <c r="V136" s="142">
        <v>8</v>
      </c>
      <c r="W136" s="244">
        <f t="shared" si="95"/>
        <v>81.000000000000028</v>
      </c>
      <c r="X136" s="53"/>
      <c r="Y136" s="53"/>
      <c r="Z136" s="54"/>
      <c r="AA136" s="54"/>
      <c r="AB136" s="644"/>
      <c r="AC136" s="644"/>
      <c r="AD136" s="449"/>
      <c r="AE136" s="449"/>
      <c r="AF136" s="48">
        <f t="shared" si="61"/>
        <v>-193.88888888888937</v>
      </c>
      <c r="AG136" s="125">
        <f t="shared" si="62"/>
        <v>0.87610933617323361</v>
      </c>
      <c r="AH136" s="667"/>
    </row>
    <row r="137" spans="1:34" ht="19.2" customHeight="1">
      <c r="A137" s="698"/>
      <c r="B137" s="451" t="s">
        <v>105</v>
      </c>
      <c r="C137" s="449"/>
      <c r="D137" s="82" t="s">
        <v>160</v>
      </c>
      <c r="E137" s="83"/>
      <c r="F137" s="273">
        <v>53.27</v>
      </c>
      <c r="G137" s="206">
        <v>1432</v>
      </c>
      <c r="H137" s="84">
        <f t="shared" si="92"/>
        <v>76282.64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1363.8095238095252</v>
      </c>
      <c r="O137" s="86">
        <f t="shared" si="94"/>
        <v>85.238095238095326</v>
      </c>
      <c r="P137" s="54">
        <f t="shared" si="89"/>
        <v>0</v>
      </c>
      <c r="Q137" s="88">
        <f t="shared" si="90"/>
        <v>-8.5119047619046739</v>
      </c>
      <c r="R137" s="450">
        <f t="shared" si="91"/>
        <v>0.90920634920635013</v>
      </c>
      <c r="S137" s="694"/>
      <c r="T137" s="50">
        <v>0.5972222222222221</v>
      </c>
      <c r="U137" s="50">
        <v>0.64097222222222205</v>
      </c>
      <c r="V137" s="246">
        <v>23</v>
      </c>
      <c r="W137" s="244">
        <f t="shared" si="95"/>
        <v>62.999999999999936</v>
      </c>
      <c r="X137" s="53">
        <v>0.58611111111111114</v>
      </c>
      <c r="Y137" s="53">
        <v>0.59583333333333333</v>
      </c>
      <c r="Z137" s="54"/>
      <c r="AA137" s="54"/>
      <c r="AB137" s="644"/>
      <c r="AC137" s="644"/>
      <c r="AD137" s="449"/>
      <c r="AE137" s="449"/>
      <c r="AF137" s="48">
        <f t="shared" si="61"/>
        <v>-136.19047619047478</v>
      </c>
      <c r="AG137" s="125">
        <f t="shared" si="62"/>
        <v>0.90920634920635013</v>
      </c>
      <c r="AH137" s="667"/>
    </row>
    <row r="138" spans="1:34" ht="19.2" customHeight="1">
      <c r="A138" s="698"/>
      <c r="B138" s="451" t="s">
        <v>105</v>
      </c>
      <c r="C138" s="220"/>
      <c r="D138" s="82" t="s">
        <v>146</v>
      </c>
      <c r="E138" s="83"/>
      <c r="F138" s="273">
        <v>50.67</v>
      </c>
      <c r="G138" s="57">
        <v>1397</v>
      </c>
      <c r="H138" s="84">
        <f t="shared" si="92"/>
        <v>70785.990000000005</v>
      </c>
      <c r="I138" s="449"/>
      <c r="J138" s="87">
        <v>18</v>
      </c>
      <c r="K138" s="57">
        <v>1500</v>
      </c>
      <c r="L138" s="86">
        <v>83.333333333333329</v>
      </c>
      <c r="M138" s="225">
        <v>18</v>
      </c>
      <c r="N138" s="57">
        <f t="shared" si="93"/>
        <v>1351.9354838709689</v>
      </c>
      <c r="O138" s="86">
        <f t="shared" si="94"/>
        <v>75.107526881720503</v>
      </c>
      <c r="P138" s="54">
        <f t="shared" si="89"/>
        <v>0</v>
      </c>
      <c r="Q138" s="88">
        <f t="shared" si="90"/>
        <v>-8.2258064516128258</v>
      </c>
      <c r="R138" s="455">
        <f t="shared" si="91"/>
        <v>0.90129032258064612</v>
      </c>
      <c r="S138" s="694"/>
      <c r="T138" s="50">
        <v>0.64513888888888871</v>
      </c>
      <c r="U138" s="50">
        <v>0.68819444444444422</v>
      </c>
      <c r="V138" s="246">
        <v>6</v>
      </c>
      <c r="W138" s="244">
        <f t="shared" si="95"/>
        <v>61.999999999999943</v>
      </c>
      <c r="X138" s="53"/>
      <c r="Y138" s="53"/>
      <c r="Z138" s="54"/>
      <c r="AA138" s="54"/>
      <c r="AB138" s="644"/>
      <c r="AC138" s="644"/>
      <c r="AD138" s="449"/>
      <c r="AE138" s="449">
        <v>1</v>
      </c>
      <c r="AF138" s="48">
        <f t="shared" si="61"/>
        <v>-148.06451612903106</v>
      </c>
      <c r="AG138" s="125">
        <f t="shared" si="62"/>
        <v>0.90129032258064601</v>
      </c>
      <c r="AH138" s="667"/>
    </row>
    <row r="139" spans="1:34" ht="19.2" customHeight="1">
      <c r="A139" s="698"/>
      <c r="B139" s="451" t="s">
        <v>105</v>
      </c>
      <c r="C139" s="457"/>
      <c r="D139" s="42" t="s">
        <v>83</v>
      </c>
      <c r="E139" s="43"/>
      <c r="F139" s="273">
        <v>50.98</v>
      </c>
      <c r="G139" s="57">
        <v>1610</v>
      </c>
      <c r="H139" s="84">
        <f t="shared" si="92"/>
        <v>82077.799999999988</v>
      </c>
      <c r="I139" s="44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1287.9999999999991</v>
      </c>
      <c r="O139" s="86">
        <f t="shared" si="94"/>
        <v>64.399999999999949</v>
      </c>
      <c r="P139" s="54">
        <f t="shared" si="89"/>
        <v>0</v>
      </c>
      <c r="Q139" s="88">
        <f t="shared" si="90"/>
        <v>-7.6000000000000512</v>
      </c>
      <c r="R139" s="450">
        <f t="shared" si="91"/>
        <v>0.89444444444444371</v>
      </c>
      <c r="S139" s="694"/>
      <c r="T139" s="50">
        <v>0.72847222222222197</v>
      </c>
      <c r="U139" s="50">
        <v>0.78055555555555534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644"/>
      <c r="AC139" s="644"/>
      <c r="AD139" s="449"/>
      <c r="AE139" s="449"/>
      <c r="AF139" s="48">
        <f t="shared" si="61"/>
        <v>-152.00000000000091</v>
      </c>
      <c r="AG139" s="125">
        <f t="shared" si="62"/>
        <v>0.89444444444444382</v>
      </c>
      <c r="AH139" s="667"/>
    </row>
    <row r="140" spans="1:34" ht="19.2" customHeight="1">
      <c r="A140" s="699"/>
      <c r="B140" s="451" t="s">
        <v>105</v>
      </c>
      <c r="C140" s="457"/>
      <c r="D140" s="248" t="s">
        <v>82</v>
      </c>
      <c r="E140" s="83"/>
      <c r="F140" s="273">
        <v>50.67</v>
      </c>
      <c r="G140" s="57">
        <v>982</v>
      </c>
      <c r="H140" s="84">
        <f t="shared" si="92"/>
        <v>49757.94</v>
      </c>
      <c r="I140" s="44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1370.2325581395348</v>
      </c>
      <c r="O140" s="86">
        <f t="shared" si="94"/>
        <v>80.601915184678518</v>
      </c>
      <c r="P140" s="54">
        <f t="shared" si="89"/>
        <v>0</v>
      </c>
      <c r="Q140" s="88">
        <f t="shared" si="90"/>
        <v>-7.6333789329685402</v>
      </c>
      <c r="R140" s="450">
        <f t="shared" si="91"/>
        <v>0.91348837209302325</v>
      </c>
      <c r="S140" s="701"/>
      <c r="T140" s="63">
        <v>0.78541666666666643</v>
      </c>
      <c r="U140" s="249">
        <v>0.81527777777777755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644"/>
      <c r="AC140" s="644"/>
      <c r="AD140" s="449"/>
      <c r="AE140" s="449"/>
      <c r="AF140" s="48">
        <f t="shared" si="61"/>
        <v>-129.76744186046517</v>
      </c>
      <c r="AG140" s="125">
        <f t="shared" si="62"/>
        <v>0.91348837209302325</v>
      </c>
      <c r="AH140" s="667"/>
    </row>
    <row r="141" spans="1:34" ht="19.2" customHeight="1">
      <c r="A141" s="699"/>
      <c r="B141" s="451" t="s">
        <v>105</v>
      </c>
      <c r="C141" s="457"/>
      <c r="D141" s="42" t="s">
        <v>84</v>
      </c>
      <c r="E141" s="251"/>
      <c r="F141" s="273">
        <v>50.92</v>
      </c>
      <c r="G141" s="57">
        <v>1837</v>
      </c>
      <c r="H141" s="84">
        <f t="shared" si="92"/>
        <v>93540.040000000008</v>
      </c>
      <c r="I141" s="44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1312.1428571428569</v>
      </c>
      <c r="O141" s="86">
        <f t="shared" si="94"/>
        <v>69.060150375939841</v>
      </c>
      <c r="P141" s="54">
        <f t="shared" si="89"/>
        <v>0</v>
      </c>
      <c r="Q141" s="88">
        <f t="shared" si="90"/>
        <v>-6.7293233082706791</v>
      </c>
      <c r="R141" s="450">
        <f t="shared" si="91"/>
        <v>0.91121031746031744</v>
      </c>
      <c r="S141" s="701"/>
      <c r="T141" s="63">
        <v>0.8194444444444442</v>
      </c>
      <c r="U141" s="249">
        <v>0.87777777777777755</v>
      </c>
      <c r="V141" s="55">
        <v>6</v>
      </c>
      <c r="W141" s="244">
        <f t="shared" si="95"/>
        <v>84.000000000000028</v>
      </c>
      <c r="X141" s="53"/>
      <c r="Y141" s="53"/>
      <c r="Z141" s="54"/>
      <c r="AA141" s="54"/>
      <c r="AB141" s="644"/>
      <c r="AC141" s="644"/>
      <c r="AD141" s="449"/>
      <c r="AE141" s="449"/>
      <c r="AF141" s="48">
        <f t="shared" si="61"/>
        <v>-127.85714285714312</v>
      </c>
      <c r="AG141" s="125">
        <f t="shared" si="62"/>
        <v>0.91121031746031733</v>
      </c>
      <c r="AH141" s="667"/>
    </row>
    <row r="142" spans="1:34" ht="19.2" customHeight="1">
      <c r="A142" s="699"/>
      <c r="B142" s="451" t="s">
        <v>105</v>
      </c>
      <c r="C142" s="457"/>
      <c r="D142" s="42" t="s">
        <v>166</v>
      </c>
      <c r="E142" s="251"/>
      <c r="F142" s="273">
        <v>56.43</v>
      </c>
      <c r="G142" s="57">
        <v>1068</v>
      </c>
      <c r="H142" s="84">
        <f t="shared" si="92"/>
        <v>60267.24</v>
      </c>
      <c r="I142" s="449"/>
      <c r="J142" s="87">
        <v>16</v>
      </c>
      <c r="K142" s="57">
        <v>1500</v>
      </c>
      <c r="L142" s="86">
        <v>93.75</v>
      </c>
      <c r="M142" s="225">
        <v>16</v>
      </c>
      <c r="N142" s="57">
        <f t="shared" si="93"/>
        <v>1393.0434782608695</v>
      </c>
      <c r="O142" s="86">
        <f t="shared" si="94"/>
        <v>87.065217391304344</v>
      </c>
      <c r="P142" s="54">
        <f t="shared" si="89"/>
        <v>0</v>
      </c>
      <c r="Q142" s="88">
        <f t="shared" si="90"/>
        <v>-6.6847826086956559</v>
      </c>
      <c r="R142" s="450">
        <f t="shared" si="91"/>
        <v>0.92869565217391303</v>
      </c>
      <c r="S142" s="701"/>
      <c r="T142" s="63">
        <v>0.89374999999999982</v>
      </c>
      <c r="U142" s="249">
        <v>0.92569444444444426</v>
      </c>
      <c r="V142" s="55">
        <v>23</v>
      </c>
      <c r="W142" s="244">
        <f t="shared" si="95"/>
        <v>46</v>
      </c>
      <c r="X142" s="53">
        <v>0.88194444444444453</v>
      </c>
      <c r="Y142" s="53">
        <v>0.8930555555555556</v>
      </c>
      <c r="Z142" s="54"/>
      <c r="AA142" s="54"/>
      <c r="AB142" s="644"/>
      <c r="AC142" s="644"/>
      <c r="AD142" s="449"/>
      <c r="AE142" s="449"/>
      <c r="AF142" s="48">
        <f t="shared" si="61"/>
        <v>-106.95652173913049</v>
      </c>
      <c r="AG142" s="125">
        <f t="shared" si="62"/>
        <v>0.92869565217391303</v>
      </c>
      <c r="AH142" s="667"/>
    </row>
    <row r="143" spans="1:34" ht="19.2" customHeight="1">
      <c r="A143" s="699"/>
      <c r="B143" s="451" t="s">
        <v>105</v>
      </c>
      <c r="C143" s="252"/>
      <c r="D143" s="82" t="s">
        <v>85</v>
      </c>
      <c r="E143" s="83"/>
      <c r="F143" s="273">
        <v>50.67</v>
      </c>
      <c r="G143" s="57">
        <v>778</v>
      </c>
      <c r="H143" s="84">
        <f t="shared" si="92"/>
        <v>39421.26</v>
      </c>
      <c r="I143" s="449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3"/>
        <v>1296.6666666666656</v>
      </c>
      <c r="O143" s="86">
        <f t="shared" si="94"/>
        <v>76.274509803921504</v>
      </c>
      <c r="P143" s="54">
        <f t="shared" si="89"/>
        <v>0</v>
      </c>
      <c r="Q143" s="88">
        <f t="shared" si="90"/>
        <v>-8.4313725490196703</v>
      </c>
      <c r="R143" s="450">
        <f t="shared" si="91"/>
        <v>0.90046296296296224</v>
      </c>
      <c r="S143" s="701"/>
      <c r="T143" s="63">
        <v>0.93055555555555536</v>
      </c>
      <c r="U143" s="249">
        <v>0.95555555555555538</v>
      </c>
      <c r="V143" s="55">
        <v>7</v>
      </c>
      <c r="W143" s="244">
        <f t="shared" si="95"/>
        <v>36.000000000000028</v>
      </c>
      <c r="X143" s="53"/>
      <c r="Y143" s="53"/>
      <c r="Z143" s="54"/>
      <c r="AA143" s="54"/>
      <c r="AB143" s="644"/>
      <c r="AC143" s="644"/>
      <c r="AD143" s="449"/>
      <c r="AE143" s="449"/>
      <c r="AF143" s="48">
        <f t="shared" si="61"/>
        <v>-143.33333333333439</v>
      </c>
      <c r="AG143" s="125">
        <f t="shared" si="62"/>
        <v>0.90046296296296224</v>
      </c>
      <c r="AH143" s="667"/>
    </row>
    <row r="144" spans="1:34" ht="19.2" customHeight="1">
      <c r="A144" s="699"/>
      <c r="B144" s="451" t="s">
        <v>105</v>
      </c>
      <c r="C144" s="457"/>
      <c r="D144" s="42" t="s">
        <v>86</v>
      </c>
      <c r="E144" s="251"/>
      <c r="F144" s="273">
        <v>50.49</v>
      </c>
      <c r="G144" s="57">
        <v>1109</v>
      </c>
      <c r="H144" s="84">
        <f t="shared" si="92"/>
        <v>55993.41</v>
      </c>
      <c r="I144" s="449"/>
      <c r="J144" s="87">
        <v>14</v>
      </c>
      <c r="K144" s="57">
        <v>1440</v>
      </c>
      <c r="L144" s="86">
        <v>102.85714285714286</v>
      </c>
      <c r="M144" s="459">
        <v>15</v>
      </c>
      <c r="N144" s="57">
        <f t="shared" si="93"/>
        <v>1304.7058823529417</v>
      </c>
      <c r="O144" s="86">
        <f t="shared" si="94"/>
        <v>86.980392156862777</v>
      </c>
      <c r="P144" s="54">
        <f t="shared" si="89"/>
        <v>1</v>
      </c>
      <c r="Q144" s="88">
        <f t="shared" si="90"/>
        <v>-15.876750700280084</v>
      </c>
      <c r="R144" s="450">
        <f t="shared" si="91"/>
        <v>0.84564270152505472</v>
      </c>
      <c r="S144" s="701"/>
      <c r="T144" s="63">
        <v>0.96041666666666647</v>
      </c>
      <c r="U144" s="249">
        <v>0.99583333333333313</v>
      </c>
      <c r="V144" s="55">
        <v>7</v>
      </c>
      <c r="W144" s="244">
        <f t="shared" si="95"/>
        <v>50.999999999999979</v>
      </c>
      <c r="X144" s="53"/>
      <c r="Y144" s="53"/>
      <c r="Z144" s="54"/>
      <c r="AA144" s="54"/>
      <c r="AB144" s="644"/>
      <c r="AC144" s="644"/>
      <c r="AD144" s="449"/>
      <c r="AE144" s="449"/>
      <c r="AF144" s="48">
        <f t="shared" si="61"/>
        <v>-135.29411764705833</v>
      </c>
      <c r="AG144" s="125">
        <f t="shared" si="62"/>
        <v>0.90604575163398726</v>
      </c>
      <c r="AH144" s="667"/>
    </row>
    <row r="145" spans="1:34" ht="19.2" customHeight="1">
      <c r="A145" s="699"/>
      <c r="B145" s="451">
        <v>0</v>
      </c>
      <c r="C145" s="457"/>
      <c r="D145" s="42"/>
      <c r="E145" s="251"/>
      <c r="F145" s="273" t="s">
        <v>106</v>
      </c>
      <c r="G145" s="57"/>
      <c r="H145" s="84"/>
      <c r="I145" s="449"/>
      <c r="J145" s="87"/>
      <c r="K145" s="57"/>
      <c r="L145" s="86"/>
      <c r="M145" s="459"/>
      <c r="N145" s="57"/>
      <c r="O145" s="86"/>
      <c r="P145" s="54"/>
      <c r="Q145" s="88"/>
      <c r="R145" s="450"/>
      <c r="S145" s="70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644"/>
      <c r="AC145" s="644"/>
      <c r="AD145" s="449"/>
      <c r="AE145" s="449"/>
      <c r="AF145" s="48">
        <f t="shared" si="61"/>
        <v>0</v>
      </c>
      <c r="AG145" s="125" t="e">
        <f t="shared" si="62"/>
        <v>#DIV/0!</v>
      </c>
      <c r="AH145" s="667"/>
    </row>
    <row r="146" spans="1:34" ht="19.2" customHeight="1">
      <c r="A146" s="699"/>
      <c r="B146" s="46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49"/>
      <c r="J146" s="87"/>
      <c r="K146" s="57"/>
      <c r="L146" s="86"/>
      <c r="M146" s="459"/>
      <c r="N146" s="57"/>
      <c r="O146" s="86"/>
      <c r="P146" s="54"/>
      <c r="Q146" s="88"/>
      <c r="R146" s="450"/>
      <c r="S146" s="70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644"/>
      <c r="AC146" s="644"/>
      <c r="AD146" s="449"/>
      <c r="AE146" s="449"/>
      <c r="AF146" s="54"/>
      <c r="AG146" s="450"/>
      <c r="AH146" s="667"/>
    </row>
    <row r="147" spans="1:34" ht="19.2" customHeight="1">
      <c r="A147" s="700"/>
      <c r="B147" s="254">
        <v>0</v>
      </c>
      <c r="C147" s="100" t="s">
        <v>479</v>
      </c>
      <c r="D147" s="673" t="s">
        <v>460</v>
      </c>
      <c r="E147" s="673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1342.5715743172655</v>
      </c>
      <c r="O147" s="240">
        <f t="shared" si="96"/>
        <v>79.630151284060361</v>
      </c>
      <c r="P147" s="51">
        <f t="shared" ref="P147:P156" si="97">M147-J147</f>
        <v>0.10000000000000142</v>
      </c>
      <c r="Q147" s="139">
        <f t="shared" ref="Q147:Q156" si="98">O147-L147</f>
        <v>-8.9682113504671293</v>
      </c>
      <c r="R147" s="255">
        <f t="shared" ref="R147:R156" si="99">O147/L147</f>
        <v>0.89877678228139013</v>
      </c>
      <c r="S147" s="702"/>
      <c r="T147" s="63"/>
      <c r="U147" s="63"/>
      <c r="V147" s="55"/>
      <c r="W147" s="46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44"/>
      <c r="AC147" s="644"/>
      <c r="AD147" s="107">
        <f>SUM(AD135:AD146)</f>
        <v>0</v>
      </c>
      <c r="AE147" s="107">
        <f>SUM(AE135:AE146)</f>
        <v>1</v>
      </c>
      <c r="AF147" s="201">
        <f t="shared" si="61"/>
        <v>-139.92842568273454</v>
      </c>
      <c r="AG147" s="256">
        <f t="shared" si="62"/>
        <v>0.90561320358668829</v>
      </c>
      <c r="AH147" s="667"/>
    </row>
    <row r="148" spans="1:34" ht="19.2" customHeight="1">
      <c r="A148" s="704" t="s">
        <v>480</v>
      </c>
      <c r="B148" s="449" t="s">
        <v>103</v>
      </c>
      <c r="C148" s="121"/>
      <c r="D148" s="173" t="s">
        <v>114</v>
      </c>
      <c r="E148" s="43"/>
      <c r="F148" s="280">
        <v>36.92</v>
      </c>
      <c r="G148" s="57">
        <v>3057</v>
      </c>
      <c r="H148" s="84">
        <f t="shared" ref="H148:H172" si="100">F148*G148</f>
        <v>112864.44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6" si="101">G148/W148*60</f>
        <v>1567.6923076923078</v>
      </c>
      <c r="O148" s="47">
        <f t="shared" ref="O148:O156" si="102">N148/M148</f>
        <v>130.64102564102566</v>
      </c>
      <c r="P148" s="48">
        <f t="shared" si="97"/>
        <v>0</v>
      </c>
      <c r="Q148" s="49">
        <f t="shared" si="98"/>
        <v>-36.025641025640994</v>
      </c>
      <c r="R148" s="453">
        <f t="shared" si="99"/>
        <v>0.78384615384615408</v>
      </c>
      <c r="S148" s="705">
        <f>R160</f>
        <v>0.85728230996824351</v>
      </c>
      <c r="T148" s="243">
        <v>0.45833333333333331</v>
      </c>
      <c r="U148" s="50">
        <v>0.5395833333333333</v>
      </c>
      <c r="V148" s="451">
        <v>5</v>
      </c>
      <c r="W148" s="461">
        <f>(U148-T148)*24*60</f>
        <v>116.99999999999999</v>
      </c>
      <c r="X148" s="53"/>
      <c r="Y148" s="53"/>
      <c r="Z148" s="54"/>
      <c r="AA148" s="54"/>
      <c r="AB148" s="644"/>
      <c r="AC148" s="644"/>
      <c r="AD148" s="449"/>
      <c r="AE148" s="449"/>
      <c r="AF148" s="48">
        <f t="shared" si="61"/>
        <v>-432.30769230769215</v>
      </c>
      <c r="AG148" s="125">
        <f t="shared" si="62"/>
        <v>0.78384615384615397</v>
      </c>
      <c r="AH148" s="667">
        <f>AG160</f>
        <v>0.85914326477951708</v>
      </c>
    </row>
    <row r="149" spans="1:34" ht="19.2" customHeight="1">
      <c r="A149" s="704"/>
      <c r="B149" s="449" t="s">
        <v>103</v>
      </c>
      <c r="C149" s="218"/>
      <c r="D149" s="248" t="s">
        <v>159</v>
      </c>
      <c r="E149" s="60"/>
      <c r="F149" s="280">
        <v>26.5</v>
      </c>
      <c r="G149" s="57">
        <v>971.24999999999989</v>
      </c>
      <c r="H149" s="84">
        <f t="shared" si="100"/>
        <v>25738.124999999996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1533.5526315789459</v>
      </c>
      <c r="O149" s="47">
        <f t="shared" si="102"/>
        <v>127.79605263157883</v>
      </c>
      <c r="P149" s="48">
        <f t="shared" si="97"/>
        <v>0</v>
      </c>
      <c r="Q149" s="49">
        <f t="shared" si="98"/>
        <v>-38.870614035087826</v>
      </c>
      <c r="R149" s="453">
        <f t="shared" si="99"/>
        <v>0.76677631578947303</v>
      </c>
      <c r="S149" s="706"/>
      <c r="T149" s="243">
        <v>0.54305555555555551</v>
      </c>
      <c r="U149" s="50">
        <v>0.56944444444444442</v>
      </c>
      <c r="V149" s="451">
        <v>5</v>
      </c>
      <c r="W149" s="461">
        <f t="shared" ref="W149:W159" si="103">(U149-T149)*24*60</f>
        <v>38.000000000000028</v>
      </c>
      <c r="X149" s="53"/>
      <c r="Y149" s="53"/>
      <c r="Z149" s="54"/>
      <c r="AA149" s="54"/>
      <c r="AB149" s="644"/>
      <c r="AC149" s="644"/>
      <c r="AD149" s="449"/>
      <c r="AE149" s="449"/>
      <c r="AF149" s="48">
        <f t="shared" si="61"/>
        <v>-466.44736842105408</v>
      </c>
      <c r="AG149" s="125">
        <f t="shared" si="62"/>
        <v>0.76677631578947292</v>
      </c>
      <c r="AH149" s="708"/>
    </row>
    <row r="150" spans="1:34" ht="19.2" customHeight="1">
      <c r="A150" s="704"/>
      <c r="B150" s="449" t="s">
        <v>103</v>
      </c>
      <c r="C150" s="218"/>
      <c r="D150" s="176" t="s">
        <v>165</v>
      </c>
      <c r="E150" s="60"/>
      <c r="F150" s="280">
        <v>55.51</v>
      </c>
      <c r="G150" s="57">
        <v>131</v>
      </c>
      <c r="H150" s="84">
        <f t="shared" si="100"/>
        <v>7271.8099999999995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1310.0000000000045</v>
      </c>
      <c r="O150" s="47">
        <f t="shared" si="102"/>
        <v>109.16666666666704</v>
      </c>
      <c r="P150" s="48">
        <f t="shared" si="97"/>
        <v>0</v>
      </c>
      <c r="Q150" s="49">
        <f t="shared" si="98"/>
        <v>-15.833333333332959</v>
      </c>
      <c r="R150" s="453">
        <f t="shared" si="99"/>
        <v>0.87333333333333629</v>
      </c>
      <c r="S150" s="706"/>
      <c r="T150" s="243">
        <v>0.70833333333333337</v>
      </c>
      <c r="U150" s="50">
        <v>0.71250000000000002</v>
      </c>
      <c r="V150" s="451">
        <v>5</v>
      </c>
      <c r="W150" s="461">
        <f t="shared" si="103"/>
        <v>5.9999999999999787</v>
      </c>
      <c r="X150" s="213"/>
      <c r="Y150" s="213"/>
      <c r="Z150" s="214"/>
      <c r="AA150" s="214"/>
      <c r="AB150" s="644"/>
      <c r="AC150" s="644"/>
      <c r="AD150" s="449"/>
      <c r="AE150" s="449"/>
      <c r="AF150" s="48">
        <f t="shared" si="61"/>
        <v>-189.99999999999545</v>
      </c>
      <c r="AG150" s="125">
        <f t="shared" si="62"/>
        <v>0.8733333333333364</v>
      </c>
      <c r="AH150" s="708"/>
    </row>
    <row r="151" spans="1:34" s="215" customFormat="1" ht="19.2" customHeight="1">
      <c r="A151" s="704"/>
      <c r="B151" s="449" t="s">
        <v>104</v>
      </c>
      <c r="C151" s="218"/>
      <c r="D151" s="59" t="s">
        <v>155</v>
      </c>
      <c r="E151" s="60"/>
      <c r="F151" s="280">
        <v>28.57</v>
      </c>
      <c r="G151" s="57">
        <v>1264</v>
      </c>
      <c r="H151" s="84">
        <f t="shared" si="100"/>
        <v>36112.480000000003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1378.9090909090919</v>
      </c>
      <c r="O151" s="47">
        <f t="shared" si="102"/>
        <v>114.90909090909099</v>
      </c>
      <c r="P151" s="48">
        <f t="shared" si="97"/>
        <v>0</v>
      </c>
      <c r="Q151" s="49">
        <f t="shared" si="98"/>
        <v>-10.090909090909008</v>
      </c>
      <c r="R151" s="453">
        <f t="shared" si="99"/>
        <v>0.91927272727272791</v>
      </c>
      <c r="S151" s="706"/>
      <c r="T151" s="243">
        <v>0.71597222222222223</v>
      </c>
      <c r="U151" s="50">
        <v>0.75416666666666665</v>
      </c>
      <c r="V151" s="451">
        <v>5</v>
      </c>
      <c r="W151" s="461">
        <f t="shared" si="103"/>
        <v>54.999999999999964</v>
      </c>
      <c r="X151" s="213"/>
      <c r="Y151" s="213"/>
      <c r="Z151" s="214"/>
      <c r="AA151" s="214"/>
      <c r="AB151" s="644"/>
      <c r="AC151" s="644"/>
      <c r="AD151" s="218"/>
      <c r="AE151" s="218"/>
      <c r="AF151" s="48">
        <f t="shared" si="61"/>
        <v>-121.0909090909081</v>
      </c>
      <c r="AG151" s="125">
        <f t="shared" si="62"/>
        <v>0.91927272727272791</v>
      </c>
      <c r="AH151" s="708"/>
    </row>
    <row r="152" spans="1:34" s="215" customFormat="1" ht="19.2" customHeight="1">
      <c r="A152" s="704"/>
      <c r="B152" s="449" t="s">
        <v>104</v>
      </c>
      <c r="C152" s="218"/>
      <c r="D152" s="59" t="s">
        <v>179</v>
      </c>
      <c r="E152" s="60"/>
      <c r="F152" s="280">
        <v>18.920000000000002</v>
      </c>
      <c r="G152" s="57">
        <v>448</v>
      </c>
      <c r="H152" s="84">
        <f t="shared" si="100"/>
        <v>8476.16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1920.0000000000068</v>
      </c>
      <c r="O152" s="47">
        <f t="shared" si="102"/>
        <v>384.00000000000136</v>
      </c>
      <c r="P152" s="48">
        <f t="shared" si="97"/>
        <v>0</v>
      </c>
      <c r="Q152" s="49">
        <f t="shared" si="98"/>
        <v>-55.999999999998636</v>
      </c>
      <c r="R152" s="453">
        <f t="shared" si="99"/>
        <v>0.87272727272727579</v>
      </c>
      <c r="S152" s="706"/>
      <c r="T152" s="258">
        <v>0.75763888888888886</v>
      </c>
      <c r="U152" s="63">
        <v>0.76736111111111105</v>
      </c>
      <c r="V152" s="463">
        <v>5</v>
      </c>
      <c r="W152" s="461">
        <f t="shared" si="103"/>
        <v>13.99999999999995</v>
      </c>
      <c r="X152" s="216"/>
      <c r="Y152" s="216"/>
      <c r="Z152" s="214"/>
      <c r="AA152" s="214"/>
      <c r="AB152" s="644"/>
      <c r="AC152" s="644"/>
      <c r="AD152" s="218"/>
      <c r="AE152" s="218"/>
      <c r="AF152" s="48">
        <f t="shared" si="61"/>
        <v>-279.99999999999318</v>
      </c>
      <c r="AG152" s="125">
        <f t="shared" si="62"/>
        <v>0.87272727272727579</v>
      </c>
      <c r="AH152" s="708"/>
    </row>
    <row r="153" spans="1:34" s="215" customFormat="1" ht="19.2" customHeight="1">
      <c r="A153" s="704"/>
      <c r="B153" s="449" t="s">
        <v>104</v>
      </c>
      <c r="C153" s="218"/>
      <c r="D153" s="248" t="s">
        <v>180</v>
      </c>
      <c r="E153" s="60"/>
      <c r="F153" s="280">
        <v>17.71</v>
      </c>
      <c r="G153" s="57">
        <v>282</v>
      </c>
      <c r="H153" s="84">
        <f t="shared" si="100"/>
        <v>4994.22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1880.0000000000068</v>
      </c>
      <c r="O153" s="47">
        <f t="shared" si="102"/>
        <v>376.00000000000136</v>
      </c>
      <c r="P153" s="48">
        <f t="shared" si="97"/>
        <v>0</v>
      </c>
      <c r="Q153" s="49">
        <f t="shared" si="98"/>
        <v>-63.999999999998636</v>
      </c>
      <c r="R153" s="453">
        <f t="shared" si="99"/>
        <v>0.85454545454545761</v>
      </c>
      <c r="S153" s="706"/>
      <c r="T153" s="258">
        <v>0.77083333333333326</v>
      </c>
      <c r="U153" s="63">
        <v>0.77708333333333324</v>
      </c>
      <c r="V153" s="463">
        <v>5</v>
      </c>
      <c r="W153" s="461">
        <f t="shared" si="103"/>
        <v>8.999999999999968</v>
      </c>
      <c r="X153" s="216"/>
      <c r="Y153" s="216"/>
      <c r="Z153" s="214"/>
      <c r="AA153" s="214"/>
      <c r="AB153" s="644"/>
      <c r="AC153" s="644"/>
      <c r="AD153" s="218"/>
      <c r="AE153" s="218"/>
      <c r="AF153" s="48">
        <f t="shared" si="61"/>
        <v>-319.99999999999318</v>
      </c>
      <c r="AG153" s="125">
        <f t="shared" si="62"/>
        <v>0.85454545454545761</v>
      </c>
      <c r="AH153" s="708"/>
    </row>
    <row r="154" spans="1:34" s="215" customFormat="1" ht="19.2" customHeight="1">
      <c r="A154" s="704"/>
      <c r="B154" s="449" t="s">
        <v>105</v>
      </c>
      <c r="C154" s="218"/>
      <c r="D154" s="248" t="s">
        <v>162</v>
      </c>
      <c r="E154" s="60"/>
      <c r="F154" s="280">
        <v>51.06</v>
      </c>
      <c r="G154" s="57">
        <v>1589</v>
      </c>
      <c r="H154" s="84">
        <f t="shared" si="100"/>
        <v>81134.34</v>
      </c>
      <c r="I154" s="257"/>
      <c r="J154" s="87">
        <v>16</v>
      </c>
      <c r="K154" s="57">
        <v>1500</v>
      </c>
      <c r="L154" s="86">
        <v>93.75</v>
      </c>
      <c r="M154" s="196">
        <v>16</v>
      </c>
      <c r="N154" s="44">
        <f t="shared" si="101"/>
        <v>1306.0273972602729</v>
      </c>
      <c r="O154" s="47">
        <f t="shared" si="102"/>
        <v>81.626712328767056</v>
      </c>
      <c r="P154" s="48">
        <f t="shared" si="97"/>
        <v>0</v>
      </c>
      <c r="Q154" s="49">
        <f t="shared" si="98"/>
        <v>-12.123287671232944</v>
      </c>
      <c r="R154" s="453">
        <f t="shared" si="99"/>
        <v>0.87068493150684856</v>
      </c>
      <c r="S154" s="706"/>
      <c r="T154" s="258">
        <v>0.79236111111111096</v>
      </c>
      <c r="U154" s="63">
        <v>0.84305555555555545</v>
      </c>
      <c r="V154" s="463">
        <v>22</v>
      </c>
      <c r="W154" s="461">
        <f t="shared" si="103"/>
        <v>73.000000000000057</v>
      </c>
      <c r="X154" s="216">
        <v>0.78125</v>
      </c>
      <c r="Y154" s="216">
        <v>0.79166666666666663</v>
      </c>
      <c r="Z154" s="214"/>
      <c r="AA154" s="214"/>
      <c r="AB154" s="644"/>
      <c r="AC154" s="644"/>
      <c r="AD154" s="218"/>
      <c r="AE154" s="218">
        <v>1</v>
      </c>
      <c r="AF154" s="48">
        <f t="shared" si="61"/>
        <v>-193.97260273972711</v>
      </c>
      <c r="AG154" s="125">
        <f t="shared" si="62"/>
        <v>0.87068493150684856</v>
      </c>
      <c r="AH154" s="708"/>
    </row>
    <row r="155" spans="1:34" s="215" customFormat="1" ht="19.2" customHeight="1">
      <c r="A155" s="704"/>
      <c r="B155" s="449" t="s">
        <v>105</v>
      </c>
      <c r="C155" s="218"/>
      <c r="D155" s="248" t="s">
        <v>184</v>
      </c>
      <c r="E155" s="60"/>
      <c r="F155" s="280">
        <v>54.09</v>
      </c>
      <c r="G155" s="57">
        <v>1594</v>
      </c>
      <c r="H155" s="84">
        <f t="shared" si="100"/>
        <v>86219.46</v>
      </c>
      <c r="I155" s="257"/>
      <c r="J155" s="87">
        <v>19</v>
      </c>
      <c r="K155" s="57">
        <v>1440</v>
      </c>
      <c r="L155" s="86">
        <v>75.78947368421052</v>
      </c>
      <c r="M155" s="196">
        <v>19</v>
      </c>
      <c r="N155" s="44">
        <f t="shared" si="101"/>
        <v>1328.3333333333323</v>
      </c>
      <c r="O155" s="47">
        <f t="shared" si="102"/>
        <v>69.912280701754341</v>
      </c>
      <c r="P155" s="48">
        <f t="shared" si="97"/>
        <v>0</v>
      </c>
      <c r="Q155" s="49">
        <f t="shared" si="98"/>
        <v>-5.8771929824561795</v>
      </c>
      <c r="R155" s="453">
        <f t="shared" si="99"/>
        <v>0.92245370370370317</v>
      </c>
      <c r="S155" s="706"/>
      <c r="T155" s="258">
        <v>0.84791666666666654</v>
      </c>
      <c r="U155" s="63">
        <v>0.89791666666666659</v>
      </c>
      <c r="V155" s="463">
        <v>7</v>
      </c>
      <c r="W155" s="461">
        <f t="shared" si="103"/>
        <v>72.000000000000057</v>
      </c>
      <c r="X155" s="216"/>
      <c r="Y155" s="216"/>
      <c r="Z155" s="214"/>
      <c r="AA155" s="214"/>
      <c r="AB155" s="644"/>
      <c r="AC155" s="644"/>
      <c r="AD155" s="218"/>
      <c r="AE155" s="218">
        <v>1</v>
      </c>
      <c r="AF155" s="48">
        <f t="shared" si="61"/>
        <v>-111.66666666666765</v>
      </c>
      <c r="AG155" s="125">
        <f t="shared" si="62"/>
        <v>0.92245370370370305</v>
      </c>
      <c r="AH155" s="708"/>
    </row>
    <row r="156" spans="1:34" s="215" customFormat="1" ht="19.2" customHeight="1">
      <c r="A156" s="704"/>
      <c r="B156" s="218" t="s">
        <v>105</v>
      </c>
      <c r="C156" s="218"/>
      <c r="D156" s="248" t="s">
        <v>186</v>
      </c>
      <c r="E156" s="60"/>
      <c r="F156" s="280">
        <v>57.3</v>
      </c>
      <c r="G156" s="57">
        <v>1044</v>
      </c>
      <c r="H156" s="84">
        <f t="shared" si="100"/>
        <v>59821.2</v>
      </c>
      <c r="I156" s="257"/>
      <c r="J156" s="87">
        <v>17</v>
      </c>
      <c r="K156" s="57">
        <v>1440</v>
      </c>
      <c r="L156" s="86">
        <v>84.705882352941174</v>
      </c>
      <c r="M156" s="196">
        <v>17</v>
      </c>
      <c r="N156" s="44">
        <f t="shared" si="101"/>
        <v>1332.7659574468087</v>
      </c>
      <c r="O156" s="47">
        <f t="shared" si="102"/>
        <v>78.397997496871099</v>
      </c>
      <c r="P156" s="48">
        <f t="shared" si="97"/>
        <v>0</v>
      </c>
      <c r="Q156" s="49">
        <f t="shared" si="98"/>
        <v>-6.3078848560700749</v>
      </c>
      <c r="R156" s="453">
        <f t="shared" si="99"/>
        <v>0.92553191489361719</v>
      </c>
      <c r="S156" s="706"/>
      <c r="T156" s="258">
        <v>0.90347222222222212</v>
      </c>
      <c r="U156" s="63">
        <v>0.93611111111111101</v>
      </c>
      <c r="V156" s="463">
        <v>8</v>
      </c>
      <c r="W156" s="262">
        <f t="shared" si="103"/>
        <v>46.999999999999993</v>
      </c>
      <c r="X156" s="216"/>
      <c r="Y156" s="216"/>
      <c r="Z156" s="214"/>
      <c r="AA156" s="214"/>
      <c r="AB156" s="644"/>
      <c r="AC156" s="644"/>
      <c r="AD156" s="218"/>
      <c r="AE156" s="218"/>
      <c r="AF156" s="261"/>
      <c r="AG156" s="129"/>
      <c r="AH156" s="708"/>
    </row>
    <row r="157" spans="1:34" s="215" customFormat="1" ht="19.2" customHeight="1">
      <c r="A157" s="70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706"/>
      <c r="T157" s="258"/>
      <c r="U157" s="63"/>
      <c r="V157" s="463"/>
      <c r="W157" s="262">
        <f t="shared" si="103"/>
        <v>0</v>
      </c>
      <c r="X157" s="216"/>
      <c r="Y157" s="216"/>
      <c r="Z157" s="214"/>
      <c r="AA157" s="214"/>
      <c r="AB157" s="644"/>
      <c r="AC157" s="644"/>
      <c r="AD157" s="218"/>
      <c r="AE157" s="218"/>
      <c r="AF157" s="261"/>
      <c r="AG157" s="129"/>
      <c r="AH157" s="708"/>
    </row>
    <row r="158" spans="1:34" s="215" customFormat="1" ht="19.2" customHeight="1">
      <c r="A158" s="70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706"/>
      <c r="T158" s="258"/>
      <c r="U158" s="63"/>
      <c r="V158" s="463"/>
      <c r="W158" s="262">
        <f t="shared" si="103"/>
        <v>0</v>
      </c>
      <c r="X158" s="216"/>
      <c r="Y158" s="216"/>
      <c r="Z158" s="214"/>
      <c r="AA158" s="214"/>
      <c r="AB158" s="644"/>
      <c r="AC158" s="644"/>
      <c r="AD158" s="218"/>
      <c r="AE158" s="218"/>
      <c r="AF158" s="261"/>
      <c r="AG158" s="129"/>
      <c r="AH158" s="708"/>
    </row>
    <row r="159" spans="1:34" s="215" customFormat="1" ht="19.2" customHeight="1">
      <c r="A159" s="70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59"/>
      <c r="N159" s="179"/>
      <c r="O159" s="221"/>
      <c r="P159" s="260"/>
      <c r="Q159" s="74"/>
      <c r="R159" s="129"/>
      <c r="S159" s="706"/>
      <c r="T159" s="258"/>
      <c r="U159" s="63"/>
      <c r="V159" s="463"/>
      <c r="W159" s="263">
        <f t="shared" si="103"/>
        <v>0</v>
      </c>
      <c r="X159" s="216"/>
      <c r="Y159" s="216"/>
      <c r="Z159" s="214"/>
      <c r="AA159" s="214"/>
      <c r="AB159" s="644"/>
      <c r="AC159" s="644"/>
      <c r="AD159" s="218"/>
      <c r="AE159" s="218"/>
      <c r="AF159" s="261"/>
      <c r="AG159" s="129"/>
      <c r="AH159" s="708"/>
    </row>
    <row r="160" spans="1:34" ht="19.2" customHeight="1">
      <c r="A160" s="704"/>
      <c r="B160" s="264">
        <v>0</v>
      </c>
      <c r="C160" s="265" t="s">
        <v>481</v>
      </c>
      <c r="D160" s="703" t="s">
        <v>460</v>
      </c>
      <c r="E160" s="664"/>
      <c r="F160" s="274"/>
      <c r="G160" s="199"/>
      <c r="H160" s="198"/>
      <c r="I160" s="72"/>
      <c r="J160" s="266">
        <v>12.222222222222221</v>
      </c>
      <c r="K160" s="266">
        <v>1753.3333333333333</v>
      </c>
      <c r="L160" s="267">
        <v>190.84207659672057</v>
      </c>
      <c r="M160" s="266">
        <f t="shared" ref="M160:O160" si="104">AVERAGE(M148:M159)</f>
        <v>12.222222222222221</v>
      </c>
      <c r="N160" s="266">
        <f t="shared" si="104"/>
        <v>1506.3645242467533</v>
      </c>
      <c r="O160" s="267">
        <f t="shared" si="104"/>
        <v>163.60553626397308</v>
      </c>
      <c r="P160" s="65">
        <f t="shared" ref="P160:P166" si="105">M160-J160</f>
        <v>0</v>
      </c>
      <c r="Q160" s="74">
        <f t="shared" ref="Q160:Q166" si="106">O160-L160</f>
        <v>-27.236540332747495</v>
      </c>
      <c r="R160" s="268">
        <f>O160/L160</f>
        <v>0.85728230996824351</v>
      </c>
      <c r="S160" s="70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644"/>
      <c r="AC160" s="644"/>
      <c r="AD160" s="79">
        <f>SUM(AD148:AD159)</f>
        <v>0</v>
      </c>
      <c r="AE160" s="79">
        <f>SUM(AE148:AE159)</f>
        <v>2</v>
      </c>
      <c r="AF160" s="65">
        <f t="shared" si="61"/>
        <v>-246.96880908657999</v>
      </c>
      <c r="AG160" s="129">
        <f t="shared" si="62"/>
        <v>0.85914326477951708</v>
      </c>
      <c r="AH160" s="708"/>
    </row>
    <row r="161" spans="1:36" ht="19.2" customHeight="1">
      <c r="A161" s="66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2965.5</v>
      </c>
      <c r="H161" s="84">
        <f t="shared" ref="H161:H170" si="107">F161*G161</f>
        <v>89350.514999999999</v>
      </c>
      <c r="I161" s="44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1162.9411764705883</v>
      </c>
      <c r="O161" s="86">
        <f t="shared" ref="O161:O166" si="109">N161/M161</f>
        <v>64.607843137254903</v>
      </c>
      <c r="P161" s="54">
        <f t="shared" si="105"/>
        <v>0</v>
      </c>
      <c r="Q161" s="88">
        <f t="shared" si="106"/>
        <v>-2.058823529411768</v>
      </c>
      <c r="R161" s="450">
        <f t="shared" ref="R161:R166" si="110">O161/L161</f>
        <v>0.96911764705882353</v>
      </c>
      <c r="S161" s="667">
        <f>R173</f>
        <v>0.89381828703813848</v>
      </c>
      <c r="T161" s="89">
        <v>0.16666666666666666</v>
      </c>
      <c r="U161" s="89">
        <v>0.27291666666666664</v>
      </c>
      <c r="V161" s="449">
        <v>5</v>
      </c>
      <c r="W161" s="90">
        <f t="shared" ref="W161:W172" si="111">(U161-T161)*24*60</f>
        <v>153</v>
      </c>
      <c r="X161" s="96"/>
      <c r="Y161" s="96"/>
      <c r="Z161" s="54"/>
      <c r="AA161" s="54"/>
      <c r="AB161" s="644"/>
      <c r="AC161" s="644"/>
      <c r="AD161" s="449"/>
      <c r="AE161" s="449"/>
      <c r="AF161" s="54">
        <f t="shared" si="61"/>
        <v>-37.058823529411711</v>
      </c>
      <c r="AG161" s="450">
        <f t="shared" si="62"/>
        <v>0.96911764705882353</v>
      </c>
      <c r="AH161" s="667">
        <f>AG173</f>
        <v>0.90310646108977422</v>
      </c>
    </row>
    <row r="162" spans="1:36" ht="19.2" customHeight="1">
      <c r="A162" s="66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2264</v>
      </c>
      <c r="H162" s="84">
        <f t="shared" si="107"/>
        <v>79987.12</v>
      </c>
      <c r="I162" s="449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2027.4626865671644</v>
      </c>
      <c r="O162" s="86">
        <f t="shared" si="109"/>
        <v>168.95522388059703</v>
      </c>
      <c r="P162" s="54">
        <f t="shared" si="105"/>
        <v>0</v>
      </c>
      <c r="Q162" s="88">
        <f t="shared" si="106"/>
        <v>-7.5447761194029681</v>
      </c>
      <c r="R162" s="450">
        <f t="shared" si="110"/>
        <v>0.95725339309120128</v>
      </c>
      <c r="S162" s="667"/>
      <c r="T162" s="89">
        <v>0.28819444444444442</v>
      </c>
      <c r="U162" s="89">
        <v>0.3347222222222222</v>
      </c>
      <c r="V162" s="449">
        <v>22</v>
      </c>
      <c r="W162" s="90">
        <f t="shared" si="111"/>
        <v>67</v>
      </c>
      <c r="X162" s="96">
        <v>0.27777777777777779</v>
      </c>
      <c r="Y162" s="96">
        <v>0.28750000000000003</v>
      </c>
      <c r="Z162" s="54"/>
      <c r="AA162" s="54"/>
      <c r="AB162" s="644"/>
      <c r="AC162" s="644"/>
      <c r="AD162" s="449"/>
      <c r="AE162" s="449"/>
      <c r="AF162" s="54">
        <f t="shared" si="61"/>
        <v>-90.537313432835617</v>
      </c>
      <c r="AG162" s="450">
        <f t="shared" si="62"/>
        <v>0.95725339309120128</v>
      </c>
      <c r="AH162" s="667"/>
    </row>
    <row r="163" spans="1:36" ht="19.2" customHeight="1">
      <c r="A163" s="66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3671.2000000000003</v>
      </c>
      <c r="H163" s="84">
        <f t="shared" si="107"/>
        <v>131539.09599999999</v>
      </c>
      <c r="I163" s="44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2138.5631067961158</v>
      </c>
      <c r="O163" s="86">
        <f t="shared" si="109"/>
        <v>194.41482789055598</v>
      </c>
      <c r="P163" s="54">
        <f t="shared" si="105"/>
        <v>0</v>
      </c>
      <c r="Q163" s="88">
        <f t="shared" si="106"/>
        <v>-10.130626654898549</v>
      </c>
      <c r="R163" s="450">
        <f t="shared" si="110"/>
        <v>0.95047249190938488</v>
      </c>
      <c r="S163" s="667"/>
      <c r="T163" s="89">
        <v>0.33958333333333329</v>
      </c>
      <c r="U163" s="89">
        <v>0.41111111111111109</v>
      </c>
      <c r="V163" s="449">
        <v>7</v>
      </c>
      <c r="W163" s="90">
        <f t="shared" si="111"/>
        <v>103.00000000000003</v>
      </c>
      <c r="X163" s="96"/>
      <c r="Y163" s="96"/>
      <c r="Z163" s="54"/>
      <c r="AA163" s="54"/>
      <c r="AB163" s="644"/>
      <c r="AC163" s="644"/>
      <c r="AD163" s="449"/>
      <c r="AE163" s="449"/>
      <c r="AF163" s="54">
        <f t="shared" si="61"/>
        <v>-111.43689320388421</v>
      </c>
      <c r="AG163" s="450">
        <f t="shared" si="62"/>
        <v>0.95047249190938476</v>
      </c>
      <c r="AH163" s="667"/>
    </row>
    <row r="164" spans="1:36" ht="19.2" customHeight="1">
      <c r="A164" s="66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1569.4</v>
      </c>
      <c r="H164" s="84">
        <f t="shared" si="107"/>
        <v>57141.853999999999</v>
      </c>
      <c r="I164" s="44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2296.6829268292677</v>
      </c>
      <c r="O164" s="86">
        <f t="shared" si="109"/>
        <v>229.66829268292676</v>
      </c>
      <c r="P164" s="54">
        <f t="shared" si="105"/>
        <v>0</v>
      </c>
      <c r="Q164" s="88">
        <f t="shared" si="106"/>
        <v>-47.231707317073216</v>
      </c>
      <c r="R164" s="450">
        <f t="shared" si="110"/>
        <v>0.82942684248077569</v>
      </c>
      <c r="S164" s="667"/>
      <c r="T164" s="89">
        <v>0.41597222222222219</v>
      </c>
      <c r="U164" s="89">
        <v>0.44444444444444442</v>
      </c>
      <c r="V164" s="449">
        <v>7</v>
      </c>
      <c r="W164" s="90">
        <f t="shared" si="111"/>
        <v>41.000000000000014</v>
      </c>
      <c r="X164" s="96"/>
      <c r="Y164" s="96"/>
      <c r="Z164" s="54"/>
      <c r="AA164" s="54"/>
      <c r="AB164" s="644"/>
      <c r="AC164" s="644"/>
      <c r="AD164" s="449"/>
      <c r="AE164" s="449"/>
      <c r="AF164" s="54">
        <f>N164-K164</f>
        <v>-472.31707317073233</v>
      </c>
      <c r="AG164" s="450">
        <f>N164/K164</f>
        <v>0.82942684248077558</v>
      </c>
      <c r="AH164" s="667"/>
    </row>
    <row r="165" spans="1:36" ht="19.2" customHeight="1">
      <c r="A165" s="66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6277.6</v>
      </c>
      <c r="H165" s="84">
        <f t="shared" si="107"/>
        <v>228567.416</v>
      </c>
      <c r="I165" s="44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2325.037037037036</v>
      </c>
      <c r="O165" s="86">
        <f t="shared" si="109"/>
        <v>232.50370370370359</v>
      </c>
      <c r="P165" s="54">
        <f t="shared" si="105"/>
        <v>0</v>
      </c>
      <c r="Q165" s="88">
        <f t="shared" si="106"/>
        <v>-44.396296296296384</v>
      </c>
      <c r="R165" s="450">
        <f t="shared" si="110"/>
        <v>0.83966668004226652</v>
      </c>
      <c r="S165" s="667"/>
      <c r="T165" s="89">
        <v>0.48402777777777772</v>
      </c>
      <c r="U165" s="89">
        <v>0.59652777777777777</v>
      </c>
      <c r="V165" s="449">
        <v>4</v>
      </c>
      <c r="W165" s="90">
        <f t="shared" si="111"/>
        <v>162.00000000000006</v>
      </c>
      <c r="X165" s="96"/>
      <c r="Y165" s="96"/>
      <c r="Z165" s="54"/>
      <c r="AA165" s="54"/>
      <c r="AB165" s="644"/>
      <c r="AC165" s="644"/>
      <c r="AD165" s="449">
        <v>1</v>
      </c>
      <c r="AE165" s="449"/>
      <c r="AF165" s="54">
        <f>N165-K165</f>
        <v>-443.96296296296396</v>
      </c>
      <c r="AG165" s="450">
        <f>N165/K165</f>
        <v>0.83966668004226652</v>
      </c>
      <c r="AH165" s="667"/>
    </row>
    <row r="166" spans="1:36" ht="19.2" customHeight="1">
      <c r="A166" s="66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988.5</v>
      </c>
      <c r="H166" s="84">
        <f t="shared" si="107"/>
        <v>29783.504999999997</v>
      </c>
      <c r="I166" s="449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1162.9411764705887</v>
      </c>
      <c r="O166" s="86">
        <f t="shared" si="109"/>
        <v>64.607843137254932</v>
      </c>
      <c r="P166" s="54">
        <f t="shared" si="105"/>
        <v>0</v>
      </c>
      <c r="Q166" s="88">
        <f t="shared" si="106"/>
        <v>-2.0588235294117396</v>
      </c>
      <c r="R166" s="450">
        <f t="shared" si="110"/>
        <v>0.96911764705882386</v>
      </c>
      <c r="S166" s="667"/>
      <c r="T166" s="89">
        <v>0.61180555555555549</v>
      </c>
      <c r="U166" s="89">
        <v>0.64722222222222214</v>
      </c>
      <c r="V166" s="449">
        <v>22</v>
      </c>
      <c r="W166" s="90">
        <f t="shared" si="111"/>
        <v>50.999999999999979</v>
      </c>
      <c r="X166" s="96">
        <v>0.60069444444444442</v>
      </c>
      <c r="Y166" s="96">
        <v>0.61111111111111105</v>
      </c>
      <c r="Z166" s="54"/>
      <c r="AA166" s="54"/>
      <c r="AB166" s="644"/>
      <c r="AC166" s="644"/>
      <c r="AD166" s="449"/>
      <c r="AE166" s="449"/>
      <c r="AF166" s="54">
        <f>N166-K166</f>
        <v>-37.058823529411256</v>
      </c>
      <c r="AG166" s="450">
        <f>N166/K166</f>
        <v>0.96911764705882397</v>
      </c>
      <c r="AH166" s="667"/>
    </row>
    <row r="167" spans="1:36" ht="19.2" customHeight="1">
      <c r="A167" s="66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49"/>
      <c r="J167" s="87"/>
      <c r="K167" s="57"/>
      <c r="L167" s="86"/>
      <c r="M167" s="87"/>
      <c r="N167" s="57"/>
      <c r="O167" s="86"/>
      <c r="P167" s="54"/>
      <c r="Q167" s="88"/>
      <c r="R167" s="450"/>
      <c r="S167" s="667"/>
      <c r="T167" s="89"/>
      <c r="U167" s="89"/>
      <c r="V167" s="449" t="s">
        <v>15</v>
      </c>
      <c r="W167" s="90">
        <f t="shared" si="111"/>
        <v>0</v>
      </c>
      <c r="X167" s="96"/>
      <c r="Y167" s="96"/>
      <c r="Z167" s="54"/>
      <c r="AA167" s="54"/>
      <c r="AB167" s="644"/>
      <c r="AC167" s="644"/>
      <c r="AD167" s="449"/>
      <c r="AE167" s="449"/>
      <c r="AF167" s="54">
        <f t="shared" si="61"/>
        <v>0</v>
      </c>
      <c r="AG167" s="450" t="e">
        <f t="shared" si="62"/>
        <v>#DIV/0!</v>
      </c>
      <c r="AH167" s="667"/>
    </row>
    <row r="168" spans="1:36" ht="19.2" customHeight="1">
      <c r="A168" s="66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49"/>
      <c r="J168" s="87"/>
      <c r="K168" s="57"/>
      <c r="L168" s="86"/>
      <c r="M168" s="87"/>
      <c r="N168" s="57"/>
      <c r="O168" s="86"/>
      <c r="P168" s="54"/>
      <c r="Q168" s="88"/>
      <c r="R168" s="450"/>
      <c r="S168" s="667"/>
      <c r="T168" s="89"/>
      <c r="U168" s="89"/>
      <c r="V168" s="449"/>
      <c r="W168" s="90">
        <f t="shared" si="111"/>
        <v>0</v>
      </c>
      <c r="X168" s="96"/>
      <c r="Y168" s="96"/>
      <c r="Z168" s="54"/>
      <c r="AA168" s="54"/>
      <c r="AB168" s="644"/>
      <c r="AC168" s="644"/>
      <c r="AD168" s="449"/>
      <c r="AE168" s="449"/>
      <c r="AF168" s="54">
        <f t="shared" si="61"/>
        <v>0</v>
      </c>
      <c r="AG168" s="450" t="e">
        <f t="shared" si="62"/>
        <v>#DIV/0!</v>
      </c>
      <c r="AH168" s="667"/>
    </row>
    <row r="169" spans="1:36" ht="19.2" customHeight="1">
      <c r="A169" s="66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49"/>
      <c r="J169" s="87"/>
      <c r="K169" s="57"/>
      <c r="L169" s="86"/>
      <c r="M169" s="87"/>
      <c r="N169" s="57"/>
      <c r="O169" s="86"/>
      <c r="P169" s="54"/>
      <c r="Q169" s="88"/>
      <c r="R169" s="450"/>
      <c r="S169" s="667"/>
      <c r="T169" s="89"/>
      <c r="U169" s="89"/>
      <c r="V169" s="449"/>
      <c r="W169" s="90">
        <f t="shared" si="111"/>
        <v>0</v>
      </c>
      <c r="X169" s="96"/>
      <c r="Y169" s="96"/>
      <c r="Z169" s="54"/>
      <c r="AA169" s="54"/>
      <c r="AB169" s="644"/>
      <c r="AC169" s="644"/>
      <c r="AD169" s="449"/>
      <c r="AE169" s="449"/>
      <c r="AF169" s="54">
        <f t="shared" si="61"/>
        <v>0</v>
      </c>
      <c r="AG169" s="450" t="e">
        <f t="shared" si="62"/>
        <v>#DIV/0!</v>
      </c>
      <c r="AH169" s="667"/>
    </row>
    <row r="170" spans="1:36" ht="19.2" customHeight="1">
      <c r="A170" s="66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49"/>
      <c r="J170" s="87"/>
      <c r="K170" s="57"/>
      <c r="L170" s="86"/>
      <c r="M170" s="87"/>
      <c r="N170" s="57"/>
      <c r="O170" s="86"/>
      <c r="P170" s="54"/>
      <c r="Q170" s="88"/>
      <c r="R170" s="450"/>
      <c r="S170" s="667"/>
      <c r="T170" s="89"/>
      <c r="U170" s="89"/>
      <c r="V170" s="449"/>
      <c r="W170" s="90">
        <f t="shared" si="111"/>
        <v>0</v>
      </c>
      <c r="X170" s="96"/>
      <c r="Y170" s="96"/>
      <c r="Z170" s="54"/>
      <c r="AA170" s="54"/>
      <c r="AB170" s="644"/>
      <c r="AC170" s="644"/>
      <c r="AD170" s="449"/>
      <c r="AE170" s="449"/>
      <c r="AF170" s="54">
        <f t="shared" si="61"/>
        <v>0</v>
      </c>
      <c r="AG170" s="450" t="e">
        <f t="shared" si="62"/>
        <v>#DIV/0!</v>
      </c>
      <c r="AH170" s="667"/>
    </row>
    <row r="171" spans="1:36" ht="19.2" customHeight="1">
      <c r="A171" s="66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49"/>
      <c r="J171" s="87"/>
      <c r="K171" s="57"/>
      <c r="L171" s="86"/>
      <c r="M171" s="87"/>
      <c r="N171" s="57"/>
      <c r="O171" s="86"/>
      <c r="P171" s="54"/>
      <c r="Q171" s="88"/>
      <c r="R171" s="450"/>
      <c r="S171" s="667"/>
      <c r="T171" s="89"/>
      <c r="U171" s="89"/>
      <c r="V171" s="449"/>
      <c r="W171" s="90">
        <f t="shared" si="111"/>
        <v>0</v>
      </c>
      <c r="X171" s="96"/>
      <c r="Y171" s="96"/>
      <c r="Z171" s="54"/>
      <c r="AA171" s="54"/>
      <c r="AB171" s="644"/>
      <c r="AC171" s="644"/>
      <c r="AD171" s="449"/>
      <c r="AE171" s="449"/>
      <c r="AF171" s="54"/>
      <c r="AG171" s="450"/>
      <c r="AH171" s="667"/>
    </row>
    <row r="172" spans="1:36" ht="19.2" customHeight="1">
      <c r="A172" s="66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49"/>
      <c r="J172" s="87"/>
      <c r="K172" s="57"/>
      <c r="L172" s="86"/>
      <c r="M172" s="87"/>
      <c r="N172" s="57"/>
      <c r="O172" s="86"/>
      <c r="P172" s="54"/>
      <c r="Q172" s="88"/>
      <c r="R172" s="450"/>
      <c r="S172" s="667"/>
      <c r="T172" s="89"/>
      <c r="U172" s="89"/>
      <c r="V172" s="449"/>
      <c r="W172" s="90">
        <f t="shared" si="111"/>
        <v>0</v>
      </c>
      <c r="X172" s="96"/>
      <c r="Y172" s="96"/>
      <c r="Z172" s="54"/>
      <c r="AA172" s="54"/>
      <c r="AB172" s="644"/>
      <c r="AC172" s="644"/>
      <c r="AD172" s="449"/>
      <c r="AE172" s="449"/>
      <c r="AF172" s="54"/>
      <c r="AG172" s="450"/>
      <c r="AH172" s="667"/>
    </row>
    <row r="173" spans="1:36" ht="19.2" customHeight="1">
      <c r="A173" s="666"/>
      <c r="B173" s="121">
        <v>0</v>
      </c>
      <c r="C173" s="100" t="s">
        <v>483</v>
      </c>
      <c r="D173" s="673" t="s">
        <v>460</v>
      </c>
      <c r="E173" s="673"/>
      <c r="F173" s="27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2">AVERAGE(M161:M172)</f>
        <v>13.166666666666666</v>
      </c>
      <c r="N173" s="101">
        <f t="shared" si="112"/>
        <v>1852.2713516951269</v>
      </c>
      <c r="O173" s="104">
        <f t="shared" si="112"/>
        <v>159.12628907204888</v>
      </c>
      <c r="P173" s="54">
        <f>M173-J173</f>
        <v>0</v>
      </c>
      <c r="Q173" s="88">
        <f>O173-L173</f>
        <v>-18.903508907749114</v>
      </c>
      <c r="R173" s="105">
        <f>O173/L173</f>
        <v>0.89381828703813848</v>
      </c>
      <c r="S173" s="66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07"/>
      <c r="AC173" s="707"/>
      <c r="AD173" s="107">
        <f>SUM(AD161:AD172)</f>
        <v>1</v>
      </c>
      <c r="AE173" s="107">
        <f>SUM(AE161:AE172)</f>
        <v>0</v>
      </c>
      <c r="AF173" s="54">
        <f t="shared" si="61"/>
        <v>-198.7286483048731</v>
      </c>
      <c r="AG173" s="450">
        <f t="shared" si="62"/>
        <v>0.90310646108977422</v>
      </c>
      <c r="AH173" s="66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484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486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topLeftCell="A7" zoomScale="40" zoomScaleNormal="40" workbookViewId="0">
      <selection activeCell="G42" sqref="G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02" t="s">
        <v>0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1"/>
      <c r="O1" s="1"/>
    </row>
    <row r="2" spans="2:17" ht="27.75" customHeight="1">
      <c r="B2" s="502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4"/>
      <c r="N2" s="1"/>
      <c r="O2" s="1"/>
    </row>
    <row r="3" spans="2:17" ht="46.5" customHeight="1">
      <c r="B3" s="505" t="s">
        <v>1</v>
      </c>
      <c r="C3" s="506"/>
      <c r="D3" s="507" t="s">
        <v>604</v>
      </c>
      <c r="E3" s="508"/>
      <c r="F3" s="505" t="s">
        <v>2</v>
      </c>
      <c r="G3" s="506"/>
      <c r="H3" s="509">
        <v>275697.25</v>
      </c>
      <c r="I3" s="510"/>
      <c r="J3" s="505" t="s">
        <v>3</v>
      </c>
      <c r="K3" s="506"/>
      <c r="L3" s="500">
        <v>9212206.1612279508</v>
      </c>
      <c r="M3" s="501"/>
      <c r="N3" s="289"/>
      <c r="O3" s="289"/>
      <c r="P3" s="289"/>
      <c r="Q3" s="289"/>
    </row>
    <row r="4" spans="2:17" ht="24" customHeight="1">
      <c r="B4" s="505" t="s">
        <v>107</v>
      </c>
      <c r="C4" s="506"/>
      <c r="D4" s="522" t="s">
        <v>107</v>
      </c>
      <c r="E4" s="523"/>
      <c r="F4" s="498" t="s">
        <v>108</v>
      </c>
      <c r="G4" s="499"/>
      <c r="H4" s="498" t="s">
        <v>109</v>
      </c>
      <c r="I4" s="499"/>
      <c r="J4" s="498" t="s">
        <v>110</v>
      </c>
      <c r="K4" s="499"/>
      <c r="L4" s="500" t="s">
        <v>111</v>
      </c>
      <c r="M4" s="501"/>
      <c r="N4" s="514" t="s">
        <v>4</v>
      </c>
      <c r="O4" s="515"/>
      <c r="P4" s="515" t="s">
        <v>5</v>
      </c>
      <c r="Q4" s="515"/>
    </row>
    <row r="5" spans="2:17" ht="24" customHeight="1">
      <c r="B5" s="516" t="s">
        <v>35</v>
      </c>
      <c r="C5" s="517"/>
      <c r="D5" s="522" t="s">
        <v>112</v>
      </c>
      <c r="E5" s="523"/>
      <c r="F5" s="522" t="s">
        <v>6</v>
      </c>
      <c r="G5" s="523"/>
      <c r="H5" s="524" t="s">
        <v>7</v>
      </c>
      <c r="I5" s="525"/>
      <c r="J5" s="526" t="s">
        <v>8</v>
      </c>
      <c r="K5" s="527"/>
      <c r="L5" s="528" t="s">
        <v>9</v>
      </c>
      <c r="M5" s="529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518"/>
      <c r="C6" s="519"/>
      <c r="D6" s="505" t="s">
        <v>10</v>
      </c>
      <c r="E6" s="506"/>
      <c r="F6" s="530">
        <f>AVERAGE(D13:O13,P13:Q13,D30:E30,G30:H30,K30:M30)</f>
        <v>361.16541239566061</v>
      </c>
      <c r="G6" s="531"/>
      <c r="H6" s="543">
        <f>AVERAGE(D13:P13,Q13)</f>
        <v>145.67669002206236</v>
      </c>
      <c r="I6" s="544"/>
      <c r="J6" s="543">
        <f>AVERAGE(D30:E30,G30:H30)</f>
        <v>711.25</v>
      </c>
      <c r="K6" s="544"/>
      <c r="L6" s="545">
        <f>AVERAGE(K30:M30)</f>
        <v>900</v>
      </c>
      <c r="M6" s="546"/>
      <c r="N6" s="547">
        <v>0</v>
      </c>
      <c r="O6" s="534">
        <v>0</v>
      </c>
      <c r="P6" s="511">
        <v>11</v>
      </c>
      <c r="Q6" s="534">
        <v>2</v>
      </c>
    </row>
    <row r="7" spans="2:17" s="5" customFormat="1" ht="39.6" customHeight="1">
      <c r="B7" s="518"/>
      <c r="C7" s="519"/>
      <c r="D7" s="535" t="s">
        <v>11</v>
      </c>
      <c r="E7" s="536"/>
      <c r="F7" s="537">
        <f>AVERAGE(D14:O14,P14:Q14,D31:E31,K31:M31,G31:H31)</f>
        <v>331.44501150401555</v>
      </c>
      <c r="G7" s="538"/>
      <c r="H7" s="539">
        <f>AVERAGE(D14:P14,Q14)</f>
        <v>131.23637962957142</v>
      </c>
      <c r="I7" s="540"/>
      <c r="J7" s="539">
        <f>AVERAGE(D31:E31,G31:H31)</f>
        <v>704.15351696264088</v>
      </c>
      <c r="K7" s="540"/>
      <c r="L7" s="541">
        <f>AVERAGE(K31:M31)</f>
        <v>768.80728630658757</v>
      </c>
      <c r="M7" s="542"/>
      <c r="N7" s="547"/>
      <c r="O7" s="534"/>
      <c r="P7" s="511"/>
      <c r="Q7" s="534"/>
    </row>
    <row r="8" spans="2:17" s="5" customFormat="1" ht="39.6" customHeight="1">
      <c r="B8" s="520"/>
      <c r="C8" s="521"/>
      <c r="D8" s="535" t="s">
        <v>12</v>
      </c>
      <c r="E8" s="536"/>
      <c r="F8" s="512">
        <f>AVERAGE(D15:O15,P15:Q15,D32:E32,G32:H32,K32:M32)</f>
        <v>0.89888316211595665</v>
      </c>
      <c r="G8" s="513"/>
      <c r="H8" s="512">
        <f>AVERAGE(D15:O15,P15:Q15)</f>
        <v>0.89558949808374932</v>
      </c>
      <c r="I8" s="513"/>
      <c r="J8" s="512">
        <f>AVERAGE(D32:E32,G32:H32)</f>
        <v>0.94390061922682755</v>
      </c>
      <c r="K8" s="513"/>
      <c r="L8" s="512">
        <f>AVERAGE(K32:M32)</f>
        <v>0.85423031811843064</v>
      </c>
      <c r="M8" s="513"/>
      <c r="N8" s="547"/>
      <c r="O8" s="534"/>
      <c r="P8" s="511"/>
      <c r="Q8" s="534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548" t="s">
        <v>116</v>
      </c>
      <c r="C10" s="549"/>
      <c r="D10" s="550" t="s">
        <v>117</v>
      </c>
      <c r="E10" s="551"/>
      <c r="F10" s="551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2"/>
    </row>
    <row r="11" spans="2:17" ht="17.25" customHeight="1">
      <c r="B11" s="553" t="s">
        <v>118</v>
      </c>
      <c r="C11" s="517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554"/>
      <c r="C12" s="521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555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118.09560809560809</v>
      </c>
      <c r="M13" s="19">
        <v>81.830154088926022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556"/>
      <c r="C14" s="14" t="s">
        <v>133</v>
      </c>
      <c r="D14" s="19">
        <v>132.68110614825048</v>
      </c>
      <c r="E14" s="19">
        <v>102.96978049314951</v>
      </c>
      <c r="F14" s="19">
        <v>145.09787058365825</v>
      </c>
      <c r="G14" s="19">
        <v>282.84765690659015</v>
      </c>
      <c r="H14" s="19">
        <v>222.79857391872832</v>
      </c>
      <c r="I14" s="19">
        <v>76.500798450859421</v>
      </c>
      <c r="J14" s="19">
        <v>73.128131856249453</v>
      </c>
      <c r="K14" s="19">
        <v>66.812039119902991</v>
      </c>
      <c r="L14" s="19">
        <v>111.90474764839217</v>
      </c>
      <c r="M14" s="19">
        <v>73.234860591355542</v>
      </c>
      <c r="N14" s="19">
        <v>77.239304979905057</v>
      </c>
      <c r="O14" s="19">
        <v>167.2768838146502</v>
      </c>
      <c r="P14" s="19">
        <v>162.05524117347321</v>
      </c>
      <c r="Q14" s="9">
        <v>142.76231912883497</v>
      </c>
    </row>
    <row r="15" spans="2:17" ht="39.9" customHeight="1">
      <c r="B15" s="557"/>
      <c r="C15" s="290" t="s">
        <v>134</v>
      </c>
      <c r="D15" s="10">
        <f t="shared" ref="D15:Q15" si="0">D14/D13</f>
        <v>0.93747105891262894</v>
      </c>
      <c r="E15" s="10">
        <f t="shared" si="0"/>
        <v>0.8611887818834365</v>
      </c>
      <c r="F15" s="10">
        <f t="shared" si="0"/>
        <v>0.87819470017464019</v>
      </c>
      <c r="G15" s="10">
        <f t="shared" si="0"/>
        <v>0.89946362577918815</v>
      </c>
      <c r="H15" s="10">
        <f t="shared" si="0"/>
        <v>0.97474376089443637</v>
      </c>
      <c r="I15" s="10">
        <f t="shared" si="0"/>
        <v>0.8815717378018797</v>
      </c>
      <c r="J15" s="10">
        <f t="shared" si="0"/>
        <v>0.8503934447656023</v>
      </c>
      <c r="K15" s="10">
        <f t="shared" si="0"/>
        <v>0.84616945750786665</v>
      </c>
      <c r="L15" s="10">
        <f t="shared" si="0"/>
        <v>0.94757755561744594</v>
      </c>
      <c r="M15" s="10">
        <f t="shared" si="0"/>
        <v>0.89496178281382865</v>
      </c>
      <c r="N15" s="10">
        <f t="shared" si="0"/>
        <v>0.8774605390407656</v>
      </c>
      <c r="O15" s="10">
        <f t="shared" si="0"/>
        <v>0.82411099106519159</v>
      </c>
      <c r="P15" s="292">
        <f t="shared" si="0"/>
        <v>0.91319674272334939</v>
      </c>
      <c r="Q15" s="11">
        <f t="shared" si="0"/>
        <v>0.95174879419223313</v>
      </c>
    </row>
    <row r="16" spans="2:17" ht="22.8" customHeight="1">
      <c r="B16" s="558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559"/>
      <c r="C17" s="290" t="s">
        <v>36</v>
      </c>
      <c r="D17" s="12">
        <v>0.70347222222222205</v>
      </c>
      <c r="E17" s="12">
        <v>0.54861111111111105</v>
      </c>
      <c r="F17" s="12">
        <v>0.57708333333333328</v>
      </c>
      <c r="G17" s="12">
        <v>0.60902777777777772</v>
      </c>
      <c r="H17" s="12">
        <v>0.63055555555555554</v>
      </c>
      <c r="I17" s="12">
        <v>0.67499999999999993</v>
      </c>
      <c r="J17" s="12">
        <v>0.7569444444444442</v>
      </c>
      <c r="K17" s="12">
        <v>0.77916666666666645</v>
      </c>
      <c r="L17" s="12">
        <v>0.98611111111111083</v>
      </c>
      <c r="M17" s="12">
        <v>0.97777777777777741</v>
      </c>
      <c r="N17" s="12">
        <v>0.97777777777777786</v>
      </c>
      <c r="O17" s="22">
        <v>0.88124999999999987</v>
      </c>
      <c r="P17" s="12">
        <v>0.65625</v>
      </c>
      <c r="Q17" s="293">
        <v>0.64583333333333337</v>
      </c>
    </row>
    <row r="18" spans="2:23" ht="22.8" customHeight="1">
      <c r="B18" s="532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533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532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>
        <v>2</v>
      </c>
      <c r="I20" s="295" t="s">
        <v>15</v>
      </c>
      <c r="J20" s="295">
        <v>1</v>
      </c>
      <c r="K20" s="295" t="s">
        <v>15</v>
      </c>
      <c r="L20" s="295" t="s">
        <v>15</v>
      </c>
      <c r="M20" s="295">
        <v>1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533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>
        <v>2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560" t="s">
        <v>140</v>
      </c>
      <c r="C22" s="506"/>
      <c r="D22" s="297">
        <v>18.166666666666668</v>
      </c>
      <c r="E22" s="297">
        <v>17.888888888888889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15.444444444444445</v>
      </c>
      <c r="M22" s="297">
        <v>18.555555555555557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560" t="s">
        <v>141</v>
      </c>
      <c r="C23" s="506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60" t="s">
        <v>142</v>
      </c>
      <c r="C24" s="506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61" t="s">
        <v>143</v>
      </c>
      <c r="C25" s="562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548"/>
      <c r="C27" s="573"/>
      <c r="D27" s="565" t="s">
        <v>144</v>
      </c>
      <c r="E27" s="566"/>
      <c r="F27" s="566"/>
      <c r="G27" s="566"/>
      <c r="H27" s="567"/>
      <c r="I27" s="568" t="s">
        <v>145</v>
      </c>
      <c r="J27" s="569"/>
      <c r="K27" s="569"/>
      <c r="L27" s="569"/>
      <c r="M27" s="570"/>
      <c r="N27" s="289"/>
      <c r="O27" s="289"/>
      <c r="P27" s="289"/>
      <c r="Q27" s="289"/>
    </row>
    <row r="28" spans="2:23" ht="17.25" customHeight="1">
      <c r="B28" s="553" t="s">
        <v>118</v>
      </c>
      <c r="C28" s="571"/>
      <c r="D28" s="299">
        <v>1</v>
      </c>
      <c r="E28" s="4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554"/>
      <c r="C29" s="572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555" t="s">
        <v>35</v>
      </c>
      <c r="C30" s="303" t="s">
        <v>132</v>
      </c>
      <c r="D30" s="20">
        <v>220</v>
      </c>
      <c r="E30" s="4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556"/>
      <c r="C31" s="303" t="s">
        <v>133</v>
      </c>
      <c r="D31" s="305">
        <v>163.9155555555555</v>
      </c>
      <c r="E31" s="8">
        <v>822.5808861372916</v>
      </c>
      <c r="F31" s="8">
        <v>0</v>
      </c>
      <c r="G31" s="8">
        <v>898.92251016260036</v>
      </c>
      <c r="H31" s="306">
        <v>931.19511599511588</v>
      </c>
      <c r="I31" s="305">
        <v>0</v>
      </c>
      <c r="J31" s="8">
        <v>0</v>
      </c>
      <c r="K31" s="8">
        <v>606.95238095237926</v>
      </c>
      <c r="L31" s="8">
        <v>808.38627451078366</v>
      </c>
      <c r="M31" s="306">
        <v>891.0832034565999</v>
      </c>
      <c r="N31" s="289"/>
      <c r="O31" s="289"/>
      <c r="P31" s="289"/>
      <c r="Q31" s="289"/>
    </row>
    <row r="32" spans="2:23" ht="39.9" customHeight="1">
      <c r="B32" s="557"/>
      <c r="C32" s="487" t="s">
        <v>134</v>
      </c>
      <c r="D32" s="307">
        <f t="shared" ref="D32:M32" si="1">D31/D30</f>
        <v>0.74507070707070677</v>
      </c>
      <c r="E32" s="10">
        <f t="shared" si="1"/>
        <v>0.99706774077247462</v>
      </c>
      <c r="F32" s="10">
        <f t="shared" si="1"/>
        <v>0</v>
      </c>
      <c r="G32" s="10">
        <f t="shared" si="1"/>
        <v>0.998802789069556</v>
      </c>
      <c r="H32" s="10">
        <f t="shared" si="1"/>
        <v>1.0346612399945732</v>
      </c>
      <c r="I32" s="305">
        <f t="shared" si="1"/>
        <v>0</v>
      </c>
      <c r="J32" s="10">
        <f t="shared" si="1"/>
        <v>0</v>
      </c>
      <c r="K32" s="10">
        <f t="shared" si="1"/>
        <v>0.67439153439153254</v>
      </c>
      <c r="L32" s="10">
        <f t="shared" si="1"/>
        <v>0.89820697167864849</v>
      </c>
      <c r="M32" s="11">
        <f t="shared" si="1"/>
        <v>0.990092448285111</v>
      </c>
      <c r="N32" s="289"/>
      <c r="O32" s="289"/>
      <c r="P32" s="289"/>
      <c r="Q32" s="289"/>
    </row>
    <row r="33" spans="2:17" ht="25.8" customHeight="1">
      <c r="B33" s="558" t="s">
        <v>135</v>
      </c>
      <c r="C33" s="487" t="s">
        <v>136</v>
      </c>
      <c r="D33" s="308">
        <v>0.17013888888888887</v>
      </c>
      <c r="E33" s="12">
        <v>0.18055555555555555</v>
      </c>
      <c r="F33" s="12">
        <v>0</v>
      </c>
      <c r="G33" s="12">
        <v>2687.9999999999663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559"/>
      <c r="C34" s="487" t="s">
        <v>36</v>
      </c>
      <c r="D34" s="308">
        <v>0.39930555555555558</v>
      </c>
      <c r="E34" s="12">
        <v>0.35625000000000001</v>
      </c>
      <c r="F34" s="12">
        <v>0</v>
      </c>
      <c r="G34" s="12">
        <v>1062.8571428571465</v>
      </c>
      <c r="H34" s="293">
        <v>0.49444444444444446</v>
      </c>
      <c r="I34" s="23">
        <v>0</v>
      </c>
      <c r="J34" s="12">
        <v>0</v>
      </c>
      <c r="K34" s="12">
        <v>0.80902777777777779</v>
      </c>
      <c r="L34" s="12">
        <v>46239.069444444445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560" t="s">
        <v>140</v>
      </c>
      <c r="C35" s="563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560" t="s">
        <v>141</v>
      </c>
      <c r="C36" s="563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560" t="s">
        <v>142</v>
      </c>
      <c r="C37" s="563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561" t="s">
        <v>143</v>
      </c>
      <c r="C38" s="564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" priority="1" operator="lessThan">
      <formula>0.8</formula>
    </cfRule>
  </conditionalFormatting>
  <conditionalFormatting sqref="D15:Q15">
    <cfRule type="cellIs" dxfId="1" priority="3" operator="lessThan">
      <formula>0.8</formula>
    </cfRule>
  </conditionalFormatting>
  <conditionalFormatting sqref="J32:M32">
    <cfRule type="cellIs" dxfId="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O8" sqref="O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547</v>
      </c>
      <c r="E1" s="350">
        <f>SUM(G5:G124)</f>
        <v>81334</v>
      </c>
      <c r="F1" s="351" t="s">
        <v>3</v>
      </c>
      <c r="G1" s="352">
        <f>SUM(H5:H124)</f>
        <v>1515996.2736363637</v>
      </c>
      <c r="H1" s="353" t="s">
        <v>548</v>
      </c>
      <c r="I1" s="354">
        <f>+J16+J64+J24+J38+J51+J81+J100+J91+J57+J124+J111</f>
        <v>44.002380952380953</v>
      </c>
      <c r="J1" s="615" t="s">
        <v>549</v>
      </c>
      <c r="K1" s="616"/>
      <c r="L1" s="617"/>
      <c r="M1" s="615" t="s">
        <v>550</v>
      </c>
      <c r="N1" s="616"/>
      <c r="O1" s="616"/>
      <c r="P1" s="616"/>
      <c r="Q1" s="616"/>
      <c r="R1" s="617"/>
    </row>
    <row r="2" spans="1:18" ht="26.25" customHeight="1" thickBot="1">
      <c r="A2" s="621" t="s">
        <v>551</v>
      </c>
      <c r="B2" s="622"/>
      <c r="C2" s="356"/>
      <c r="D2" s="489" t="s">
        <v>552</v>
      </c>
      <c r="E2" s="358">
        <f>AVERAGE(L16,L24,L38,L51,L100,L111,L91)</f>
        <v>510.02547599750562</v>
      </c>
      <c r="F2" s="359" t="s">
        <v>40</v>
      </c>
      <c r="G2" s="360">
        <f>G1/E1</f>
        <v>18.63914566646622</v>
      </c>
      <c r="H2" s="361" t="s">
        <v>553</v>
      </c>
      <c r="I2" s="362">
        <f>COUNT(I5:I124)</f>
        <v>0</v>
      </c>
      <c r="J2" s="618"/>
      <c r="K2" s="619"/>
      <c r="L2" s="620"/>
      <c r="M2" s="618"/>
      <c r="N2" s="619"/>
      <c r="O2" s="619"/>
      <c r="P2" s="619"/>
      <c r="Q2" s="619"/>
      <c r="R2" s="620"/>
    </row>
    <row r="3" spans="1:18" ht="23.25" customHeight="1">
      <c r="A3" s="623" t="s">
        <v>554</v>
      </c>
      <c r="B3" s="625" t="s">
        <v>555</v>
      </c>
      <c r="C3" s="491"/>
      <c r="D3" s="626" t="s">
        <v>556</v>
      </c>
      <c r="E3" s="626"/>
      <c r="F3" s="627" t="s">
        <v>43</v>
      </c>
      <c r="G3" s="628" t="s">
        <v>557</v>
      </c>
      <c r="H3" s="629" t="s">
        <v>558</v>
      </c>
      <c r="I3" s="630" t="s">
        <v>559</v>
      </c>
      <c r="J3" s="603" t="s">
        <v>560</v>
      </c>
      <c r="K3" s="605" t="s">
        <v>561</v>
      </c>
      <c r="L3" s="607" t="s">
        <v>552</v>
      </c>
      <c r="M3" s="632" t="s">
        <v>48</v>
      </c>
      <c r="N3" s="632"/>
      <c r="O3" s="603" t="s">
        <v>273</v>
      </c>
      <c r="P3" s="633" t="s">
        <v>562</v>
      </c>
      <c r="Q3" s="603" t="s">
        <v>563</v>
      </c>
      <c r="R3" s="603"/>
    </row>
    <row r="4" spans="1:18" ht="15.75" customHeight="1">
      <c r="A4" s="624"/>
      <c r="B4" s="625"/>
      <c r="C4" s="491"/>
      <c r="D4" s="626"/>
      <c r="E4" s="626"/>
      <c r="F4" s="627"/>
      <c r="G4" s="628"/>
      <c r="H4" s="629"/>
      <c r="I4" s="631"/>
      <c r="J4" s="604"/>
      <c r="K4" s="606"/>
      <c r="L4" s="608"/>
      <c r="M4" s="495" t="s">
        <v>50</v>
      </c>
      <c r="N4" s="495" t="s">
        <v>51</v>
      </c>
      <c r="O4" s="604"/>
      <c r="P4" s="634"/>
      <c r="Q4" s="365" t="s">
        <v>564</v>
      </c>
      <c r="R4" s="365" t="s">
        <v>565</v>
      </c>
    </row>
    <row r="5" spans="1:18">
      <c r="A5" s="609" t="s">
        <v>566</v>
      </c>
      <c r="B5" s="366" t="s">
        <v>368</v>
      </c>
      <c r="C5" s="366"/>
      <c r="D5" s="367" t="s">
        <v>279</v>
      </c>
      <c r="E5" s="368"/>
      <c r="F5" s="369">
        <v>25.64</v>
      </c>
      <c r="G5" s="491">
        <v>737</v>
      </c>
      <c r="H5" s="370">
        <f>F5*G5</f>
        <v>18896.68</v>
      </c>
      <c r="I5" s="493"/>
      <c r="J5" s="372">
        <v>10</v>
      </c>
      <c r="K5" s="373">
        <f t="shared" ref="K5:K8" si="0">G5/P5*60</f>
        <v>1474.0000000000014</v>
      </c>
      <c r="L5" s="374">
        <f t="shared" ref="L5:L8" si="1">K5/J5</f>
        <v>147.40000000000015</v>
      </c>
      <c r="M5" s="375">
        <v>0.44097222222222227</v>
      </c>
      <c r="N5" s="375">
        <v>0.46180555555555558</v>
      </c>
      <c r="O5" s="365">
        <v>5</v>
      </c>
      <c r="P5" s="496">
        <f t="shared" ref="P5:P8" si="2">(N5-M5)*24*60</f>
        <v>29.999999999999972</v>
      </c>
      <c r="Q5" s="377"/>
      <c r="R5" s="377"/>
    </row>
    <row r="6" spans="1:18">
      <c r="A6" s="609"/>
      <c r="B6" s="366" t="s">
        <v>368</v>
      </c>
      <c r="C6" s="366"/>
      <c r="D6" s="367" t="s">
        <v>280</v>
      </c>
      <c r="E6" s="368"/>
      <c r="F6" s="369">
        <v>29.85</v>
      </c>
      <c r="G6" s="491">
        <v>2076</v>
      </c>
      <c r="H6" s="370">
        <f t="shared" ref="H6:H15" si="3">F6*G6</f>
        <v>61968.600000000006</v>
      </c>
      <c r="I6" s="493"/>
      <c r="J6" s="372">
        <v>13</v>
      </c>
      <c r="K6" s="373">
        <f t="shared" si="0"/>
        <v>1779.4285714285675</v>
      </c>
      <c r="L6" s="374">
        <f t="shared" si="1"/>
        <v>136.87912087912056</v>
      </c>
      <c r="M6" s="375">
        <v>0.46527777777777773</v>
      </c>
      <c r="N6" s="375">
        <v>0.51388888888888895</v>
      </c>
      <c r="O6" s="365">
        <v>5</v>
      </c>
      <c r="P6" s="496">
        <f t="shared" si="2"/>
        <v>70.000000000000156</v>
      </c>
      <c r="Q6" s="365"/>
      <c r="R6" s="365"/>
    </row>
    <row r="7" spans="1:18">
      <c r="A7" s="609"/>
      <c r="B7" s="366" t="s">
        <v>368</v>
      </c>
      <c r="C7" s="366"/>
      <c r="D7" s="367" t="s">
        <v>281</v>
      </c>
      <c r="E7" s="368"/>
      <c r="F7" s="369">
        <v>29.52</v>
      </c>
      <c r="G7" s="491">
        <v>1919</v>
      </c>
      <c r="H7" s="370">
        <f t="shared" si="3"/>
        <v>56648.88</v>
      </c>
      <c r="I7" s="493"/>
      <c r="J7" s="372">
        <v>13</v>
      </c>
      <c r="K7" s="373">
        <f t="shared" si="0"/>
        <v>1771.3846153846132</v>
      </c>
      <c r="L7" s="374">
        <f t="shared" si="1"/>
        <v>136.26035502958564</v>
      </c>
      <c r="M7" s="375">
        <v>0.51736111111111105</v>
      </c>
      <c r="N7" s="375">
        <v>0.5625</v>
      </c>
      <c r="O7" s="365">
        <v>5</v>
      </c>
      <c r="P7" s="496">
        <f t="shared" si="2"/>
        <v>65.000000000000085</v>
      </c>
      <c r="Q7" s="377"/>
      <c r="R7" s="377"/>
    </row>
    <row r="8" spans="1:18">
      <c r="A8" s="609"/>
      <c r="B8" s="366" t="s">
        <v>104</v>
      </c>
      <c r="C8" s="366"/>
      <c r="D8" s="367" t="s">
        <v>567</v>
      </c>
      <c r="E8" s="368"/>
      <c r="F8" s="369">
        <v>30</v>
      </c>
      <c r="G8" s="491">
        <v>1930</v>
      </c>
      <c r="H8" s="370">
        <f t="shared" si="3"/>
        <v>57900</v>
      </c>
      <c r="I8" s="493"/>
      <c r="J8" s="372">
        <v>13</v>
      </c>
      <c r="K8" s="373">
        <f t="shared" si="0"/>
        <v>1781.5384615384635</v>
      </c>
      <c r="L8" s="374">
        <f t="shared" si="1"/>
        <v>137.04142011834335</v>
      </c>
      <c r="M8" s="375">
        <v>0.56597222222222221</v>
      </c>
      <c r="N8" s="375">
        <v>0.61111111111111105</v>
      </c>
      <c r="O8" s="365">
        <v>5</v>
      </c>
      <c r="P8" s="496">
        <f t="shared" si="2"/>
        <v>64.999999999999929</v>
      </c>
      <c r="Q8" s="377"/>
      <c r="R8" s="377"/>
    </row>
    <row r="9" spans="1:18">
      <c r="A9" s="609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493"/>
      <c r="J9" s="372"/>
      <c r="K9" s="373"/>
      <c r="L9" s="374"/>
      <c r="M9" s="375"/>
      <c r="N9" s="375"/>
      <c r="O9" s="365"/>
      <c r="P9" s="496"/>
      <c r="Q9" s="377"/>
      <c r="R9" s="377"/>
    </row>
    <row r="10" spans="1:18">
      <c r="A10" s="609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93"/>
      <c r="J10" s="372"/>
      <c r="K10" s="373"/>
      <c r="L10" s="374"/>
      <c r="M10" s="375"/>
      <c r="N10" s="375"/>
      <c r="O10" s="365"/>
      <c r="P10" s="496"/>
      <c r="Q10" s="377"/>
      <c r="R10" s="377"/>
    </row>
    <row r="11" spans="1:18">
      <c r="A11" s="609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93"/>
      <c r="J11" s="372"/>
      <c r="K11" s="373"/>
      <c r="L11" s="374"/>
      <c r="M11" s="375"/>
      <c r="N11" s="375"/>
      <c r="O11" s="365"/>
      <c r="P11" s="496"/>
      <c r="Q11" s="377"/>
      <c r="R11" s="377"/>
    </row>
    <row r="12" spans="1:18">
      <c r="A12" s="610"/>
      <c r="B12" s="366">
        <v>0</v>
      </c>
      <c r="C12" s="492"/>
      <c r="D12" s="367"/>
      <c r="E12" s="368"/>
      <c r="F12" s="369" t="s">
        <v>106</v>
      </c>
      <c r="G12" s="490"/>
      <c r="H12" s="370">
        <f t="shared" si="3"/>
        <v>0</v>
      </c>
      <c r="I12" s="493"/>
      <c r="J12" s="372"/>
      <c r="K12" s="373"/>
      <c r="L12" s="374"/>
      <c r="M12" s="375"/>
      <c r="N12" s="375"/>
      <c r="O12" s="365"/>
      <c r="P12" s="496"/>
      <c r="Q12" s="377"/>
      <c r="R12" s="365"/>
    </row>
    <row r="13" spans="1:18">
      <c r="A13" s="610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93"/>
      <c r="J13" s="372"/>
      <c r="K13" s="373"/>
      <c r="L13" s="374"/>
      <c r="M13" s="375"/>
      <c r="N13" s="375"/>
      <c r="O13" s="365"/>
      <c r="P13" s="496"/>
      <c r="Q13" s="365"/>
      <c r="R13" s="365"/>
    </row>
    <row r="14" spans="1:18">
      <c r="A14" s="610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93"/>
      <c r="J14" s="372"/>
      <c r="K14" s="373"/>
      <c r="L14" s="374"/>
      <c r="M14" s="375"/>
      <c r="N14" s="375"/>
      <c r="O14" s="365"/>
      <c r="P14" s="496"/>
      <c r="Q14" s="365"/>
      <c r="R14" s="365"/>
    </row>
    <row r="15" spans="1:18">
      <c r="A15" s="610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93"/>
      <c r="J15" s="372"/>
      <c r="K15" s="373"/>
      <c r="L15" s="374"/>
      <c r="M15" s="375"/>
      <c r="N15" s="375"/>
      <c r="O15" s="365"/>
      <c r="P15" s="496"/>
      <c r="Q15" s="365"/>
      <c r="R15" s="365"/>
    </row>
    <row r="16" spans="1:18" ht="15.75" customHeight="1">
      <c r="A16" s="611"/>
      <c r="B16" s="366">
        <v>0</v>
      </c>
      <c r="C16" s="383" t="s">
        <v>568</v>
      </c>
      <c r="D16" s="594" t="s">
        <v>569</v>
      </c>
      <c r="E16" s="594"/>
      <c r="F16" s="384"/>
      <c r="G16" s="385"/>
      <c r="H16" s="386"/>
      <c r="I16" s="387"/>
      <c r="J16" s="388">
        <f>AVERAGE(J5:J15)</f>
        <v>12.25</v>
      </c>
      <c r="K16" s="388">
        <f>AVERAGE(K5:K15)</f>
        <v>1701.5879120879115</v>
      </c>
      <c r="L16" s="389">
        <f>AVERAGE(L5:L15)</f>
        <v>139.39522400676242</v>
      </c>
      <c r="M16" s="375"/>
      <c r="N16" s="375"/>
      <c r="O16" s="373"/>
      <c r="P16" s="373"/>
      <c r="Q16" s="374"/>
      <c r="R16" s="374"/>
    </row>
    <row r="17" spans="1:18" ht="15.75" customHeight="1">
      <c r="A17" s="612" t="s">
        <v>570</v>
      </c>
      <c r="B17" s="366">
        <v>0</v>
      </c>
      <c r="C17" s="492"/>
      <c r="D17" s="367" t="s">
        <v>571</v>
      </c>
      <c r="E17" s="367"/>
      <c r="F17" s="369" t="s">
        <v>106</v>
      </c>
      <c r="G17" s="491">
        <v>1930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1781.5384615384603</v>
      </c>
      <c r="L17" s="374">
        <f>K17/J17</f>
        <v>178.15384615384602</v>
      </c>
      <c r="M17" s="375">
        <v>0.17013888888888887</v>
      </c>
      <c r="N17" s="375">
        <v>0.21527777777777779</v>
      </c>
      <c r="O17" s="365">
        <v>5</v>
      </c>
      <c r="P17" s="496">
        <f>(N17-M17)*24*60</f>
        <v>65.000000000000043</v>
      </c>
      <c r="Q17" s="365"/>
      <c r="R17" s="365"/>
    </row>
    <row r="18" spans="1:18" ht="15.75" customHeight="1">
      <c r="A18" s="612"/>
      <c r="B18" s="366">
        <v>0</v>
      </c>
      <c r="C18" s="492"/>
      <c r="D18" s="367" t="s">
        <v>287</v>
      </c>
      <c r="E18" s="367"/>
      <c r="F18" s="369" t="s">
        <v>106</v>
      </c>
      <c r="G18" s="490">
        <v>2076</v>
      </c>
      <c r="H18" s="370">
        <f t="shared" si="4"/>
        <v>0</v>
      </c>
      <c r="I18" s="493"/>
      <c r="J18" s="372">
        <v>9</v>
      </c>
      <c r="K18" s="373">
        <f t="shared" si="5"/>
        <v>1557.0000000000009</v>
      </c>
      <c r="L18" s="374">
        <f t="shared" ref="L18:L21" si="6">K18/J18</f>
        <v>173.00000000000011</v>
      </c>
      <c r="M18" s="375">
        <v>0.21875</v>
      </c>
      <c r="N18" s="375">
        <v>0.27430555555555552</v>
      </c>
      <c r="O18" s="365">
        <v>5</v>
      </c>
      <c r="P18" s="496">
        <f t="shared" ref="P18:P21" si="7">(N18-M18)*24*60</f>
        <v>79.999999999999957</v>
      </c>
      <c r="Q18" s="377"/>
      <c r="R18" s="377"/>
    </row>
    <row r="19" spans="1:18" ht="15.75" customHeight="1">
      <c r="A19" s="612"/>
      <c r="B19" s="366">
        <v>0</v>
      </c>
      <c r="C19" s="492"/>
      <c r="D19" s="367" t="s">
        <v>288</v>
      </c>
      <c r="E19" s="367"/>
      <c r="F19" s="369" t="s">
        <v>106</v>
      </c>
      <c r="G19" s="490">
        <v>1919</v>
      </c>
      <c r="H19" s="370">
        <f t="shared" si="4"/>
        <v>0</v>
      </c>
      <c r="I19" s="493"/>
      <c r="J19" s="372">
        <v>9</v>
      </c>
      <c r="K19" s="373">
        <f t="shared" si="5"/>
        <v>1535.2000000000005</v>
      </c>
      <c r="L19" s="374">
        <f t="shared" si="6"/>
        <v>170.57777777777784</v>
      </c>
      <c r="M19" s="375">
        <v>0.27777777777777779</v>
      </c>
      <c r="N19" s="375">
        <v>0.3298611111111111</v>
      </c>
      <c r="O19" s="365">
        <v>5</v>
      </c>
      <c r="P19" s="496">
        <f t="shared" si="7"/>
        <v>74.999999999999972</v>
      </c>
      <c r="Q19" s="377"/>
      <c r="R19" s="377"/>
    </row>
    <row r="20" spans="1:18" ht="15.75" customHeight="1">
      <c r="A20" s="613"/>
      <c r="B20" s="366" t="s">
        <v>368</v>
      </c>
      <c r="C20" s="492"/>
      <c r="D20" s="367" t="s">
        <v>572</v>
      </c>
      <c r="E20" s="367"/>
      <c r="F20" s="369">
        <v>19.63</v>
      </c>
      <c r="G20" s="490">
        <v>969</v>
      </c>
      <c r="H20" s="370">
        <f t="shared" si="4"/>
        <v>19021.469999999998</v>
      </c>
      <c r="I20" s="493"/>
      <c r="J20" s="372">
        <v>13</v>
      </c>
      <c r="K20" s="373">
        <f t="shared" si="5"/>
        <v>1937.9999999999964</v>
      </c>
      <c r="L20" s="374">
        <f t="shared" si="6"/>
        <v>149.07692307692281</v>
      </c>
      <c r="M20" s="375">
        <v>0.33333333333333331</v>
      </c>
      <c r="N20" s="375">
        <v>0.35416666666666669</v>
      </c>
      <c r="O20" s="365">
        <v>5</v>
      </c>
      <c r="P20" s="496">
        <f t="shared" si="7"/>
        <v>30.000000000000053</v>
      </c>
      <c r="Q20" s="377"/>
      <c r="R20" s="377"/>
    </row>
    <row r="21" spans="1:18" ht="15.75" customHeight="1">
      <c r="A21" s="613"/>
      <c r="B21" s="366" t="s">
        <v>368</v>
      </c>
      <c r="C21" s="492"/>
      <c r="D21" s="367" t="s">
        <v>573</v>
      </c>
      <c r="E21" s="367"/>
      <c r="F21" s="369">
        <v>36.450000000000003</v>
      </c>
      <c r="G21" s="490">
        <v>1934</v>
      </c>
      <c r="H21" s="370">
        <f t="shared" si="4"/>
        <v>70494.3</v>
      </c>
      <c r="I21" s="493"/>
      <c r="J21" s="372">
        <v>13</v>
      </c>
      <c r="K21" s="373">
        <f t="shared" si="5"/>
        <v>1933.9999999999991</v>
      </c>
      <c r="L21" s="374">
        <f t="shared" si="6"/>
        <v>148.76923076923069</v>
      </c>
      <c r="M21" s="375">
        <v>0.3576388888888889</v>
      </c>
      <c r="N21" s="375">
        <v>0.39930555555555558</v>
      </c>
      <c r="O21" s="365">
        <v>5</v>
      </c>
      <c r="P21" s="496">
        <f t="shared" si="7"/>
        <v>60.000000000000028</v>
      </c>
      <c r="Q21" s="377">
        <v>0.39930555555555558</v>
      </c>
      <c r="R21" s="377">
        <v>0.44097222222222227</v>
      </c>
    </row>
    <row r="22" spans="1:18" ht="15.75" customHeight="1">
      <c r="A22" s="613"/>
      <c r="B22" s="366">
        <v>0</v>
      </c>
      <c r="C22" s="492"/>
      <c r="D22" s="367"/>
      <c r="E22" s="368"/>
      <c r="F22" s="369" t="s">
        <v>106</v>
      </c>
      <c r="G22" s="490"/>
      <c r="H22" s="370">
        <f t="shared" si="4"/>
        <v>0</v>
      </c>
      <c r="I22" s="493"/>
      <c r="J22" s="372"/>
      <c r="K22" s="373"/>
      <c r="L22" s="374"/>
      <c r="M22" s="375"/>
      <c r="N22" s="375"/>
      <c r="O22" s="365"/>
      <c r="P22" s="496"/>
      <c r="Q22" s="365"/>
      <c r="R22" s="365"/>
    </row>
    <row r="23" spans="1:18" ht="15.75" customHeight="1">
      <c r="A23" s="613"/>
      <c r="B23" s="366">
        <v>0</v>
      </c>
      <c r="C23" s="492"/>
      <c r="D23" s="367"/>
      <c r="E23" s="368"/>
      <c r="F23" s="369" t="s">
        <v>106</v>
      </c>
      <c r="G23" s="490"/>
      <c r="H23" s="370">
        <f t="shared" si="4"/>
        <v>0</v>
      </c>
      <c r="I23" s="493"/>
      <c r="J23" s="372"/>
      <c r="K23" s="373"/>
      <c r="L23" s="374"/>
      <c r="M23" s="375"/>
      <c r="N23" s="375"/>
      <c r="O23" s="365"/>
      <c r="P23" s="496"/>
      <c r="Q23" s="365"/>
      <c r="R23" s="365"/>
    </row>
    <row r="24" spans="1:18" ht="17.399999999999999" customHeight="1">
      <c r="A24" s="614"/>
      <c r="B24" s="366">
        <v>0</v>
      </c>
      <c r="C24" s="6" t="s">
        <v>574</v>
      </c>
      <c r="D24" s="594" t="s">
        <v>569</v>
      </c>
      <c r="E24" s="594"/>
      <c r="F24" s="384"/>
      <c r="G24" s="392"/>
      <c r="H24" s="386"/>
      <c r="I24" s="387"/>
      <c r="J24" s="388">
        <f>AVERAGE(J17:J23)</f>
        <v>10.8</v>
      </c>
      <c r="K24" s="388">
        <f>AVERAGE(K17:K23)</f>
        <v>1749.1476923076916</v>
      </c>
      <c r="L24" s="389">
        <f>AVERAGE(L17:L23)</f>
        <v>163.9155555555555</v>
      </c>
      <c r="M24" s="375"/>
      <c r="N24" s="375"/>
      <c r="O24" s="365"/>
      <c r="P24" s="365"/>
      <c r="Q24" s="365"/>
      <c r="R24" s="365"/>
    </row>
    <row r="25" spans="1:18">
      <c r="A25" s="601" t="s">
        <v>575</v>
      </c>
      <c r="B25" s="366" t="s">
        <v>104</v>
      </c>
      <c r="C25" s="393"/>
      <c r="D25" s="394" t="s">
        <v>293</v>
      </c>
      <c r="E25" s="395"/>
      <c r="F25" s="369">
        <v>18.53</v>
      </c>
      <c r="G25" s="491">
        <v>1448</v>
      </c>
      <c r="H25" s="370">
        <f t="shared" ref="H25:H37" si="8">F25*G25</f>
        <v>26831.440000000002</v>
      </c>
      <c r="I25" s="493"/>
      <c r="J25" s="372">
        <v>3</v>
      </c>
      <c r="K25" s="373">
        <f t="shared" ref="K25:K28" si="9">G25/P25*60</f>
        <v>2802.580645161293</v>
      </c>
      <c r="L25" s="374">
        <f t="shared" ref="L25:L28" si="10">K25/J25</f>
        <v>934.19354838709762</v>
      </c>
      <c r="M25" s="375">
        <v>0.18055555555555555</v>
      </c>
      <c r="N25" s="375">
        <v>0.20208333333333331</v>
      </c>
      <c r="O25" s="365">
        <v>20</v>
      </c>
      <c r="P25" s="49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601"/>
      <c r="B26" s="366" t="s">
        <v>104</v>
      </c>
      <c r="C26" s="393"/>
      <c r="D26" s="394" t="s">
        <v>576</v>
      </c>
      <c r="E26" s="396"/>
      <c r="F26" s="369">
        <v>15.03</v>
      </c>
      <c r="G26" s="491">
        <v>602</v>
      </c>
      <c r="H26" s="370">
        <f t="shared" si="8"/>
        <v>9048.06</v>
      </c>
      <c r="I26" s="493"/>
      <c r="J26" s="372">
        <v>4</v>
      </c>
      <c r="K26" s="373">
        <f t="shared" si="9"/>
        <v>2778.4615384615481</v>
      </c>
      <c r="L26" s="374">
        <f t="shared" si="10"/>
        <v>694.61538461538703</v>
      </c>
      <c r="M26" s="375">
        <v>0.26111111111111113</v>
      </c>
      <c r="N26" s="375">
        <v>0.27013888888888887</v>
      </c>
      <c r="O26" s="365">
        <v>25</v>
      </c>
      <c r="P26" s="496">
        <f>(N26-M26)*24*60</f>
        <v>12.999999999999954</v>
      </c>
      <c r="Q26" s="377"/>
      <c r="R26" s="377"/>
    </row>
    <row r="27" spans="1:18">
      <c r="A27" s="601"/>
      <c r="B27" s="366" t="s">
        <v>104</v>
      </c>
      <c r="C27" s="393"/>
      <c r="D27" s="367" t="s">
        <v>295</v>
      </c>
      <c r="E27" s="396"/>
      <c r="F27" s="369">
        <v>18.18</v>
      </c>
      <c r="G27" s="491">
        <v>2821</v>
      </c>
      <c r="H27" s="370">
        <f t="shared" si="8"/>
        <v>51285.78</v>
      </c>
      <c r="I27" s="493"/>
      <c r="J27" s="372">
        <v>4</v>
      </c>
      <c r="K27" s="373">
        <f t="shared" si="9"/>
        <v>2774.754098360655</v>
      </c>
      <c r="L27" s="374">
        <f t="shared" si="10"/>
        <v>693.68852459016375</v>
      </c>
      <c r="M27" s="375">
        <v>0.28402777777777777</v>
      </c>
      <c r="N27" s="375">
        <v>0.3263888888888889</v>
      </c>
      <c r="O27" s="365">
        <v>20</v>
      </c>
      <c r="P27" s="496">
        <f t="shared" ref="P27:P28" si="11">(N27-M27)*24*60</f>
        <v>61.000000000000021</v>
      </c>
      <c r="Q27" s="377"/>
      <c r="R27" s="377"/>
    </row>
    <row r="28" spans="1:18">
      <c r="A28" s="601"/>
      <c r="B28" s="366" t="s">
        <v>104</v>
      </c>
      <c r="C28" s="492"/>
      <c r="D28" s="367" t="s">
        <v>577</v>
      </c>
      <c r="E28" s="396"/>
      <c r="F28" s="369">
        <v>24.93</v>
      </c>
      <c r="G28" s="491">
        <v>1113</v>
      </c>
      <c r="H28" s="370">
        <f t="shared" si="8"/>
        <v>27747.09</v>
      </c>
      <c r="I28" s="493"/>
      <c r="J28" s="372">
        <v>3</v>
      </c>
      <c r="K28" s="373">
        <f t="shared" si="9"/>
        <v>2903.4782608695555</v>
      </c>
      <c r="L28" s="374">
        <f t="shared" si="10"/>
        <v>967.82608695651845</v>
      </c>
      <c r="M28" s="375">
        <v>0.34027777777777773</v>
      </c>
      <c r="N28" s="375">
        <v>0.35625000000000001</v>
      </c>
      <c r="O28" s="365">
        <v>20</v>
      </c>
      <c r="P28" s="496">
        <f t="shared" si="11"/>
        <v>23.000000000000078</v>
      </c>
      <c r="Q28" s="377"/>
      <c r="R28" s="377"/>
    </row>
    <row r="29" spans="1:18">
      <c r="A29" s="601"/>
      <c r="B29" s="366">
        <v>0</v>
      </c>
      <c r="C29" s="491"/>
      <c r="D29" s="394"/>
      <c r="E29" s="396"/>
      <c r="F29" s="369" t="s">
        <v>106</v>
      </c>
      <c r="G29" s="491"/>
      <c r="H29" s="370">
        <f t="shared" si="8"/>
        <v>0</v>
      </c>
      <c r="I29" s="493"/>
      <c r="J29" s="372"/>
      <c r="K29" s="373"/>
      <c r="L29" s="374"/>
      <c r="M29" s="375"/>
      <c r="N29" s="375"/>
      <c r="O29" s="365"/>
      <c r="P29" s="496"/>
      <c r="Q29" s="377"/>
      <c r="R29" s="377"/>
    </row>
    <row r="30" spans="1:18">
      <c r="A30" s="601"/>
      <c r="B30" s="366">
        <v>0</v>
      </c>
      <c r="C30" s="491"/>
      <c r="D30" s="394"/>
      <c r="E30" s="396"/>
      <c r="F30" s="369" t="s">
        <v>106</v>
      </c>
      <c r="G30" s="491"/>
      <c r="H30" s="370">
        <f t="shared" si="8"/>
        <v>0</v>
      </c>
      <c r="I30" s="493"/>
      <c r="J30" s="372"/>
      <c r="K30" s="373"/>
      <c r="L30" s="374"/>
      <c r="M30" s="375"/>
      <c r="N30" s="375"/>
      <c r="O30" s="365"/>
      <c r="P30" s="496"/>
      <c r="Q30" s="377"/>
      <c r="R30" s="377"/>
    </row>
    <row r="31" spans="1:18" ht="15.75" customHeight="1">
      <c r="A31" s="601"/>
      <c r="B31" s="366">
        <v>0</v>
      </c>
      <c r="C31" s="492"/>
      <c r="D31" s="367"/>
      <c r="E31" s="396"/>
      <c r="F31" s="369" t="s">
        <v>106</v>
      </c>
      <c r="G31" s="491"/>
      <c r="H31" s="370">
        <f t="shared" si="8"/>
        <v>0</v>
      </c>
      <c r="I31" s="493"/>
      <c r="J31" s="372"/>
      <c r="K31" s="373"/>
      <c r="L31" s="374"/>
      <c r="M31" s="375"/>
      <c r="N31" s="375"/>
      <c r="O31" s="365"/>
      <c r="P31" s="496"/>
      <c r="Q31" s="377"/>
      <c r="R31" s="377"/>
    </row>
    <row r="32" spans="1:18">
      <c r="A32" s="601"/>
      <c r="B32" s="366">
        <v>0</v>
      </c>
      <c r="C32" s="492"/>
      <c r="D32" s="394"/>
      <c r="E32" s="368"/>
      <c r="F32" s="369" t="s">
        <v>106</v>
      </c>
      <c r="G32" s="491"/>
      <c r="H32" s="370">
        <f t="shared" si="8"/>
        <v>0</v>
      </c>
      <c r="I32" s="493"/>
      <c r="J32" s="372"/>
      <c r="K32" s="373"/>
      <c r="L32" s="374"/>
      <c r="M32" s="375"/>
      <c r="N32" s="375"/>
      <c r="O32" s="365"/>
      <c r="P32" s="496"/>
      <c r="Q32" s="377"/>
      <c r="R32" s="377"/>
    </row>
    <row r="33" spans="1:18">
      <c r="A33" s="601"/>
      <c r="B33" s="366">
        <v>0</v>
      </c>
      <c r="C33" s="491"/>
      <c r="D33" s="367"/>
      <c r="E33" s="396"/>
      <c r="F33" s="369" t="s">
        <v>106</v>
      </c>
      <c r="G33" s="491"/>
      <c r="H33" s="370">
        <f t="shared" si="8"/>
        <v>0</v>
      </c>
      <c r="I33" s="493"/>
      <c r="J33" s="372"/>
      <c r="K33" s="373"/>
      <c r="L33" s="374"/>
      <c r="M33" s="375"/>
      <c r="N33" s="375"/>
      <c r="O33" s="365"/>
      <c r="P33" s="496"/>
      <c r="Q33" s="377"/>
      <c r="R33" s="377"/>
    </row>
    <row r="34" spans="1:18">
      <c r="A34" s="601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93"/>
      <c r="J34" s="372"/>
      <c r="K34" s="373"/>
      <c r="L34" s="374"/>
      <c r="M34" s="375"/>
      <c r="N34" s="375"/>
      <c r="O34" s="365"/>
      <c r="P34" s="496"/>
      <c r="Q34" s="377"/>
      <c r="R34" s="377"/>
    </row>
    <row r="35" spans="1:18">
      <c r="A35" s="601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93"/>
      <c r="J35" s="372"/>
      <c r="K35" s="373"/>
      <c r="L35" s="374"/>
      <c r="M35" s="375"/>
      <c r="N35" s="375"/>
      <c r="O35" s="365"/>
      <c r="P35" s="496"/>
      <c r="Q35" s="377"/>
      <c r="R35" s="377"/>
    </row>
    <row r="36" spans="1:18">
      <c r="A36" s="601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93"/>
      <c r="J36" s="372"/>
      <c r="K36" s="373"/>
      <c r="L36" s="374"/>
      <c r="M36" s="375"/>
      <c r="N36" s="375"/>
      <c r="O36" s="365"/>
      <c r="P36" s="496"/>
      <c r="Q36" s="377"/>
      <c r="R36" s="377"/>
    </row>
    <row r="37" spans="1:18">
      <c r="A37" s="601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93"/>
      <c r="J37" s="372"/>
      <c r="K37" s="373"/>
      <c r="L37" s="374"/>
      <c r="M37" s="375"/>
      <c r="N37" s="375"/>
      <c r="O37" s="365"/>
      <c r="P37" s="496"/>
      <c r="Q37" s="377"/>
      <c r="R37" s="377"/>
    </row>
    <row r="38" spans="1:18" ht="17.399999999999999" customHeight="1">
      <c r="A38" s="602"/>
      <c r="B38" s="366">
        <v>0</v>
      </c>
      <c r="C38" s="6" t="s">
        <v>27</v>
      </c>
      <c r="D38" s="580" t="s">
        <v>297</v>
      </c>
      <c r="E38" s="580"/>
      <c r="F38" s="384"/>
      <c r="G38" s="398"/>
      <c r="H38" s="386"/>
      <c r="I38" s="387"/>
      <c r="J38" s="388">
        <f>AVERAGE(J25:J37)</f>
        <v>3.5</v>
      </c>
      <c r="K38" s="388">
        <f>AVERAGE(K25:K37)</f>
        <v>2814.8186357132631</v>
      </c>
      <c r="L38" s="389">
        <f>AVERAGE(L25:L37)</f>
        <v>822.5808861372916</v>
      </c>
      <c r="M38" s="375"/>
      <c r="N38" s="375"/>
      <c r="O38" s="373"/>
      <c r="P38" s="373"/>
      <c r="Q38" s="374"/>
      <c r="R38" s="374"/>
    </row>
    <row r="39" spans="1:18" ht="16.2" customHeight="1">
      <c r="A39" s="590" t="s">
        <v>578</v>
      </c>
      <c r="B39" s="366">
        <v>0</v>
      </c>
      <c r="C39" s="492"/>
      <c r="D39" s="394"/>
      <c r="E39" s="368"/>
      <c r="F39" s="369" t="s">
        <v>106</v>
      </c>
      <c r="G39" s="491"/>
      <c r="H39" s="370">
        <f t="shared" ref="H39:H47" si="12">F39*G39</f>
        <v>0</v>
      </c>
      <c r="I39" s="4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591"/>
      <c r="B40" s="366">
        <v>0</v>
      </c>
      <c r="C40" s="492"/>
      <c r="D40" s="394"/>
      <c r="E40" s="368"/>
      <c r="F40" s="369" t="s">
        <v>106</v>
      </c>
      <c r="G40" s="491"/>
      <c r="H40" s="370">
        <f t="shared" si="12"/>
        <v>0</v>
      </c>
      <c r="I40" s="4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591"/>
      <c r="B41" s="366">
        <v>0</v>
      </c>
      <c r="C41" s="492"/>
      <c r="D41" s="400"/>
      <c r="E41" s="368"/>
      <c r="F41" s="369" t="s">
        <v>106</v>
      </c>
      <c r="G41" s="491"/>
      <c r="H41" s="370">
        <f t="shared" si="12"/>
        <v>0</v>
      </c>
      <c r="I41" s="4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591"/>
      <c r="B42" s="366">
        <v>0</v>
      </c>
      <c r="C42" s="492"/>
      <c r="D42" s="400"/>
      <c r="E42" s="368"/>
      <c r="F42" s="369" t="s">
        <v>106</v>
      </c>
      <c r="G42" s="491"/>
      <c r="H42" s="370">
        <f t="shared" si="12"/>
        <v>0</v>
      </c>
      <c r="I42" s="4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591"/>
      <c r="B43" s="366">
        <v>0</v>
      </c>
      <c r="C43" s="492"/>
      <c r="D43" s="394"/>
      <c r="E43" s="368"/>
      <c r="F43" s="369" t="s">
        <v>106</v>
      </c>
      <c r="G43" s="491"/>
      <c r="H43" s="370">
        <f t="shared" si="12"/>
        <v>0</v>
      </c>
      <c r="I43" s="493"/>
      <c r="J43" s="372"/>
      <c r="K43" s="373"/>
      <c r="L43" s="374"/>
      <c r="M43" s="375"/>
      <c r="N43" s="375"/>
      <c r="O43" s="365"/>
      <c r="P43" s="496"/>
      <c r="Q43" s="377"/>
      <c r="R43" s="377"/>
    </row>
    <row r="44" spans="1:18">
      <c r="A44" s="591"/>
      <c r="B44" s="366">
        <v>0</v>
      </c>
      <c r="C44" s="492"/>
      <c r="D44" s="401"/>
      <c r="E44" s="402"/>
      <c r="F44" s="369" t="s">
        <v>106</v>
      </c>
      <c r="G44" s="403"/>
      <c r="H44" s="404">
        <f t="shared" si="12"/>
        <v>0</v>
      </c>
      <c r="I44" s="494"/>
      <c r="J44" s="372"/>
      <c r="K44" s="373"/>
      <c r="L44" s="374"/>
      <c r="M44" s="375"/>
      <c r="N44" s="375"/>
      <c r="O44" s="365"/>
      <c r="P44" s="496"/>
      <c r="Q44" s="377"/>
      <c r="R44" s="377"/>
    </row>
    <row r="45" spans="1:18">
      <c r="A45" s="591"/>
      <c r="B45" s="366">
        <v>0</v>
      </c>
      <c r="C45" s="492"/>
      <c r="D45" s="400"/>
      <c r="E45" s="396"/>
      <c r="F45" s="369" t="s">
        <v>106</v>
      </c>
      <c r="G45" s="491"/>
      <c r="H45" s="370">
        <f t="shared" si="12"/>
        <v>0</v>
      </c>
      <c r="I45" s="493"/>
      <c r="J45" s="372"/>
      <c r="K45" s="373"/>
      <c r="L45" s="374"/>
      <c r="M45" s="375"/>
      <c r="N45" s="375"/>
      <c r="O45" s="365"/>
      <c r="P45" s="496"/>
      <c r="Q45" s="377"/>
      <c r="R45" s="377"/>
    </row>
    <row r="46" spans="1:18">
      <c r="A46" s="591"/>
      <c r="B46" s="366">
        <v>0</v>
      </c>
      <c r="C46" s="492"/>
      <c r="D46" s="400"/>
      <c r="E46" s="402"/>
      <c r="F46" s="369" t="s">
        <v>106</v>
      </c>
      <c r="G46" s="403"/>
      <c r="H46" s="404">
        <f t="shared" si="12"/>
        <v>0</v>
      </c>
      <c r="I46" s="494"/>
      <c r="J46" s="372"/>
      <c r="K46" s="373"/>
      <c r="L46" s="374"/>
      <c r="M46" s="375"/>
      <c r="N46" s="375"/>
      <c r="O46" s="365"/>
      <c r="P46" s="496"/>
      <c r="Q46" s="377"/>
      <c r="R46" s="377"/>
    </row>
    <row r="47" spans="1:18">
      <c r="A47" s="591"/>
      <c r="B47" s="366">
        <v>0</v>
      </c>
      <c r="C47" s="492"/>
      <c r="D47" s="395"/>
      <c r="E47" s="396"/>
      <c r="F47" s="369" t="s">
        <v>106</v>
      </c>
      <c r="G47" s="491"/>
      <c r="H47" s="370">
        <f t="shared" si="12"/>
        <v>0</v>
      </c>
      <c r="I47" s="493"/>
      <c r="J47" s="372"/>
      <c r="K47" s="373"/>
      <c r="L47" s="374"/>
      <c r="M47" s="375"/>
      <c r="N47" s="375"/>
      <c r="O47" s="365"/>
      <c r="P47" s="496"/>
      <c r="Q47" s="377"/>
      <c r="R47" s="377"/>
    </row>
    <row r="48" spans="1:18">
      <c r="A48" s="592"/>
      <c r="B48" s="366">
        <v>0</v>
      </c>
      <c r="C48" s="491"/>
      <c r="D48" s="395"/>
      <c r="E48" s="406"/>
      <c r="F48" s="369" t="s">
        <v>106</v>
      </c>
      <c r="G48" s="491"/>
      <c r="H48" s="370"/>
      <c r="I48" s="493"/>
      <c r="J48" s="372"/>
      <c r="K48" s="373"/>
      <c r="L48" s="374"/>
      <c r="M48" s="375"/>
      <c r="N48" s="375"/>
      <c r="O48" s="365"/>
      <c r="P48" s="496"/>
      <c r="Q48" s="377"/>
      <c r="R48" s="377"/>
    </row>
    <row r="49" spans="1:18">
      <c r="A49" s="592"/>
      <c r="B49" s="366">
        <v>0</v>
      </c>
      <c r="C49" s="491"/>
      <c r="D49" s="394"/>
      <c r="E49" s="407"/>
      <c r="F49" s="369" t="s">
        <v>106</v>
      </c>
      <c r="G49" s="365"/>
      <c r="H49" s="404">
        <f>F49*G49</f>
        <v>0</v>
      </c>
      <c r="I49" s="496"/>
      <c r="J49" s="372"/>
      <c r="K49" s="373"/>
      <c r="L49" s="374"/>
      <c r="M49" s="375"/>
      <c r="N49" s="375"/>
      <c r="O49" s="365"/>
      <c r="P49" s="496"/>
      <c r="Q49" s="377"/>
      <c r="R49" s="377"/>
    </row>
    <row r="50" spans="1:18">
      <c r="A50" s="592"/>
      <c r="B50" s="366">
        <v>0</v>
      </c>
      <c r="C50" s="491"/>
      <c r="D50" s="395"/>
      <c r="E50" s="407"/>
      <c r="F50" s="369" t="s">
        <v>106</v>
      </c>
      <c r="G50" s="365"/>
      <c r="H50" s="404">
        <f>F50*G50</f>
        <v>0</v>
      </c>
      <c r="I50" s="496"/>
      <c r="J50" s="372"/>
      <c r="K50" s="373"/>
      <c r="L50" s="374"/>
      <c r="M50" s="375"/>
      <c r="N50" s="375"/>
      <c r="O50" s="365"/>
      <c r="P50" s="496"/>
      <c r="Q50" s="377"/>
      <c r="R50" s="377"/>
    </row>
    <row r="51" spans="1:18" ht="15.75" customHeight="1">
      <c r="A51" s="593"/>
      <c r="B51" s="366">
        <v>0</v>
      </c>
      <c r="C51" s="6" t="s">
        <v>28</v>
      </c>
      <c r="D51" s="594" t="s">
        <v>569</v>
      </c>
      <c r="E51" s="594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595" t="s">
        <v>579</v>
      </c>
      <c r="B52" s="366" t="s">
        <v>104</v>
      </c>
      <c r="C52" s="492"/>
      <c r="D52" s="395" t="s">
        <v>300</v>
      </c>
      <c r="E52" s="411"/>
      <c r="F52" s="369">
        <v>18.18</v>
      </c>
      <c r="G52" s="491">
        <v>817</v>
      </c>
      <c r="H52" s="370">
        <f>F52*G52</f>
        <v>14853.06</v>
      </c>
      <c r="I52" s="493"/>
      <c r="J52" s="372">
        <v>3</v>
      </c>
      <c r="K52" s="373">
        <f>G52/P52*60</f>
        <v>3063.7499999999959</v>
      </c>
      <c r="L52" s="374">
        <f>K52/J52</f>
        <v>1021.2499999999986</v>
      </c>
      <c r="M52" s="375">
        <v>0.30555555555555552</v>
      </c>
      <c r="N52" s="375">
        <v>0.31666666666666665</v>
      </c>
      <c r="O52" s="373">
        <v>20</v>
      </c>
      <c r="P52" s="496">
        <f>(N52-M52)*24*60</f>
        <v>16.000000000000021</v>
      </c>
      <c r="Q52" s="377"/>
      <c r="R52" s="377"/>
    </row>
    <row r="53" spans="1:18" ht="15.6" customHeight="1">
      <c r="A53" s="596"/>
      <c r="B53" s="366" t="s">
        <v>104</v>
      </c>
      <c r="C53" s="49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493"/>
      <c r="J53" s="372">
        <v>4</v>
      </c>
      <c r="K53" s="373">
        <f t="shared" ref="K53:K59" si="14">G53/P53*60</f>
        <v>3068.5714285714043</v>
      </c>
      <c r="L53" s="374">
        <f t="shared" ref="L53:L59" si="15">K53/J53</f>
        <v>767.14285714285108</v>
      </c>
      <c r="M53" s="375">
        <v>0.33055555555555555</v>
      </c>
      <c r="N53" s="375">
        <v>0.3354166666666667</v>
      </c>
      <c r="O53" s="373">
        <v>20</v>
      </c>
      <c r="P53" s="496">
        <f t="shared" ref="P53:P59" si="16">(N53-M53)*24*60</f>
        <v>7.0000000000000551</v>
      </c>
      <c r="Q53" s="377"/>
      <c r="R53" s="377"/>
    </row>
    <row r="54" spans="1:18" ht="15.6" customHeight="1">
      <c r="A54" s="596"/>
      <c r="B54" s="366" t="s">
        <v>104</v>
      </c>
      <c r="C54" s="49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493"/>
      <c r="J54" s="372">
        <v>4</v>
      </c>
      <c r="K54" s="373">
        <f t="shared" si="14"/>
        <v>3209.9999999999859</v>
      </c>
      <c r="L54" s="374">
        <f t="shared" si="15"/>
        <v>802.49999999999648</v>
      </c>
      <c r="M54" s="375">
        <v>0.34930555555555554</v>
      </c>
      <c r="N54" s="375">
        <v>0.35625000000000001</v>
      </c>
      <c r="O54" s="373">
        <v>20</v>
      </c>
      <c r="P54" s="496">
        <f t="shared" si="16"/>
        <v>10.000000000000044</v>
      </c>
      <c r="Q54" s="377"/>
      <c r="R54" s="377"/>
    </row>
    <row r="55" spans="1:18" ht="15.6" customHeight="1">
      <c r="A55" s="596"/>
      <c r="B55" s="366" t="s">
        <v>104</v>
      </c>
      <c r="C55" s="492"/>
      <c r="D55" s="394" t="s">
        <v>580</v>
      </c>
      <c r="E55" s="396"/>
      <c r="F55" s="369">
        <v>23.72</v>
      </c>
      <c r="G55" s="378">
        <v>224</v>
      </c>
      <c r="H55" s="370">
        <f t="shared" si="13"/>
        <v>5313.28</v>
      </c>
      <c r="I55" s="493"/>
      <c r="J55" s="372">
        <v>4</v>
      </c>
      <c r="K55" s="373">
        <f t="shared" si="14"/>
        <v>2687.9999999999663</v>
      </c>
      <c r="L55" s="374">
        <f t="shared" si="15"/>
        <v>671.99999999999159</v>
      </c>
      <c r="M55" s="375">
        <v>0.37013888888888885</v>
      </c>
      <c r="N55" s="375">
        <v>0.37361111111111112</v>
      </c>
      <c r="O55" s="373">
        <v>20</v>
      </c>
      <c r="P55" s="49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596"/>
      <c r="B56" s="366" t="s">
        <v>104</v>
      </c>
      <c r="C56" s="49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493"/>
      <c r="J56" s="372">
        <v>4</v>
      </c>
      <c r="K56" s="373">
        <f t="shared" si="14"/>
        <v>3136.6666666666501</v>
      </c>
      <c r="L56" s="374">
        <f t="shared" si="15"/>
        <v>784.16666666666254</v>
      </c>
      <c r="M56" s="375">
        <v>0.43263888888888885</v>
      </c>
      <c r="N56" s="375">
        <v>0.44513888888888892</v>
      </c>
      <c r="O56" s="373">
        <v>25</v>
      </c>
      <c r="P56" s="496">
        <f t="shared" si="16"/>
        <v>18.000000000000096</v>
      </c>
      <c r="Q56" s="377"/>
      <c r="R56" s="377"/>
    </row>
    <row r="57" spans="1:18" ht="15.75" customHeight="1">
      <c r="A57" s="596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493"/>
      <c r="J57" s="372">
        <v>3</v>
      </c>
      <c r="K57" s="373">
        <f t="shared" si="14"/>
        <v>3060.00000000003</v>
      </c>
      <c r="L57" s="374">
        <f t="shared" si="15"/>
        <v>1020.00000000001</v>
      </c>
      <c r="M57" s="375">
        <v>0.45902777777777781</v>
      </c>
      <c r="N57" s="375">
        <v>0.4680555555555555</v>
      </c>
      <c r="O57" s="373">
        <v>20</v>
      </c>
      <c r="P57" s="496">
        <f t="shared" si="16"/>
        <v>12.999999999999874</v>
      </c>
      <c r="Q57" s="377"/>
      <c r="R57" s="377"/>
    </row>
    <row r="58" spans="1:18" ht="15.6" customHeight="1">
      <c r="A58" s="596"/>
      <c r="B58" s="366" t="s">
        <v>104</v>
      </c>
      <c r="C58" s="413"/>
      <c r="D58" s="395" t="s">
        <v>582</v>
      </c>
      <c r="E58" s="396"/>
      <c r="F58" s="369">
        <v>17.07</v>
      </c>
      <c r="G58" s="414">
        <v>1116</v>
      </c>
      <c r="H58" s="370">
        <f t="shared" si="13"/>
        <v>19050.12</v>
      </c>
      <c r="I58" s="493"/>
      <c r="J58" s="372">
        <v>3</v>
      </c>
      <c r="K58" s="373">
        <f t="shared" si="14"/>
        <v>3188.5714285714398</v>
      </c>
      <c r="L58" s="374">
        <f t="shared" si="15"/>
        <v>1062.8571428571465</v>
      </c>
      <c r="M58" s="375">
        <v>0.48194444444444445</v>
      </c>
      <c r="N58" s="375">
        <v>0.49652777777777773</v>
      </c>
      <c r="O58" s="373">
        <v>20</v>
      </c>
      <c r="P58" s="496">
        <f t="shared" si="16"/>
        <v>20.999999999999925</v>
      </c>
      <c r="Q58" s="377"/>
      <c r="R58" s="377"/>
    </row>
    <row r="59" spans="1:18" ht="15.6" customHeight="1">
      <c r="A59" s="596"/>
      <c r="B59" s="366" t="s">
        <v>104</v>
      </c>
      <c r="C59" s="492"/>
      <c r="D59" s="395" t="s">
        <v>583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493"/>
      <c r="J59" s="372">
        <v>3</v>
      </c>
      <c r="K59" s="373">
        <f t="shared" si="14"/>
        <v>3184.3902439024382</v>
      </c>
      <c r="L59" s="374">
        <f t="shared" si="15"/>
        <v>1061.4634146341461</v>
      </c>
      <c r="M59" s="375">
        <v>0.51041666666666663</v>
      </c>
      <c r="N59" s="375">
        <v>0.53888888888888886</v>
      </c>
      <c r="O59" s="373">
        <v>20</v>
      </c>
      <c r="P59" s="496">
        <f t="shared" si="16"/>
        <v>41.000000000000014</v>
      </c>
      <c r="Q59" s="377"/>
      <c r="R59" s="377"/>
    </row>
    <row r="60" spans="1:18" ht="15.6" customHeight="1">
      <c r="A60" s="596"/>
      <c r="B60" s="366">
        <v>0</v>
      </c>
      <c r="C60" s="492"/>
      <c r="D60" s="395"/>
      <c r="E60" s="415"/>
      <c r="F60" s="369" t="s">
        <v>106</v>
      </c>
      <c r="G60" s="378"/>
      <c r="H60" s="370">
        <f t="shared" si="13"/>
        <v>0</v>
      </c>
      <c r="I60" s="493"/>
      <c r="J60" s="372"/>
      <c r="K60" s="373"/>
      <c r="L60" s="374"/>
      <c r="M60" s="375"/>
      <c r="N60" s="375"/>
      <c r="O60" s="373"/>
      <c r="P60" s="496"/>
      <c r="Q60" s="377"/>
      <c r="R60" s="377"/>
    </row>
    <row r="61" spans="1:18" ht="15.6" customHeight="1">
      <c r="A61" s="596"/>
      <c r="B61" s="366">
        <v>0</v>
      </c>
      <c r="C61" s="492"/>
      <c r="D61" s="394"/>
      <c r="E61" s="396"/>
      <c r="F61" s="369" t="s">
        <v>106</v>
      </c>
      <c r="G61" s="378"/>
      <c r="H61" s="370">
        <f t="shared" si="13"/>
        <v>0</v>
      </c>
      <c r="I61" s="493"/>
      <c r="J61" s="372"/>
      <c r="K61" s="373"/>
      <c r="L61" s="374"/>
      <c r="M61" s="375"/>
      <c r="N61" s="375"/>
      <c r="O61" s="373"/>
      <c r="P61" s="496"/>
      <c r="Q61" s="377"/>
      <c r="R61" s="377"/>
    </row>
    <row r="62" spans="1:18" ht="15.6" customHeight="1">
      <c r="A62" s="596"/>
      <c r="B62" s="366">
        <v>0</v>
      </c>
      <c r="C62" s="492"/>
      <c r="D62" s="395"/>
      <c r="E62" s="416"/>
      <c r="F62" s="369" t="s">
        <v>106</v>
      </c>
      <c r="G62" s="378"/>
      <c r="H62" s="370">
        <f t="shared" si="13"/>
        <v>0</v>
      </c>
      <c r="I62" s="493"/>
      <c r="J62" s="372"/>
      <c r="K62" s="373"/>
      <c r="L62" s="374"/>
      <c r="M62" s="375"/>
      <c r="N62" s="375"/>
      <c r="O62" s="373"/>
      <c r="P62" s="496"/>
      <c r="Q62" s="377"/>
      <c r="R62" s="377"/>
    </row>
    <row r="63" spans="1:18" ht="15.6" customHeight="1">
      <c r="A63" s="596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94"/>
      <c r="J63" s="372"/>
      <c r="K63" s="373"/>
      <c r="L63" s="374"/>
      <c r="M63" s="375"/>
      <c r="N63" s="375"/>
      <c r="O63" s="365"/>
      <c r="P63" s="496"/>
      <c r="Q63" s="377"/>
      <c r="R63" s="377"/>
    </row>
    <row r="64" spans="1:18" ht="15.75" customHeight="1">
      <c r="A64" s="597"/>
      <c r="B64" s="366">
        <v>0</v>
      </c>
      <c r="C64" s="6" t="s">
        <v>584</v>
      </c>
      <c r="D64" s="594" t="s">
        <v>569</v>
      </c>
      <c r="E64" s="594"/>
      <c r="F64" s="384"/>
      <c r="G64" s="389"/>
      <c r="H64" s="408"/>
      <c r="I64" s="409"/>
      <c r="J64" s="388">
        <f>AVERAGE(J52:J63)</f>
        <v>3.5</v>
      </c>
      <c r="K64" s="388">
        <f>AVERAGE(K52:K63)</f>
        <v>3074.9937209639884</v>
      </c>
      <c r="L64" s="389">
        <f>AVERAGE(L52:L63)</f>
        <v>898.92251016260036</v>
      </c>
      <c r="M64" s="375"/>
      <c r="N64" s="375"/>
      <c r="O64" s="365"/>
      <c r="P64" s="365"/>
      <c r="Q64" s="365"/>
      <c r="R64" s="365"/>
    </row>
    <row r="65" spans="1:18" ht="15.6" customHeight="1">
      <c r="A65" s="598" t="s">
        <v>585</v>
      </c>
      <c r="B65" s="366" t="s">
        <v>104</v>
      </c>
      <c r="C65" s="492"/>
      <c r="D65" s="394" t="s">
        <v>586</v>
      </c>
      <c r="E65" s="411"/>
      <c r="F65" s="369">
        <v>22.281818181818181</v>
      </c>
      <c r="G65" s="491">
        <v>431</v>
      </c>
      <c r="H65" s="370">
        <f>F65*G65</f>
        <v>9603.4636363636364</v>
      </c>
      <c r="I65" s="493"/>
      <c r="J65" s="372">
        <v>4</v>
      </c>
      <c r="K65" s="373">
        <f t="shared" ref="K65:K71" si="17">G65/P65*60</f>
        <v>2873.3333333333312</v>
      </c>
      <c r="L65" s="374">
        <f t="shared" ref="L65:L71" si="18">K65/J65</f>
        <v>718.3333333333328</v>
      </c>
      <c r="M65" s="375">
        <v>0.18055555555555555</v>
      </c>
      <c r="N65" s="375">
        <v>0.18680555555555556</v>
      </c>
      <c r="O65" s="373">
        <v>20</v>
      </c>
      <c r="P65" s="496">
        <f>(N65-M65)*24*60</f>
        <v>9.0000000000000071</v>
      </c>
      <c r="Q65" s="377"/>
      <c r="R65" s="377"/>
    </row>
    <row r="66" spans="1:18" ht="15.6" customHeight="1">
      <c r="A66" s="599"/>
      <c r="B66" s="366" t="s">
        <v>104</v>
      </c>
      <c r="C66" s="49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493"/>
      <c r="J66" s="372">
        <v>3</v>
      </c>
      <c r="K66" s="373">
        <f t="shared" si="17"/>
        <v>3181.1538461538426</v>
      </c>
      <c r="L66" s="374">
        <f t="shared" si="18"/>
        <v>1060.3846153846141</v>
      </c>
      <c r="M66" s="375">
        <v>0.20069444444444443</v>
      </c>
      <c r="N66" s="375">
        <v>0.23680555555555557</v>
      </c>
      <c r="O66" s="373">
        <v>20</v>
      </c>
      <c r="P66" s="496">
        <f t="shared" ref="P66:P71" si="20">(N66-M66)*24*60</f>
        <v>52.000000000000057</v>
      </c>
      <c r="Q66" s="377"/>
      <c r="R66" s="377"/>
    </row>
    <row r="67" spans="1:18" ht="15.6" customHeight="1">
      <c r="A67" s="599"/>
      <c r="B67" s="366" t="s">
        <v>104</v>
      </c>
      <c r="C67" s="49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493"/>
      <c r="J67" s="372">
        <v>3</v>
      </c>
      <c r="K67" s="373">
        <f t="shared" si="17"/>
        <v>3085.3846153846171</v>
      </c>
      <c r="L67" s="374">
        <f t="shared" si="18"/>
        <v>1028.461538461539</v>
      </c>
      <c r="M67" s="375">
        <v>0.25069444444444444</v>
      </c>
      <c r="N67" s="375">
        <v>0.26874999999999999</v>
      </c>
      <c r="O67" s="373">
        <v>20</v>
      </c>
      <c r="P67" s="496">
        <f t="shared" si="20"/>
        <v>25.999999999999986</v>
      </c>
      <c r="Q67" s="377"/>
      <c r="R67" s="377"/>
    </row>
    <row r="68" spans="1:18" ht="15.6" customHeight="1">
      <c r="A68" s="599"/>
      <c r="B68" s="366" t="s">
        <v>104</v>
      </c>
      <c r="C68" s="492"/>
      <c r="D68" s="400" t="s">
        <v>587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493"/>
      <c r="J68" s="372">
        <v>3</v>
      </c>
      <c r="K68" s="373">
        <f t="shared" si="17"/>
        <v>3186.6666666666683</v>
      </c>
      <c r="L68" s="374">
        <f t="shared" si="18"/>
        <v>1062.2222222222229</v>
      </c>
      <c r="M68" s="375">
        <v>0.28263888888888888</v>
      </c>
      <c r="N68" s="375">
        <v>0.30138888888888887</v>
      </c>
      <c r="O68" s="373">
        <v>20</v>
      </c>
      <c r="P68" s="496">
        <f t="shared" si="20"/>
        <v>26.999999999999986</v>
      </c>
      <c r="Q68" s="377">
        <v>0.30138888888888887</v>
      </c>
      <c r="R68" s="377">
        <v>0.3430555555555555</v>
      </c>
    </row>
    <row r="69" spans="1:18" ht="15.6" customHeight="1">
      <c r="A69" s="599"/>
      <c r="B69" s="366" t="s">
        <v>104</v>
      </c>
      <c r="C69" s="492"/>
      <c r="D69" s="394" t="s">
        <v>588</v>
      </c>
      <c r="E69" s="396"/>
      <c r="F69" s="369">
        <v>16.66</v>
      </c>
      <c r="G69" s="378">
        <v>2658</v>
      </c>
      <c r="H69" s="370">
        <f t="shared" si="19"/>
        <v>44282.28</v>
      </c>
      <c r="I69" s="493"/>
      <c r="J69" s="372">
        <v>4</v>
      </c>
      <c r="K69" s="373">
        <f t="shared" si="17"/>
        <v>3189.6000000000013</v>
      </c>
      <c r="L69" s="374">
        <f t="shared" si="18"/>
        <v>797.40000000000032</v>
      </c>
      <c r="M69" s="375">
        <v>0.36041666666666666</v>
      </c>
      <c r="N69" s="375">
        <v>0.39513888888888887</v>
      </c>
      <c r="O69" s="373">
        <v>25</v>
      </c>
      <c r="P69" s="496">
        <f t="shared" si="20"/>
        <v>49.999999999999986</v>
      </c>
      <c r="Q69" s="377"/>
      <c r="R69" s="377"/>
    </row>
    <row r="70" spans="1:18" ht="15.75" customHeight="1">
      <c r="A70" s="599"/>
      <c r="B70" s="366" t="s">
        <v>104</v>
      </c>
      <c r="C70" s="6" t="s">
        <v>31</v>
      </c>
      <c r="D70" s="400" t="s">
        <v>589</v>
      </c>
      <c r="E70" s="396"/>
      <c r="F70" s="369">
        <v>30</v>
      </c>
      <c r="G70" s="378">
        <v>1315</v>
      </c>
      <c r="H70" s="370">
        <f t="shared" si="19"/>
        <v>39450</v>
      </c>
      <c r="I70" s="493"/>
      <c r="J70" s="372">
        <v>4</v>
      </c>
      <c r="K70" s="373">
        <f t="shared" si="17"/>
        <v>3156.0000000000009</v>
      </c>
      <c r="L70" s="374">
        <f t="shared" si="18"/>
        <v>789.00000000000023</v>
      </c>
      <c r="M70" s="375">
        <v>0.40902777777777777</v>
      </c>
      <c r="N70" s="375">
        <v>0.42638888888888887</v>
      </c>
      <c r="O70" s="373">
        <v>20</v>
      </c>
      <c r="P70" s="496">
        <f t="shared" si="20"/>
        <v>24.999999999999993</v>
      </c>
      <c r="Q70" s="377"/>
      <c r="R70" s="377"/>
    </row>
    <row r="71" spans="1:18" ht="15.6" customHeight="1">
      <c r="A71" s="599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493"/>
      <c r="J71" s="372">
        <v>3</v>
      </c>
      <c r="K71" s="373">
        <f t="shared" si="17"/>
        <v>3187.6923076923058</v>
      </c>
      <c r="L71" s="374">
        <f t="shared" si="18"/>
        <v>1062.5641025641019</v>
      </c>
      <c r="M71" s="375">
        <v>0.44027777777777777</v>
      </c>
      <c r="N71" s="375">
        <v>0.49444444444444446</v>
      </c>
      <c r="O71" s="373">
        <v>20</v>
      </c>
      <c r="P71" s="496">
        <f t="shared" si="20"/>
        <v>78.000000000000043</v>
      </c>
      <c r="Q71" s="377"/>
      <c r="R71" s="377"/>
    </row>
    <row r="72" spans="1:18" ht="15.6" customHeight="1">
      <c r="A72" s="599"/>
      <c r="B72" s="366">
        <v>0</v>
      </c>
      <c r="C72" s="492"/>
      <c r="D72" s="400"/>
      <c r="E72" s="396"/>
      <c r="F72" s="369" t="s">
        <v>106</v>
      </c>
      <c r="G72" s="378"/>
      <c r="H72" s="370">
        <f t="shared" si="19"/>
        <v>0</v>
      </c>
      <c r="I72" s="493"/>
      <c r="J72" s="372"/>
      <c r="K72" s="373"/>
      <c r="L72" s="374"/>
      <c r="M72" s="375"/>
      <c r="N72" s="375"/>
      <c r="O72" s="373"/>
      <c r="P72" s="496"/>
      <c r="Q72" s="377"/>
      <c r="R72" s="377"/>
    </row>
    <row r="73" spans="1:18" ht="15.6" customHeight="1">
      <c r="A73" s="599"/>
      <c r="B73" s="366">
        <v>0</v>
      </c>
      <c r="C73" s="492"/>
      <c r="D73" s="400"/>
      <c r="E73" s="396"/>
      <c r="F73" s="369" t="s">
        <v>106</v>
      </c>
      <c r="G73" s="378"/>
      <c r="H73" s="370">
        <f t="shared" si="19"/>
        <v>0</v>
      </c>
      <c r="I73" s="493"/>
      <c r="J73" s="372"/>
      <c r="K73" s="373"/>
      <c r="L73" s="374"/>
      <c r="M73" s="375"/>
      <c r="N73" s="375"/>
      <c r="O73" s="373"/>
      <c r="P73" s="496"/>
      <c r="Q73" s="377"/>
      <c r="R73" s="377"/>
    </row>
    <row r="74" spans="1:18" ht="15.6" customHeight="1">
      <c r="A74" s="599"/>
      <c r="B74" s="366">
        <v>0</v>
      </c>
      <c r="C74" s="492"/>
      <c r="D74" s="400"/>
      <c r="E74" s="396"/>
      <c r="F74" s="369" t="s">
        <v>106</v>
      </c>
      <c r="G74" s="378"/>
      <c r="H74" s="370">
        <f t="shared" si="19"/>
        <v>0</v>
      </c>
      <c r="I74" s="493"/>
      <c r="J74" s="372"/>
      <c r="K74" s="373"/>
      <c r="L74" s="374"/>
      <c r="M74" s="375"/>
      <c r="N74" s="375"/>
      <c r="O74" s="373"/>
      <c r="P74" s="496"/>
      <c r="Q74" s="377"/>
      <c r="R74" s="377"/>
    </row>
    <row r="75" spans="1:18" ht="15.75" customHeight="1">
      <c r="A75" s="600"/>
      <c r="B75" s="366">
        <v>0</v>
      </c>
      <c r="C75" s="6" t="s">
        <v>590</v>
      </c>
      <c r="D75" s="594" t="s">
        <v>569</v>
      </c>
      <c r="E75" s="594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3122.8329670329663</v>
      </c>
      <c r="L75" s="389">
        <f>AVERAGE(L65:L74)</f>
        <v>931.19511599511588</v>
      </c>
      <c r="M75" s="375"/>
      <c r="N75" s="375"/>
      <c r="O75" s="365"/>
      <c r="P75" s="365"/>
      <c r="Q75" s="365"/>
      <c r="R75" s="365"/>
    </row>
    <row r="76" spans="1:18" ht="16.2" customHeight="1">
      <c r="A76" s="584" t="s">
        <v>319</v>
      </c>
      <c r="B76" s="366">
        <v>0</v>
      </c>
      <c r="C76" s="383"/>
      <c r="D76" s="585"/>
      <c r="E76" s="586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96"/>
      <c r="Q76" s="377"/>
      <c r="R76" s="377"/>
    </row>
    <row r="77" spans="1:18">
      <c r="A77" s="584"/>
      <c r="B77" s="366">
        <v>0</v>
      </c>
      <c r="C77" s="383"/>
      <c r="D77" s="585"/>
      <c r="E77" s="586"/>
      <c r="F77" s="369" t="s">
        <v>106</v>
      </c>
      <c r="G77" s="491"/>
      <c r="H77" s="370">
        <f t="shared" si="13"/>
        <v>0</v>
      </c>
      <c r="I77" s="493"/>
      <c r="J77" s="372"/>
      <c r="K77" s="373"/>
      <c r="L77" s="374"/>
      <c r="M77" s="375"/>
      <c r="N77" s="375"/>
      <c r="O77" s="365"/>
      <c r="P77" s="496"/>
      <c r="Q77" s="365"/>
      <c r="R77" s="365"/>
    </row>
    <row r="78" spans="1:18">
      <c r="A78" s="584"/>
      <c r="B78" s="366">
        <v>0</v>
      </c>
      <c r="C78" s="383"/>
      <c r="D78" s="497"/>
      <c r="E78" s="497"/>
      <c r="F78" s="369" t="s">
        <v>106</v>
      </c>
      <c r="G78" s="397"/>
      <c r="H78" s="370">
        <f t="shared" si="13"/>
        <v>0</v>
      </c>
      <c r="I78" s="493"/>
      <c r="J78" s="372"/>
      <c r="K78" s="373"/>
      <c r="L78" s="374"/>
      <c r="M78" s="375"/>
      <c r="N78" s="375"/>
      <c r="O78" s="365"/>
      <c r="P78" s="496"/>
      <c r="Q78" s="365"/>
      <c r="R78" s="365"/>
    </row>
    <row r="79" spans="1:18">
      <c r="A79" s="584"/>
      <c r="B79" s="366">
        <v>0</v>
      </c>
      <c r="C79" s="383"/>
      <c r="D79" s="497"/>
      <c r="E79" s="497"/>
      <c r="F79" s="369" t="s">
        <v>106</v>
      </c>
      <c r="G79" s="397"/>
      <c r="H79" s="370">
        <f t="shared" si="13"/>
        <v>0</v>
      </c>
      <c r="I79" s="493"/>
      <c r="J79" s="372"/>
      <c r="K79" s="373"/>
      <c r="L79" s="374"/>
      <c r="M79" s="375"/>
      <c r="N79" s="375"/>
      <c r="O79" s="365"/>
      <c r="P79" s="496"/>
      <c r="Q79" s="365"/>
      <c r="R79" s="365"/>
    </row>
    <row r="80" spans="1:18">
      <c r="A80" s="584"/>
      <c r="B80" s="366">
        <v>0</v>
      </c>
      <c r="C80" s="383"/>
      <c r="D80" s="497"/>
      <c r="E80" s="497"/>
      <c r="F80" s="369" t="s">
        <v>106</v>
      </c>
      <c r="G80" s="397"/>
      <c r="H80" s="370">
        <f t="shared" si="13"/>
        <v>0</v>
      </c>
      <c r="I80" s="493"/>
      <c r="J80" s="372"/>
      <c r="K80" s="373"/>
      <c r="L80" s="374"/>
      <c r="M80" s="375"/>
      <c r="N80" s="375"/>
      <c r="O80" s="365"/>
      <c r="P80" s="496"/>
      <c r="Q80" s="365"/>
      <c r="R80" s="365"/>
    </row>
    <row r="81" spans="1:18" ht="15.75" customHeight="1">
      <c r="A81" s="584"/>
      <c r="B81" s="366">
        <v>0</v>
      </c>
      <c r="C81" s="6" t="s">
        <v>31</v>
      </c>
      <c r="D81" s="580" t="s">
        <v>569</v>
      </c>
      <c r="E81" s="580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587" t="s">
        <v>591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93"/>
      <c r="J82" s="372"/>
      <c r="K82" s="373"/>
      <c r="L82" s="374"/>
      <c r="M82" s="375"/>
      <c r="N82" s="375"/>
      <c r="O82" s="373"/>
      <c r="P82" s="496"/>
      <c r="Q82" s="377"/>
      <c r="R82" s="377"/>
    </row>
    <row r="83" spans="1:18">
      <c r="A83" s="588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93"/>
      <c r="J83" s="372"/>
      <c r="K83" s="373"/>
      <c r="L83" s="374"/>
      <c r="M83" s="375"/>
      <c r="N83" s="375"/>
      <c r="O83" s="373"/>
      <c r="P83" s="496"/>
      <c r="Q83" s="377"/>
      <c r="R83" s="377"/>
    </row>
    <row r="84" spans="1:18">
      <c r="A84" s="588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588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588"/>
      <c r="B86" s="366">
        <v>0</v>
      </c>
      <c r="C86" s="393"/>
      <c r="D86" s="395"/>
      <c r="E86" s="421"/>
      <c r="F86" s="369" t="s">
        <v>106</v>
      </c>
      <c r="G86" s="491"/>
      <c r="H86" s="423">
        <f t="shared" si="21"/>
        <v>0</v>
      </c>
      <c r="I86" s="4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588"/>
      <c r="B87" s="366"/>
      <c r="C87" s="393"/>
      <c r="D87" s="395"/>
      <c r="E87" s="421"/>
      <c r="F87" s="369" t="s">
        <v>106</v>
      </c>
      <c r="G87" s="491"/>
      <c r="H87" s="423">
        <f t="shared" si="21"/>
        <v>0</v>
      </c>
      <c r="I87" s="4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588"/>
      <c r="B88" s="366">
        <v>0</v>
      </c>
      <c r="C88" s="393"/>
      <c r="D88" s="395"/>
      <c r="E88" s="421"/>
      <c r="F88" s="369" t="s">
        <v>106</v>
      </c>
      <c r="G88" s="491"/>
      <c r="H88" s="423">
        <f t="shared" si="21"/>
        <v>0</v>
      </c>
      <c r="I88" s="4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588"/>
      <c r="B89" s="366">
        <v>0</v>
      </c>
      <c r="C89" s="393"/>
      <c r="D89" s="395"/>
      <c r="E89" s="421"/>
      <c r="F89" s="369" t="s">
        <v>106</v>
      </c>
      <c r="G89" s="491"/>
      <c r="H89" s="423">
        <f t="shared" si="21"/>
        <v>0</v>
      </c>
      <c r="I89" s="4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588"/>
      <c r="B90" s="366">
        <v>0</v>
      </c>
      <c r="C90" s="393"/>
      <c r="D90" s="395"/>
      <c r="E90" s="421"/>
      <c r="F90" s="369" t="s">
        <v>106</v>
      </c>
      <c r="G90" s="491"/>
      <c r="H90" s="423">
        <f t="shared" si="21"/>
        <v>0</v>
      </c>
      <c r="I90" s="4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588"/>
      <c r="B91" s="366">
        <v>0</v>
      </c>
      <c r="C91" s="6" t="s">
        <v>575</v>
      </c>
      <c r="D91" s="589" t="s">
        <v>569</v>
      </c>
      <c r="E91" s="589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574" t="s">
        <v>592</v>
      </c>
      <c r="B92" s="366" t="s">
        <v>104</v>
      </c>
      <c r="C92" s="383"/>
      <c r="D92" s="427" t="s">
        <v>593</v>
      </c>
      <c r="E92" s="421"/>
      <c r="F92" s="369">
        <v>24.54</v>
      </c>
      <c r="G92" s="491">
        <v>1296</v>
      </c>
      <c r="H92" s="370">
        <f t="shared" ref="H92:H99" si="22">F92*G92</f>
        <v>31803.84</v>
      </c>
      <c r="I92" s="493"/>
      <c r="J92" s="372">
        <v>3</v>
      </c>
      <c r="K92" s="373">
        <f>G92/P92*60</f>
        <v>2221.7142857142835</v>
      </c>
      <c r="L92" s="374">
        <f t="shared" ref="L92:L94" si="23">K92/J92</f>
        <v>740.57142857142787</v>
      </c>
      <c r="M92" s="375">
        <v>0.72222222222222221</v>
      </c>
      <c r="N92" s="375">
        <v>0.74652777777777779</v>
      </c>
      <c r="O92" s="365">
        <v>20</v>
      </c>
      <c r="P92" s="496">
        <f>(N92-M92)*24*60</f>
        <v>35.000000000000036</v>
      </c>
      <c r="Q92" s="377"/>
      <c r="R92" s="377"/>
    </row>
    <row r="93" spans="1:18">
      <c r="A93" s="575"/>
      <c r="B93" s="366" t="s">
        <v>104</v>
      </c>
      <c r="C93" s="383"/>
      <c r="D93" s="395" t="s">
        <v>594</v>
      </c>
      <c r="E93" s="415"/>
      <c r="F93" s="369">
        <v>23.27</v>
      </c>
      <c r="G93" s="378">
        <v>572</v>
      </c>
      <c r="H93" s="370">
        <f t="shared" si="22"/>
        <v>13310.44</v>
      </c>
      <c r="I93" s="493"/>
      <c r="J93" s="372">
        <v>4</v>
      </c>
      <c r="K93" s="373">
        <f t="shared" ref="K93:K94" si="24">G93/P93*60</f>
        <v>2287.9999999999836</v>
      </c>
      <c r="L93" s="374">
        <f t="shared" si="23"/>
        <v>571.99999999999591</v>
      </c>
      <c r="M93" s="375">
        <v>0.76041666666666663</v>
      </c>
      <c r="N93" s="375">
        <v>0.77083333333333337</v>
      </c>
      <c r="O93" s="365">
        <v>20</v>
      </c>
      <c r="P93" s="496">
        <f>(N93-M93)*24*60</f>
        <v>15.000000000000107</v>
      </c>
      <c r="Q93" s="377"/>
      <c r="R93" s="377"/>
    </row>
    <row r="94" spans="1:18">
      <c r="A94" s="575"/>
      <c r="B94" s="366" t="s">
        <v>104</v>
      </c>
      <c r="C94" s="383"/>
      <c r="D94" s="395" t="s">
        <v>595</v>
      </c>
      <c r="E94" s="415"/>
      <c r="F94" s="369">
        <v>24.33</v>
      </c>
      <c r="G94" s="378">
        <v>1186</v>
      </c>
      <c r="H94" s="370">
        <f t="shared" si="22"/>
        <v>28855.379999999997</v>
      </c>
      <c r="I94" s="493"/>
      <c r="J94" s="372">
        <v>4</v>
      </c>
      <c r="K94" s="373">
        <f t="shared" si="24"/>
        <v>2033.1428571428551</v>
      </c>
      <c r="L94" s="374">
        <f t="shared" si="23"/>
        <v>508.28571428571377</v>
      </c>
      <c r="M94" s="375">
        <v>0.78472222222222221</v>
      </c>
      <c r="N94" s="375">
        <v>0.80902777777777779</v>
      </c>
      <c r="O94" s="365">
        <v>20</v>
      </c>
      <c r="P94" s="496">
        <f>(N94-M94)*24*60</f>
        <v>35.000000000000036</v>
      </c>
      <c r="Q94" s="377"/>
      <c r="R94" s="377"/>
    </row>
    <row r="95" spans="1:18">
      <c r="A95" s="576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93"/>
      <c r="J95" s="372"/>
      <c r="K95" s="373"/>
      <c r="L95" s="374"/>
      <c r="M95" s="375"/>
      <c r="N95" s="375"/>
      <c r="O95" s="365"/>
      <c r="P95" s="496"/>
      <c r="Q95" s="377"/>
      <c r="R95" s="377"/>
    </row>
    <row r="96" spans="1:18">
      <c r="A96" s="576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93"/>
      <c r="J96" s="372"/>
      <c r="K96" s="373"/>
      <c r="L96" s="374"/>
      <c r="M96" s="375"/>
      <c r="N96" s="375"/>
      <c r="O96" s="365"/>
      <c r="P96" s="496"/>
      <c r="Q96" s="377"/>
      <c r="R96" s="377"/>
    </row>
    <row r="97" spans="1:18">
      <c r="A97" s="576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93"/>
      <c r="J97" s="372"/>
      <c r="K97" s="373"/>
      <c r="L97" s="374"/>
      <c r="M97" s="375"/>
      <c r="N97" s="375"/>
      <c r="O97" s="365"/>
      <c r="P97" s="496"/>
      <c r="Q97" s="377"/>
      <c r="R97" s="377"/>
    </row>
    <row r="98" spans="1:18">
      <c r="A98" s="576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93"/>
      <c r="J98" s="372"/>
      <c r="K98" s="373"/>
      <c r="L98" s="374"/>
      <c r="M98" s="375"/>
      <c r="N98" s="375"/>
      <c r="O98" s="365"/>
      <c r="P98" s="496"/>
      <c r="Q98" s="377"/>
      <c r="R98" s="377"/>
    </row>
    <row r="99" spans="1:18">
      <c r="A99" s="576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93"/>
      <c r="J99" s="372"/>
      <c r="K99" s="373"/>
      <c r="L99" s="374"/>
      <c r="M99" s="375"/>
      <c r="N99" s="375"/>
      <c r="O99" s="365"/>
      <c r="P99" s="496"/>
      <c r="Q99" s="377"/>
      <c r="R99" s="377"/>
    </row>
    <row r="100" spans="1:18" ht="15.75" customHeight="1">
      <c r="A100" s="576"/>
      <c r="B100" s="366">
        <v>0</v>
      </c>
      <c r="C100" s="6" t="s">
        <v>596</v>
      </c>
      <c r="D100" s="577" t="s">
        <v>569</v>
      </c>
      <c r="E100" s="578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2180.9523809523739</v>
      </c>
      <c r="L100" s="389">
        <f>AVERAGE(L92:L99)</f>
        <v>606.95238095237926</v>
      </c>
      <c r="M100" s="375"/>
      <c r="N100" s="375"/>
      <c r="O100" s="373"/>
      <c r="P100" s="373"/>
      <c r="Q100" s="374"/>
      <c r="R100" s="374"/>
    </row>
    <row r="101" spans="1:18" ht="16.2" customHeight="1">
      <c r="A101" s="579" t="s">
        <v>597</v>
      </c>
      <c r="B101" s="366" t="s">
        <v>104</v>
      </c>
      <c r="C101" s="6"/>
      <c r="D101" s="415" t="s">
        <v>329</v>
      </c>
      <c r="E101" s="429"/>
      <c r="F101" s="369">
        <v>25.03</v>
      </c>
      <c r="G101" s="491">
        <v>754</v>
      </c>
      <c r="H101" s="370">
        <f t="shared" ref="H101:H110" si="25">F101*G101</f>
        <v>18872.620000000003</v>
      </c>
      <c r="I101" s="493"/>
      <c r="J101" s="372">
        <v>4</v>
      </c>
      <c r="K101" s="373">
        <f>G101/P101*60</f>
        <v>3016.0000000000105</v>
      </c>
      <c r="L101" s="374">
        <f t="shared" ref="L101:L107" si="26">K101/J101</f>
        <v>754.00000000000261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579"/>
      <c r="B102" s="366" t="s">
        <v>104</v>
      </c>
      <c r="C102" s="6"/>
      <c r="D102" s="400" t="s">
        <v>330</v>
      </c>
      <c r="E102" s="429"/>
      <c r="F102" s="369">
        <v>28.57</v>
      </c>
      <c r="G102" s="491">
        <v>2979</v>
      </c>
      <c r="H102" s="370">
        <f t="shared" si="25"/>
        <v>85110.03</v>
      </c>
      <c r="I102" s="493"/>
      <c r="J102" s="372">
        <v>3</v>
      </c>
      <c r="K102" s="373">
        <f t="shared" ref="K102:K107" si="28">G102/P102*60</f>
        <v>2978.999999999995</v>
      </c>
      <c r="L102" s="374">
        <f t="shared" si="26"/>
        <v>992.99999999999829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579"/>
      <c r="B103" s="366">
        <v>0</v>
      </c>
      <c r="C103" s="6"/>
      <c r="D103" s="395" t="s">
        <v>598</v>
      </c>
      <c r="E103" s="395"/>
      <c r="F103" s="369" t="s">
        <v>106</v>
      </c>
      <c r="G103" s="491">
        <v>269</v>
      </c>
      <c r="H103" s="370">
        <f t="shared" si="25"/>
        <v>0</v>
      </c>
      <c r="I103" s="493"/>
      <c r="J103" s="372">
        <v>5</v>
      </c>
      <c r="K103" s="373">
        <f t="shared" si="28"/>
        <v>3228.0000000001146</v>
      </c>
      <c r="L103" s="374">
        <f t="shared" si="26"/>
        <v>645.60000000002287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579"/>
      <c r="B104" s="366">
        <v>0</v>
      </c>
      <c r="C104" s="6"/>
      <c r="D104" s="395" t="s">
        <v>599</v>
      </c>
      <c r="E104" s="415"/>
      <c r="F104" s="369" t="s">
        <v>106</v>
      </c>
      <c r="G104" s="491">
        <v>429</v>
      </c>
      <c r="H104" s="370">
        <f t="shared" si="25"/>
        <v>0</v>
      </c>
      <c r="I104" s="493"/>
      <c r="J104" s="372">
        <v>5</v>
      </c>
      <c r="K104" s="373">
        <f t="shared" si="28"/>
        <v>2574.00000000005</v>
      </c>
      <c r="L104" s="374">
        <f t="shared" si="26"/>
        <v>514.80000000000996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579"/>
      <c r="B105" s="366" t="s">
        <v>104</v>
      </c>
      <c r="C105" s="6"/>
      <c r="D105" s="395" t="s">
        <v>333</v>
      </c>
      <c r="E105" s="400"/>
      <c r="F105" s="369">
        <v>24.82</v>
      </c>
      <c r="G105" s="491">
        <v>1523</v>
      </c>
      <c r="H105" s="370">
        <f t="shared" si="25"/>
        <v>37800.86</v>
      </c>
      <c r="I105" s="493"/>
      <c r="J105" s="372">
        <v>4</v>
      </c>
      <c r="K105" s="373">
        <f t="shared" si="28"/>
        <v>3046.0000000000109</v>
      </c>
      <c r="L105" s="374">
        <f t="shared" si="26"/>
        <v>761.50000000000273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579"/>
      <c r="B106" s="366" t="s">
        <v>104</v>
      </c>
      <c r="C106" s="6"/>
      <c r="D106" s="395" t="s">
        <v>600</v>
      </c>
      <c r="E106" s="429"/>
      <c r="F106" s="369">
        <v>30</v>
      </c>
      <c r="G106" s="378">
        <v>1490</v>
      </c>
      <c r="H106" s="370">
        <f t="shared" si="25"/>
        <v>44700</v>
      </c>
      <c r="I106" s="493"/>
      <c r="J106" s="372">
        <v>3</v>
      </c>
      <c r="K106" s="373">
        <f t="shared" si="28"/>
        <v>2979.9999999999945</v>
      </c>
      <c r="L106" s="374">
        <f t="shared" si="26"/>
        <v>993.33333333333155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579"/>
      <c r="B107" s="366" t="s">
        <v>104</v>
      </c>
      <c r="C107" s="6"/>
      <c r="D107" s="395" t="s">
        <v>335</v>
      </c>
      <c r="E107" s="400"/>
      <c r="F107" s="369">
        <v>14.285714285714283</v>
      </c>
      <c r="G107" s="491">
        <v>8470</v>
      </c>
      <c r="H107" s="370">
        <f t="shared" si="25"/>
        <v>120999.99999999997</v>
      </c>
      <c r="I107" s="493"/>
      <c r="J107" s="372">
        <v>3</v>
      </c>
      <c r="K107" s="373">
        <f t="shared" si="28"/>
        <v>3176.2500000462205</v>
      </c>
      <c r="L107" s="374">
        <f t="shared" si="26"/>
        <v>1058.7500000154068</v>
      </c>
      <c r="M107" s="375">
        <v>46238.951388888891</v>
      </c>
      <c r="N107" s="375">
        <v>46239.0625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579"/>
      <c r="B108" s="366">
        <v>0</v>
      </c>
      <c r="C108" s="6"/>
      <c r="D108" s="395"/>
      <c r="E108" s="400"/>
      <c r="F108" s="369" t="s">
        <v>106</v>
      </c>
      <c r="G108" s="491"/>
      <c r="H108" s="370">
        <f t="shared" si="25"/>
        <v>0</v>
      </c>
      <c r="I108" s="4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579"/>
      <c r="B109" s="366">
        <v>0</v>
      </c>
      <c r="C109" s="383"/>
      <c r="D109" s="400"/>
      <c r="E109" s="400"/>
      <c r="F109" s="369" t="s">
        <v>106</v>
      </c>
      <c r="G109" s="491"/>
      <c r="H109" s="370">
        <f t="shared" si="25"/>
        <v>0</v>
      </c>
      <c r="I109" s="4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579"/>
      <c r="B110" s="366">
        <v>0</v>
      </c>
      <c r="C110" s="383"/>
      <c r="D110" s="395"/>
      <c r="E110" s="400"/>
      <c r="F110" s="369" t="s">
        <v>106</v>
      </c>
      <c r="G110" s="491"/>
      <c r="H110" s="370">
        <f t="shared" si="25"/>
        <v>0</v>
      </c>
      <c r="I110" s="4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579"/>
      <c r="B111" s="366">
        <v>0</v>
      </c>
      <c r="C111" s="6" t="s">
        <v>584</v>
      </c>
      <c r="D111" s="580" t="s">
        <v>569</v>
      </c>
      <c r="E111" s="58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2999.8928571494848</v>
      </c>
      <c r="L111" s="389">
        <f>AVERAGE(L101:L110)</f>
        <v>817.28333333553928</v>
      </c>
      <c r="M111" s="375"/>
      <c r="N111" s="375"/>
      <c r="O111" s="373"/>
      <c r="P111" s="373"/>
      <c r="Q111" s="374"/>
      <c r="R111" s="365"/>
    </row>
    <row r="112" spans="1:18" ht="16.2" customHeight="1">
      <c r="A112" s="582" t="s">
        <v>601</v>
      </c>
      <c r="B112" s="366" t="s">
        <v>104</v>
      </c>
      <c r="C112" s="6"/>
      <c r="D112" s="400" t="s">
        <v>338</v>
      </c>
      <c r="E112" s="432"/>
      <c r="F112" s="369">
        <v>16.7</v>
      </c>
      <c r="G112" s="491">
        <v>1056</v>
      </c>
      <c r="H112" s="422">
        <f t="shared" si="13"/>
        <v>17635.2</v>
      </c>
      <c r="I112" s="493"/>
      <c r="J112" s="372">
        <v>3</v>
      </c>
      <c r="K112" s="373">
        <f t="shared" ref="K112:K118" si="29">G112/P112*60</f>
        <v>3167.9999999999859</v>
      </c>
      <c r="L112" s="374">
        <f t="shared" ref="L112:L118" si="30">K112/J112</f>
        <v>1055.9999999999952</v>
      </c>
      <c r="M112" s="375">
        <v>0.72222222222222221</v>
      </c>
      <c r="N112" s="375">
        <v>0.73611111111111116</v>
      </c>
      <c r="O112" s="365">
        <v>20</v>
      </c>
      <c r="P112" s="496">
        <f t="shared" ref="P112:P118" si="31">(N112-M112)*24*60</f>
        <v>20.000000000000089</v>
      </c>
      <c r="Q112" s="365"/>
      <c r="R112" s="365"/>
    </row>
    <row r="113" spans="1:18">
      <c r="A113" s="582"/>
      <c r="B113" s="366" t="s">
        <v>104</v>
      </c>
      <c r="C113" s="393"/>
      <c r="D113" s="497" t="s">
        <v>339</v>
      </c>
      <c r="E113" s="497"/>
      <c r="F113" s="369">
        <v>18.18</v>
      </c>
      <c r="G113" s="491">
        <v>1145</v>
      </c>
      <c r="H113" s="422">
        <f t="shared" si="13"/>
        <v>20816.099999999999</v>
      </c>
      <c r="I113" s="493"/>
      <c r="J113" s="372">
        <v>4</v>
      </c>
      <c r="K113" s="373">
        <f t="shared" si="29"/>
        <v>2747.9999999999923</v>
      </c>
      <c r="L113" s="374">
        <f t="shared" si="30"/>
        <v>686.99999999999807</v>
      </c>
      <c r="M113" s="375">
        <v>0.75</v>
      </c>
      <c r="N113" s="375">
        <v>0.76736111111111116</v>
      </c>
      <c r="O113" s="365">
        <v>20</v>
      </c>
      <c r="P113" s="496">
        <f t="shared" si="31"/>
        <v>25.000000000000071</v>
      </c>
      <c r="Q113" s="377"/>
      <c r="R113" s="377"/>
    </row>
    <row r="114" spans="1:18">
      <c r="A114" s="582"/>
      <c r="B114" s="366" t="s">
        <v>104</v>
      </c>
      <c r="C114" s="393"/>
      <c r="D114" s="497" t="s">
        <v>602</v>
      </c>
      <c r="E114" s="395"/>
      <c r="F114" s="369">
        <v>18.18</v>
      </c>
      <c r="G114" s="491">
        <v>1231</v>
      </c>
      <c r="H114" s="422">
        <f t="shared" si="13"/>
        <v>22379.579999999998</v>
      </c>
      <c r="I114" s="493"/>
      <c r="J114" s="372">
        <v>3</v>
      </c>
      <c r="K114" s="373">
        <f t="shared" si="29"/>
        <v>2954.3999999999915</v>
      </c>
      <c r="L114" s="374">
        <f t="shared" si="30"/>
        <v>984.79999999999711</v>
      </c>
      <c r="M114" s="375">
        <v>0.78125</v>
      </c>
      <c r="N114" s="375">
        <v>0.79861111111111116</v>
      </c>
      <c r="O114" s="365">
        <v>20</v>
      </c>
      <c r="P114" s="496">
        <f t="shared" si="31"/>
        <v>25.000000000000071</v>
      </c>
      <c r="Q114" s="377"/>
      <c r="R114" s="377"/>
    </row>
    <row r="115" spans="1:18">
      <c r="A115" s="582"/>
      <c r="B115" s="366" t="s">
        <v>104</v>
      </c>
      <c r="C115" s="393"/>
      <c r="D115" s="395" t="s">
        <v>341</v>
      </c>
      <c r="E115" s="415"/>
      <c r="F115" s="369">
        <v>16.66</v>
      </c>
      <c r="G115" s="491">
        <v>5525</v>
      </c>
      <c r="H115" s="422">
        <f t="shared" si="13"/>
        <v>92046.5</v>
      </c>
      <c r="I115" s="493"/>
      <c r="J115" s="372">
        <v>4</v>
      </c>
      <c r="K115" s="373">
        <f t="shared" si="29"/>
        <v>3013.6363636363658</v>
      </c>
      <c r="L115" s="374">
        <f t="shared" si="30"/>
        <v>753.40909090909145</v>
      </c>
      <c r="M115" s="375">
        <v>0.8125</v>
      </c>
      <c r="N115" s="375">
        <v>0.88888888888888884</v>
      </c>
      <c r="O115" s="365">
        <v>20</v>
      </c>
      <c r="P115" s="496">
        <f t="shared" si="31"/>
        <v>109.99999999999993</v>
      </c>
      <c r="Q115" s="377"/>
      <c r="R115" s="377"/>
    </row>
    <row r="116" spans="1:18">
      <c r="A116" s="58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91">
        <v>1008</v>
      </c>
      <c r="H116" s="422">
        <f t="shared" si="13"/>
        <v>22460.072727272727</v>
      </c>
      <c r="I116" s="493"/>
      <c r="J116" s="372">
        <v>4</v>
      </c>
      <c r="K116" s="373">
        <f t="shared" si="29"/>
        <v>3024.0000000000105</v>
      </c>
      <c r="L116" s="374">
        <f t="shared" si="30"/>
        <v>756.00000000000261</v>
      </c>
      <c r="M116" s="375">
        <v>0.90277777777777779</v>
      </c>
      <c r="N116" s="424">
        <v>0.91666666666666663</v>
      </c>
      <c r="O116" s="365">
        <v>20</v>
      </c>
      <c r="P116" s="49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58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91">
        <v>3722</v>
      </c>
      <c r="H117" s="422">
        <f t="shared" ref="H117:H123" si="32">F117*G117</f>
        <v>66589.963636363638</v>
      </c>
      <c r="I117" s="493"/>
      <c r="J117" s="372">
        <v>3</v>
      </c>
      <c r="K117" s="373">
        <f t="shared" si="29"/>
        <v>2977.5999998613447</v>
      </c>
      <c r="L117" s="374">
        <f t="shared" si="30"/>
        <v>992.53333328711494</v>
      </c>
      <c r="M117" s="375">
        <v>46238.972222222219</v>
      </c>
      <c r="N117" s="375">
        <v>46239.024305555555</v>
      </c>
      <c r="O117" s="373">
        <v>20</v>
      </c>
      <c r="P117" s="496">
        <f t="shared" si="31"/>
        <v>75.00000000349246</v>
      </c>
      <c r="Q117" s="377"/>
      <c r="R117" s="377"/>
    </row>
    <row r="118" spans="1:18">
      <c r="A118" s="582"/>
      <c r="B118" s="366" t="s">
        <v>104</v>
      </c>
      <c r="C118" s="393"/>
      <c r="D118" s="395" t="s">
        <v>603</v>
      </c>
      <c r="E118" s="412"/>
      <c r="F118" s="369">
        <v>14.03</v>
      </c>
      <c r="G118" s="491">
        <v>6299</v>
      </c>
      <c r="H118" s="422">
        <f t="shared" si="32"/>
        <v>88374.97</v>
      </c>
      <c r="I118" s="493"/>
      <c r="J118" s="372">
        <v>3</v>
      </c>
      <c r="K118" s="373">
        <f t="shared" si="29"/>
        <v>3023.52</v>
      </c>
      <c r="L118" s="374">
        <f t="shared" si="30"/>
        <v>1007.84</v>
      </c>
      <c r="M118" s="375">
        <v>3.8194444444444441E-2</v>
      </c>
      <c r="N118" s="375">
        <v>0.125</v>
      </c>
      <c r="O118" s="373">
        <v>20</v>
      </c>
      <c r="P118" s="496">
        <f t="shared" si="31"/>
        <v>124.99999999999999</v>
      </c>
      <c r="Q118" s="377"/>
      <c r="R118" s="377"/>
    </row>
    <row r="119" spans="1:18">
      <c r="A119" s="582"/>
      <c r="B119" s="366">
        <v>0</v>
      </c>
      <c r="C119" s="393"/>
      <c r="D119" s="400"/>
      <c r="E119" s="412"/>
      <c r="F119" s="369" t="s">
        <v>106</v>
      </c>
      <c r="G119" s="491"/>
      <c r="H119" s="422">
        <f t="shared" si="32"/>
        <v>0</v>
      </c>
      <c r="I119" s="493"/>
      <c r="J119" s="372"/>
      <c r="K119" s="373"/>
      <c r="L119" s="374"/>
      <c r="M119" s="375"/>
      <c r="N119" s="375"/>
      <c r="O119" s="365"/>
      <c r="P119" s="496"/>
      <c r="Q119" s="377"/>
      <c r="R119" s="377"/>
    </row>
    <row r="120" spans="1:18">
      <c r="A120" s="582"/>
      <c r="B120" s="366">
        <v>0</v>
      </c>
      <c r="C120" s="393"/>
      <c r="D120" s="400"/>
      <c r="E120" s="412"/>
      <c r="F120" s="369" t="s">
        <v>106</v>
      </c>
      <c r="G120" s="491"/>
      <c r="H120" s="422">
        <f t="shared" si="32"/>
        <v>0</v>
      </c>
      <c r="I120" s="493"/>
      <c r="J120" s="372"/>
      <c r="K120" s="373"/>
      <c r="L120" s="374"/>
      <c r="M120" s="375"/>
      <c r="N120" s="375"/>
      <c r="O120" s="365"/>
      <c r="P120" s="496"/>
      <c r="Q120" s="377"/>
      <c r="R120" s="377"/>
    </row>
    <row r="121" spans="1:18">
      <c r="A121" s="582"/>
      <c r="B121" s="366">
        <v>0</v>
      </c>
      <c r="C121" s="393"/>
      <c r="D121" s="400"/>
      <c r="E121" s="412"/>
      <c r="F121" s="369" t="s">
        <v>106</v>
      </c>
      <c r="G121" s="491"/>
      <c r="H121" s="422">
        <f t="shared" si="32"/>
        <v>0</v>
      </c>
      <c r="I121" s="493"/>
      <c r="J121" s="372"/>
      <c r="K121" s="373"/>
      <c r="L121" s="374"/>
      <c r="M121" s="375"/>
      <c r="N121" s="375"/>
      <c r="O121" s="365"/>
      <c r="P121" s="496"/>
      <c r="Q121" s="377"/>
      <c r="R121" s="377"/>
    </row>
    <row r="122" spans="1:18" ht="15.6" customHeight="1">
      <c r="A122" s="582"/>
      <c r="B122" s="366">
        <v>0</v>
      </c>
      <c r="C122" s="393"/>
      <c r="D122" s="400"/>
      <c r="E122" s="412"/>
      <c r="F122" s="369" t="s">
        <v>106</v>
      </c>
      <c r="G122" s="491"/>
      <c r="H122" s="422">
        <f t="shared" si="32"/>
        <v>0</v>
      </c>
      <c r="I122" s="493"/>
      <c r="J122" s="372"/>
      <c r="K122" s="373"/>
      <c r="L122" s="374"/>
      <c r="M122" s="375"/>
      <c r="N122" s="375"/>
      <c r="O122" s="365"/>
      <c r="P122" s="496"/>
      <c r="Q122" s="377"/>
      <c r="R122" s="377"/>
    </row>
    <row r="123" spans="1:18">
      <c r="A123" s="582"/>
      <c r="B123" s="366">
        <v>0</v>
      </c>
      <c r="C123" s="393"/>
      <c r="D123" s="400"/>
      <c r="E123" s="412"/>
      <c r="F123" s="369" t="s">
        <v>106</v>
      </c>
      <c r="G123" s="491"/>
      <c r="H123" s="422">
        <f t="shared" si="32"/>
        <v>0</v>
      </c>
      <c r="I123" s="493"/>
      <c r="J123" s="372"/>
      <c r="K123" s="373"/>
      <c r="L123" s="374"/>
      <c r="M123" s="375"/>
      <c r="N123" s="375"/>
      <c r="O123" s="365"/>
      <c r="P123" s="496"/>
      <c r="Q123" s="377"/>
      <c r="R123" s="377"/>
    </row>
    <row r="124" spans="1:18" ht="17.399999999999999" customHeight="1">
      <c r="A124" s="582"/>
      <c r="B124" s="383">
        <v>0</v>
      </c>
      <c r="C124" s="6" t="s">
        <v>590</v>
      </c>
      <c r="D124" s="583" t="s">
        <v>569</v>
      </c>
      <c r="E124" s="58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2987.0223376425274</v>
      </c>
      <c r="L124" s="389">
        <f>AVERAGE(L112:L123)</f>
        <v>891.0832034565999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B7" sqref="B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470" t="s">
        <v>488</v>
      </c>
      <c r="E1" s="29">
        <f>SUM(G5:G173)</f>
        <v>175811.10000000006</v>
      </c>
      <c r="F1" s="471" t="s">
        <v>3</v>
      </c>
      <c r="G1" s="30">
        <f>SUM(H5:H173)</f>
        <v>7070102.9691206962</v>
      </c>
      <c r="H1" s="467" t="s">
        <v>37</v>
      </c>
      <c r="I1" s="31">
        <f>M17+M30+M43+M56+M69+M82+M95+M108+M121+M134+M147+M160+M173</f>
        <v>191.86388888888894</v>
      </c>
      <c r="J1" s="635" t="s">
        <v>38</v>
      </c>
      <c r="K1" s="635"/>
      <c r="L1" s="635"/>
      <c r="M1" s="635" t="s">
        <v>39</v>
      </c>
      <c r="N1" s="635"/>
      <c r="O1" s="635"/>
      <c r="P1" s="635" t="s">
        <v>489</v>
      </c>
      <c r="Q1" s="635"/>
      <c r="R1" s="635"/>
      <c r="S1" s="635"/>
      <c r="T1" s="635" t="s">
        <v>490</v>
      </c>
      <c r="U1" s="635"/>
      <c r="V1" s="635"/>
      <c r="W1" s="635"/>
      <c r="X1" s="635"/>
      <c r="Y1" s="635"/>
      <c r="Z1" s="32" t="s">
        <v>491</v>
      </c>
      <c r="AA1" s="32" t="s">
        <v>492</v>
      </c>
      <c r="AB1" s="651" t="s">
        <v>493</v>
      </c>
      <c r="AC1" s="652"/>
      <c r="AD1" s="32" t="s">
        <v>491</v>
      </c>
      <c r="AE1" s="32" t="s">
        <v>494</v>
      </c>
      <c r="AF1" s="635" t="s">
        <v>495</v>
      </c>
      <c r="AG1" s="636"/>
      <c r="AH1" s="636"/>
    </row>
    <row r="2" spans="1:34" ht="26.25" customHeight="1">
      <c r="A2" s="643" t="s">
        <v>496</v>
      </c>
      <c r="B2" s="643"/>
      <c r="C2" s="470"/>
      <c r="D2" s="470" t="s">
        <v>497</v>
      </c>
      <c r="E2" s="34">
        <f>AVERAGE(O17,O30,O43,O56,O69,O82,O95,O108,O121,O134,O147,O160,O173)</f>
        <v>130.34976889885883</v>
      </c>
      <c r="F2" s="35" t="s">
        <v>40</v>
      </c>
      <c r="G2" s="36">
        <f>G1/E1</f>
        <v>40.214201316758121</v>
      </c>
      <c r="H2" s="467" t="s">
        <v>41</v>
      </c>
      <c r="I2" s="467">
        <f>COUNT(I5:I173)</f>
        <v>9</v>
      </c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53"/>
      <c r="AC2" s="654"/>
      <c r="AD2" s="38">
        <f>AD17+AD30+AD43+AD56+AD69+AD82+AD95+AD108+AD121+AD134+AD147+AD160+AD173</f>
        <v>11</v>
      </c>
      <c r="AE2" s="38">
        <f>AE17+AE30+AE43+AE56+AE69+AE82+AE95+AE108+AE121+AE134+AE147+AE160+AE173</f>
        <v>2</v>
      </c>
      <c r="AF2" s="636"/>
      <c r="AG2" s="636"/>
      <c r="AH2" s="636"/>
    </row>
    <row r="3" spans="1:34" ht="30.6" customHeight="1">
      <c r="A3" s="644" t="s">
        <v>498</v>
      </c>
      <c r="B3" s="644" t="s">
        <v>42</v>
      </c>
      <c r="C3" s="645"/>
      <c r="D3" s="644" t="s">
        <v>499</v>
      </c>
      <c r="E3" s="644"/>
      <c r="F3" s="645" t="s">
        <v>43</v>
      </c>
      <c r="G3" s="660" t="s">
        <v>44</v>
      </c>
      <c r="H3" s="645" t="s">
        <v>45</v>
      </c>
      <c r="I3" s="637" t="s">
        <v>500</v>
      </c>
      <c r="J3" s="638" t="s">
        <v>46</v>
      </c>
      <c r="K3" s="639" t="s">
        <v>47</v>
      </c>
      <c r="L3" s="640" t="s">
        <v>35</v>
      </c>
      <c r="M3" s="660" t="s">
        <v>46</v>
      </c>
      <c r="N3" s="639" t="s">
        <v>501</v>
      </c>
      <c r="O3" s="640" t="s">
        <v>497</v>
      </c>
      <c r="P3" s="638" t="s">
        <v>502</v>
      </c>
      <c r="Q3" s="640" t="s">
        <v>497</v>
      </c>
      <c r="R3" s="641" t="s">
        <v>503</v>
      </c>
      <c r="S3" s="642" t="s">
        <v>504</v>
      </c>
      <c r="T3" s="660" t="s">
        <v>48</v>
      </c>
      <c r="U3" s="660"/>
      <c r="V3" s="661" t="s">
        <v>49</v>
      </c>
      <c r="W3" s="637" t="s">
        <v>505</v>
      </c>
      <c r="X3" s="660" t="s">
        <v>506</v>
      </c>
      <c r="Y3" s="660"/>
      <c r="Z3" s="662" t="s">
        <v>507</v>
      </c>
      <c r="AA3" s="663"/>
      <c r="AB3" s="647" t="s">
        <v>508</v>
      </c>
      <c r="AC3" s="648"/>
      <c r="AD3" s="649" t="s">
        <v>509</v>
      </c>
      <c r="AE3" s="650"/>
      <c r="AF3" s="639" t="s">
        <v>501</v>
      </c>
      <c r="AG3" s="641" t="s">
        <v>503</v>
      </c>
      <c r="AH3" s="642" t="s">
        <v>504</v>
      </c>
    </row>
    <row r="4" spans="1:34" ht="30.6" customHeight="1">
      <c r="A4" s="645"/>
      <c r="B4" s="644"/>
      <c r="C4" s="646"/>
      <c r="D4" s="644"/>
      <c r="E4" s="644"/>
      <c r="F4" s="646"/>
      <c r="G4" s="660"/>
      <c r="H4" s="646"/>
      <c r="I4" s="637"/>
      <c r="J4" s="638"/>
      <c r="K4" s="639"/>
      <c r="L4" s="640"/>
      <c r="M4" s="660"/>
      <c r="N4" s="639"/>
      <c r="O4" s="640"/>
      <c r="P4" s="638"/>
      <c r="Q4" s="640"/>
      <c r="R4" s="641"/>
      <c r="S4" s="642"/>
      <c r="T4" s="477" t="s">
        <v>50</v>
      </c>
      <c r="U4" s="477" t="s">
        <v>51</v>
      </c>
      <c r="V4" s="660"/>
      <c r="W4" s="637"/>
      <c r="X4" s="471" t="s">
        <v>510</v>
      </c>
      <c r="Y4" s="471" t="s">
        <v>36</v>
      </c>
      <c r="Z4" s="477" t="s">
        <v>511</v>
      </c>
      <c r="AA4" s="477" t="s">
        <v>512</v>
      </c>
      <c r="AB4" s="648"/>
      <c r="AC4" s="648"/>
      <c r="AD4" s="477" t="s">
        <v>513</v>
      </c>
      <c r="AE4" s="39" t="s">
        <v>514</v>
      </c>
      <c r="AF4" s="639"/>
      <c r="AG4" s="641"/>
      <c r="AH4" s="642"/>
    </row>
    <row r="5" spans="1:34" ht="18.75" customHeight="1">
      <c r="A5" s="655" t="s">
        <v>515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6264</v>
      </c>
      <c r="H5" s="45">
        <f t="shared" ref="H5:H16" si="0">F5*G5</f>
        <v>236967.12</v>
      </c>
      <c r="I5" s="468"/>
      <c r="J5" s="46">
        <v>20</v>
      </c>
      <c r="K5" s="44">
        <v>2400</v>
      </c>
      <c r="L5" s="47">
        <v>120</v>
      </c>
      <c r="M5" s="469">
        <v>20</v>
      </c>
      <c r="N5" s="44">
        <f t="shared" ref="N5:N10" si="1">G5/W5*60</f>
        <v>2320.0000000000005</v>
      </c>
      <c r="O5" s="47">
        <f t="shared" ref="O5:O10" si="2">N5/M5</f>
        <v>116.00000000000003</v>
      </c>
      <c r="P5" s="48">
        <f t="shared" ref="P5:P10" si="3">M5-J5</f>
        <v>0</v>
      </c>
      <c r="Q5" s="49">
        <f t="shared" ref="Q5:Q10" si="4">O5-L5</f>
        <v>-3.9999999999999716</v>
      </c>
      <c r="R5" s="475">
        <f t="shared" ref="R5:R10" si="5">O5/L5</f>
        <v>0.9666666666666669</v>
      </c>
      <c r="S5" s="658">
        <f>R17</f>
        <v>0.93747105891262894</v>
      </c>
      <c r="T5" s="89">
        <v>0.25</v>
      </c>
      <c r="U5" s="89">
        <v>0.36249999999999999</v>
      </c>
      <c r="V5" s="471">
        <v>5</v>
      </c>
      <c r="W5" s="468">
        <f>(U5-T5)*24*60</f>
        <v>161.99999999999997</v>
      </c>
      <c r="X5" s="471"/>
      <c r="Y5" s="471"/>
      <c r="Z5" s="51"/>
      <c r="AA5" s="51"/>
      <c r="AB5" s="644"/>
      <c r="AC5" s="644"/>
      <c r="AD5" s="52">
        <v>1</v>
      </c>
      <c r="AE5" s="52"/>
      <c r="AF5" s="48">
        <f t="shared" ref="AF5:AF70" si="6">N5-K5</f>
        <v>-79.999999999999545</v>
      </c>
      <c r="AG5" s="475">
        <f t="shared" ref="AG5:AG70" si="7">N5/K5</f>
        <v>0.9666666666666669</v>
      </c>
      <c r="AH5" s="658">
        <f>AG17</f>
        <v>0.92097617633023354</v>
      </c>
    </row>
    <row r="6" spans="1:34" ht="19.2" customHeight="1">
      <c r="A6" s="656"/>
      <c r="B6" s="40" t="s">
        <v>100</v>
      </c>
      <c r="C6" s="41"/>
      <c r="D6" s="42" t="s">
        <v>516</v>
      </c>
      <c r="E6" s="43"/>
      <c r="F6" s="273">
        <v>36.729999999999997</v>
      </c>
      <c r="G6" s="44">
        <v>4181</v>
      </c>
      <c r="H6" s="45">
        <f t="shared" si="0"/>
        <v>153568.12999999998</v>
      </c>
      <c r="I6" s="468"/>
      <c r="J6" s="46">
        <v>18</v>
      </c>
      <c r="K6" s="44">
        <v>2571</v>
      </c>
      <c r="L6" s="47">
        <v>142.83333333333334</v>
      </c>
      <c r="M6" s="469">
        <v>18</v>
      </c>
      <c r="N6" s="44">
        <f t="shared" si="1"/>
        <v>2366.603773584905</v>
      </c>
      <c r="O6" s="47">
        <f t="shared" si="2"/>
        <v>131.4779874213836</v>
      </c>
      <c r="P6" s="48">
        <f t="shared" si="3"/>
        <v>0</v>
      </c>
      <c r="Q6" s="49">
        <f t="shared" si="4"/>
        <v>-11.35534591194974</v>
      </c>
      <c r="R6" s="475">
        <f t="shared" si="5"/>
        <v>0.92049932850443594</v>
      </c>
      <c r="S6" s="658"/>
      <c r="T6" s="89">
        <v>0.37777777777777777</v>
      </c>
      <c r="U6" s="89">
        <v>0.4513888888888889</v>
      </c>
      <c r="V6" s="471">
        <v>22</v>
      </c>
      <c r="W6" s="468">
        <f t="shared" ref="W6:W17" si="8">(U6-T6)*24*60</f>
        <v>106.00000000000003</v>
      </c>
      <c r="X6" s="53">
        <v>0.36736111111111108</v>
      </c>
      <c r="Y6" s="53">
        <v>0.37638888888888888</v>
      </c>
      <c r="Z6" s="54"/>
      <c r="AA6" s="54"/>
      <c r="AB6" s="644"/>
      <c r="AC6" s="644"/>
      <c r="AD6" s="484"/>
      <c r="AE6" s="484"/>
      <c r="AF6" s="48">
        <f t="shared" si="6"/>
        <v>-204.39622641509504</v>
      </c>
      <c r="AG6" s="475">
        <f t="shared" si="7"/>
        <v>0.92049932850443605</v>
      </c>
      <c r="AH6" s="658"/>
    </row>
    <row r="7" spans="1:34" ht="19.2" customHeight="1">
      <c r="A7" s="656"/>
      <c r="B7" s="40" t="s">
        <v>100</v>
      </c>
      <c r="C7" s="41"/>
      <c r="D7" s="42" t="s">
        <v>167</v>
      </c>
      <c r="E7" s="43"/>
      <c r="F7" s="273">
        <v>35.89</v>
      </c>
      <c r="G7" s="44">
        <v>2069</v>
      </c>
      <c r="H7" s="45">
        <f t="shared" si="0"/>
        <v>74256.41</v>
      </c>
      <c r="I7" s="468"/>
      <c r="J7" s="46">
        <v>18</v>
      </c>
      <c r="K7" s="44">
        <v>2571</v>
      </c>
      <c r="L7" s="47">
        <v>142.83333333333334</v>
      </c>
      <c r="M7" s="469">
        <v>17</v>
      </c>
      <c r="N7" s="44">
        <f t="shared" si="1"/>
        <v>2387.3076923076937</v>
      </c>
      <c r="O7" s="47">
        <f t="shared" si="2"/>
        <v>140.42986425339376</v>
      </c>
      <c r="P7" s="48">
        <f t="shared" si="3"/>
        <v>-1</v>
      </c>
      <c r="Q7" s="49">
        <f t="shared" si="4"/>
        <v>-2.4034690799395833</v>
      </c>
      <c r="R7" s="475">
        <f t="shared" si="5"/>
        <v>0.98317291192574385</v>
      </c>
      <c r="S7" s="658"/>
      <c r="T7" s="89">
        <v>0.45624999999999999</v>
      </c>
      <c r="U7" s="89">
        <v>0.49236111111111108</v>
      </c>
      <c r="V7" s="471">
        <v>7</v>
      </c>
      <c r="W7" s="468">
        <f t="shared" si="8"/>
        <v>51.999999999999972</v>
      </c>
      <c r="X7" s="53"/>
      <c r="Y7" s="53"/>
      <c r="Z7" s="54"/>
      <c r="AA7" s="54"/>
      <c r="AB7" s="644"/>
      <c r="AC7" s="644"/>
      <c r="AD7" s="484"/>
      <c r="AE7" s="484"/>
      <c r="AF7" s="48">
        <f t="shared" si="6"/>
        <v>-183.69230769230626</v>
      </c>
      <c r="AG7" s="475">
        <f t="shared" si="7"/>
        <v>0.92855219459653593</v>
      </c>
      <c r="AH7" s="658"/>
    </row>
    <row r="8" spans="1:34" ht="19.2" customHeight="1">
      <c r="A8" s="656"/>
      <c r="B8" s="40" t="s">
        <v>100</v>
      </c>
      <c r="C8" s="41"/>
      <c r="D8" s="42" t="s">
        <v>153</v>
      </c>
      <c r="E8" s="43"/>
      <c r="F8" s="273">
        <v>28.86</v>
      </c>
      <c r="G8" s="57">
        <v>1527</v>
      </c>
      <c r="H8" s="45">
        <f t="shared" si="0"/>
        <v>44069.22</v>
      </c>
      <c r="I8" s="468"/>
      <c r="J8" s="46">
        <v>17</v>
      </c>
      <c r="K8" s="44">
        <v>2571</v>
      </c>
      <c r="L8" s="47">
        <v>151.23529411764707</v>
      </c>
      <c r="M8" s="469">
        <v>17</v>
      </c>
      <c r="N8" s="44">
        <f t="shared" si="1"/>
        <v>2349.2307692307677</v>
      </c>
      <c r="O8" s="47">
        <f t="shared" si="2"/>
        <v>138.1900452488687</v>
      </c>
      <c r="P8" s="48">
        <f t="shared" si="3"/>
        <v>0</v>
      </c>
      <c r="Q8" s="49">
        <f t="shared" si="4"/>
        <v>-13.045248868778373</v>
      </c>
      <c r="R8" s="475">
        <f t="shared" si="5"/>
        <v>0.9137420339287311</v>
      </c>
      <c r="S8" s="658"/>
      <c r="T8" s="89">
        <v>0.53194444444444433</v>
      </c>
      <c r="U8" s="89">
        <v>0.55902777777777768</v>
      </c>
      <c r="V8" s="471">
        <v>4</v>
      </c>
      <c r="W8" s="468">
        <f t="shared" si="8"/>
        <v>39.000000000000021</v>
      </c>
      <c r="X8" s="53"/>
      <c r="Y8" s="53"/>
      <c r="Z8" s="54"/>
      <c r="AA8" s="54"/>
      <c r="AB8" s="644"/>
      <c r="AC8" s="644"/>
      <c r="AD8" s="484"/>
      <c r="AE8" s="484"/>
      <c r="AF8" s="48">
        <f t="shared" si="6"/>
        <v>-221.76923076923231</v>
      </c>
      <c r="AG8" s="475">
        <f t="shared" si="7"/>
        <v>0.9137420339287311</v>
      </c>
      <c r="AH8" s="658"/>
    </row>
    <row r="9" spans="1:34" ht="19.2" customHeight="1">
      <c r="A9" s="656"/>
      <c r="B9" s="40" t="s">
        <v>100</v>
      </c>
      <c r="C9" s="55"/>
      <c r="D9" s="42" t="s">
        <v>53</v>
      </c>
      <c r="E9" s="56"/>
      <c r="F9" s="273">
        <v>31.11</v>
      </c>
      <c r="G9" s="44">
        <v>2622</v>
      </c>
      <c r="H9" s="45">
        <f t="shared" si="0"/>
        <v>81570.42</v>
      </c>
      <c r="I9" s="484"/>
      <c r="J9" s="46">
        <v>18</v>
      </c>
      <c r="K9" s="44">
        <v>2769</v>
      </c>
      <c r="L9" s="47">
        <v>153.83333333333334</v>
      </c>
      <c r="M9" s="469">
        <v>18</v>
      </c>
      <c r="N9" s="44">
        <f t="shared" si="1"/>
        <v>2497.1428571428596</v>
      </c>
      <c r="O9" s="47">
        <f t="shared" si="2"/>
        <v>138.73015873015888</v>
      </c>
      <c r="P9" s="48">
        <f t="shared" si="3"/>
        <v>0</v>
      </c>
      <c r="Q9" s="49">
        <f t="shared" si="4"/>
        <v>-15.103174603174466</v>
      </c>
      <c r="R9" s="475">
        <f t="shared" si="5"/>
        <v>0.90182118351132523</v>
      </c>
      <c r="S9" s="658"/>
      <c r="T9" s="89">
        <v>0.56388888888888877</v>
      </c>
      <c r="U9" s="89">
        <v>0.60763888888888873</v>
      </c>
      <c r="V9" s="471">
        <v>7</v>
      </c>
      <c r="W9" s="468">
        <f t="shared" si="8"/>
        <v>62.999999999999936</v>
      </c>
      <c r="X9" s="53"/>
      <c r="Y9" s="53"/>
      <c r="Z9" s="54"/>
      <c r="AA9" s="54"/>
      <c r="AB9" s="644"/>
      <c r="AC9" s="644"/>
      <c r="AD9" s="484"/>
      <c r="AE9" s="484"/>
      <c r="AF9" s="48">
        <f t="shared" si="6"/>
        <v>-271.85714285714039</v>
      </c>
      <c r="AG9" s="475">
        <f t="shared" si="7"/>
        <v>0.90182118351132523</v>
      </c>
      <c r="AH9" s="658"/>
    </row>
    <row r="10" spans="1:34" ht="19.2" customHeight="1">
      <c r="A10" s="657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4780</v>
      </c>
      <c r="H10" s="45">
        <f t="shared" si="0"/>
        <v>180684</v>
      </c>
      <c r="I10" s="468"/>
      <c r="J10" s="46">
        <v>20</v>
      </c>
      <c r="K10" s="44">
        <v>2769</v>
      </c>
      <c r="L10" s="47">
        <v>138.44999999999999</v>
      </c>
      <c r="M10" s="469">
        <v>19</v>
      </c>
      <c r="N10" s="44">
        <f t="shared" si="1"/>
        <v>2493.9130434782592</v>
      </c>
      <c r="O10" s="47">
        <f t="shared" si="2"/>
        <v>131.25858123569785</v>
      </c>
      <c r="P10" s="48">
        <f t="shared" si="3"/>
        <v>-1</v>
      </c>
      <c r="Q10" s="49">
        <f t="shared" si="4"/>
        <v>-7.1914187643021421</v>
      </c>
      <c r="R10" s="475">
        <f t="shared" si="5"/>
        <v>0.94805764706173967</v>
      </c>
      <c r="S10" s="659"/>
      <c r="T10" s="89">
        <v>0.62361111111111089</v>
      </c>
      <c r="U10" s="89">
        <v>0.70347222222222205</v>
      </c>
      <c r="V10" s="471">
        <v>23</v>
      </c>
      <c r="W10" s="468">
        <f t="shared" si="8"/>
        <v>115.00000000000007</v>
      </c>
      <c r="X10" s="53">
        <v>0.61249999999999993</v>
      </c>
      <c r="Y10" s="53">
        <v>0.62222222222222223</v>
      </c>
      <c r="Z10" s="54"/>
      <c r="AA10" s="54"/>
      <c r="AB10" s="644"/>
      <c r="AC10" s="644"/>
      <c r="AD10" s="484"/>
      <c r="AE10" s="484"/>
      <c r="AF10" s="48">
        <f t="shared" si="6"/>
        <v>-275.08695652174083</v>
      </c>
      <c r="AG10" s="475">
        <f t="shared" si="7"/>
        <v>0.90065476470865269</v>
      </c>
      <c r="AH10" s="659"/>
    </row>
    <row r="11" spans="1:34" ht="19.2" customHeight="1">
      <c r="A11" s="657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68"/>
      <c r="J11" s="46"/>
      <c r="K11" s="44"/>
      <c r="L11" s="47"/>
      <c r="M11" s="469"/>
      <c r="N11" s="44"/>
      <c r="O11" s="47"/>
      <c r="P11" s="48"/>
      <c r="Q11" s="49"/>
      <c r="R11" s="475"/>
      <c r="S11" s="659"/>
      <c r="T11" s="89"/>
      <c r="U11" s="89"/>
      <c r="V11" s="471"/>
      <c r="W11" s="468">
        <f t="shared" si="8"/>
        <v>0</v>
      </c>
      <c r="X11" s="53"/>
      <c r="Y11" s="53"/>
      <c r="Z11" s="54"/>
      <c r="AA11" s="54"/>
      <c r="AB11" s="644"/>
      <c r="AC11" s="644"/>
      <c r="AD11" s="484"/>
      <c r="AE11" s="484"/>
      <c r="AF11" s="48">
        <f t="shared" si="6"/>
        <v>0</v>
      </c>
      <c r="AG11" s="475" t="e">
        <f t="shared" si="7"/>
        <v>#DIV/0!</v>
      </c>
      <c r="AH11" s="659"/>
    </row>
    <row r="12" spans="1:34" ht="19.2" customHeight="1">
      <c r="A12" s="657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8"/>
      <c r="J12" s="46"/>
      <c r="K12" s="44"/>
      <c r="L12" s="47"/>
      <c r="M12" s="469"/>
      <c r="N12" s="44"/>
      <c r="O12" s="47"/>
      <c r="P12" s="48"/>
      <c r="Q12" s="49"/>
      <c r="R12" s="475"/>
      <c r="S12" s="659"/>
      <c r="T12" s="89"/>
      <c r="U12" s="89"/>
      <c r="V12" s="471"/>
      <c r="W12" s="468">
        <f t="shared" si="8"/>
        <v>0</v>
      </c>
      <c r="X12" s="53"/>
      <c r="Y12" s="53"/>
      <c r="Z12" s="54"/>
      <c r="AA12" s="54"/>
      <c r="AB12" s="644"/>
      <c r="AC12" s="644"/>
      <c r="AD12" s="484"/>
      <c r="AE12" s="484"/>
      <c r="AF12" s="48">
        <f t="shared" si="6"/>
        <v>0</v>
      </c>
      <c r="AG12" s="475" t="e">
        <f t="shared" si="7"/>
        <v>#DIV/0!</v>
      </c>
      <c r="AH12" s="659"/>
    </row>
    <row r="13" spans="1:34" ht="19.2" customHeight="1">
      <c r="A13" s="657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72"/>
      <c r="J13" s="46"/>
      <c r="K13" s="44"/>
      <c r="L13" s="47"/>
      <c r="M13" s="62"/>
      <c r="N13" s="44"/>
      <c r="O13" s="47"/>
      <c r="P13" s="48"/>
      <c r="Q13" s="49"/>
      <c r="R13" s="475"/>
      <c r="S13" s="659"/>
      <c r="T13" s="89"/>
      <c r="U13" s="89"/>
      <c r="V13" s="472"/>
      <c r="W13" s="468">
        <f t="shared" si="8"/>
        <v>0</v>
      </c>
      <c r="X13" s="64"/>
      <c r="Y13" s="64"/>
      <c r="Z13" s="54"/>
      <c r="AA13" s="54"/>
      <c r="AB13" s="644"/>
      <c r="AC13" s="644"/>
      <c r="AD13" s="484"/>
      <c r="AE13" s="484"/>
      <c r="AF13" s="48">
        <f t="shared" si="6"/>
        <v>0</v>
      </c>
      <c r="AG13" s="475" t="e">
        <f t="shared" si="7"/>
        <v>#DIV/0!</v>
      </c>
      <c r="AH13" s="659"/>
    </row>
    <row r="14" spans="1:34" ht="19.2" customHeight="1">
      <c r="A14" s="657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72"/>
      <c r="J14" s="46"/>
      <c r="K14" s="44"/>
      <c r="L14" s="47"/>
      <c r="M14" s="62"/>
      <c r="N14" s="44"/>
      <c r="O14" s="47"/>
      <c r="P14" s="48"/>
      <c r="Q14" s="49"/>
      <c r="R14" s="475"/>
      <c r="S14" s="659"/>
      <c r="T14" s="89"/>
      <c r="U14" s="89"/>
      <c r="V14" s="472"/>
      <c r="W14" s="468">
        <f t="shared" si="8"/>
        <v>0</v>
      </c>
      <c r="X14" s="64"/>
      <c r="Y14" s="64"/>
      <c r="Z14" s="54"/>
      <c r="AA14" s="54"/>
      <c r="AB14" s="644"/>
      <c r="AC14" s="644"/>
      <c r="AD14" s="484"/>
      <c r="AE14" s="484"/>
      <c r="AF14" s="48">
        <f t="shared" si="6"/>
        <v>0</v>
      </c>
      <c r="AG14" s="475" t="e">
        <f t="shared" si="7"/>
        <v>#DIV/0!</v>
      </c>
      <c r="AH14" s="659"/>
    </row>
    <row r="15" spans="1:34" ht="19.2" customHeight="1">
      <c r="A15" s="657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72"/>
      <c r="J15" s="46"/>
      <c r="K15" s="44"/>
      <c r="L15" s="47"/>
      <c r="M15" s="62"/>
      <c r="N15" s="68"/>
      <c r="O15" s="47"/>
      <c r="P15" s="48"/>
      <c r="Q15" s="49"/>
      <c r="R15" s="475"/>
      <c r="S15" s="659"/>
      <c r="T15" s="89"/>
      <c r="U15" s="89"/>
      <c r="V15" s="472"/>
      <c r="W15" s="468">
        <f t="shared" si="8"/>
        <v>0</v>
      </c>
      <c r="X15" s="64"/>
      <c r="Y15" s="64"/>
      <c r="Z15" s="54"/>
      <c r="AA15" s="54"/>
      <c r="AB15" s="644"/>
      <c r="AC15" s="644"/>
      <c r="AD15" s="484"/>
      <c r="AE15" s="484"/>
      <c r="AF15" s="48">
        <f t="shared" si="6"/>
        <v>0</v>
      </c>
      <c r="AG15" s="475" t="e">
        <f t="shared" si="7"/>
        <v>#DIV/0!</v>
      </c>
      <c r="AH15" s="659"/>
    </row>
    <row r="16" spans="1:34" ht="19.2" customHeight="1">
      <c r="A16" s="657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72"/>
      <c r="J16" s="46"/>
      <c r="K16" s="44"/>
      <c r="L16" s="47"/>
      <c r="M16" s="62"/>
      <c r="N16" s="68"/>
      <c r="O16" s="47"/>
      <c r="P16" s="48"/>
      <c r="Q16" s="49"/>
      <c r="R16" s="475"/>
      <c r="S16" s="659"/>
      <c r="T16" s="89"/>
      <c r="U16" s="89"/>
      <c r="V16" s="472"/>
      <c r="W16" s="468">
        <f t="shared" si="8"/>
        <v>0</v>
      </c>
      <c r="X16" s="64"/>
      <c r="Y16" s="64"/>
      <c r="Z16" s="54"/>
      <c r="AA16" s="54"/>
      <c r="AB16" s="644"/>
      <c r="AC16" s="644"/>
      <c r="AD16" s="484"/>
      <c r="AE16" s="484"/>
      <c r="AF16" s="48">
        <f t="shared" si="6"/>
        <v>0</v>
      </c>
      <c r="AG16" s="475" t="e">
        <f t="shared" si="7"/>
        <v>#DIV/0!</v>
      </c>
      <c r="AH16" s="659"/>
    </row>
    <row r="17" spans="1:34" ht="19.2" customHeight="1">
      <c r="A17" s="657"/>
      <c r="B17" s="69">
        <v>0</v>
      </c>
      <c r="C17" s="69" t="s">
        <v>517</v>
      </c>
      <c r="D17" s="664" t="s">
        <v>518</v>
      </c>
      <c r="E17" s="664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2402.3663559574143</v>
      </c>
      <c r="O17" s="73">
        <f t="shared" si="9"/>
        <v>132.68110614825048</v>
      </c>
      <c r="P17" s="65">
        <f t="shared" ref="P17:P26" si="10">M17-J17</f>
        <v>-0.33333333333333215</v>
      </c>
      <c r="Q17" s="74">
        <f t="shared" ref="Q17:Q26" si="11">O17-L17</f>
        <v>-8.8497762046906985</v>
      </c>
      <c r="R17" s="75">
        <f>O17/L17</f>
        <v>0.93747105891262894</v>
      </c>
      <c r="S17" s="659"/>
      <c r="T17" s="89"/>
      <c r="U17" s="89"/>
      <c r="V17" s="47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44"/>
      <c r="AC17" s="644"/>
      <c r="AD17" s="79">
        <f>SUM(AD5:AD16)</f>
        <v>1</v>
      </c>
      <c r="AE17" s="79">
        <f>SUM(AE5:AE16)</f>
        <v>0</v>
      </c>
      <c r="AF17" s="65">
        <f t="shared" si="6"/>
        <v>-206.13364404258573</v>
      </c>
      <c r="AG17" s="476">
        <f t="shared" si="7"/>
        <v>0.92097617633023354</v>
      </c>
      <c r="AH17" s="659"/>
    </row>
    <row r="18" spans="1:34" ht="19.2" customHeight="1">
      <c r="A18" s="666" t="s">
        <v>519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2">F18*G18</f>
        <v>12705</v>
      </c>
      <c r="I18" s="48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1319.9999999999995</v>
      </c>
      <c r="O18" s="86">
        <f t="shared" ref="O18:O26" si="14">N18/M18</f>
        <v>109.99999999999996</v>
      </c>
      <c r="P18" s="54">
        <f t="shared" si="10"/>
        <v>0</v>
      </c>
      <c r="Q18" s="88">
        <f t="shared" si="11"/>
        <v>-56.6666666666667</v>
      </c>
      <c r="R18" s="478">
        <f t="shared" ref="R18:R26" si="15">O18/L18</f>
        <v>0.65999999999999981</v>
      </c>
      <c r="S18" s="667">
        <f>R30</f>
        <v>0.8611887818834365</v>
      </c>
      <c r="T18" s="89">
        <v>0.125</v>
      </c>
      <c r="U18" s="89">
        <v>0.13958333333333334</v>
      </c>
      <c r="V18" s="484">
        <v>5</v>
      </c>
      <c r="W18" s="90">
        <f>(U18-T18)*24*60</f>
        <v>21.000000000000007</v>
      </c>
      <c r="X18" s="86"/>
      <c r="Y18" s="86"/>
      <c r="Z18" s="54"/>
      <c r="AA18" s="54"/>
      <c r="AB18" s="644"/>
      <c r="AC18" s="644"/>
      <c r="AD18" s="484"/>
      <c r="AE18" s="484"/>
      <c r="AF18" s="91">
        <f t="shared" si="6"/>
        <v>-680.00000000000045</v>
      </c>
      <c r="AG18" s="92">
        <f t="shared" si="7"/>
        <v>0.65999999999999981</v>
      </c>
      <c r="AH18" s="668">
        <f>AG30</f>
        <v>0.88011378788785999</v>
      </c>
    </row>
    <row r="19" spans="1:34" ht="19.2" customHeight="1">
      <c r="A19" s="666"/>
      <c r="B19" s="482" t="s">
        <v>102</v>
      </c>
      <c r="C19" s="481"/>
      <c r="D19" s="82" t="s">
        <v>168</v>
      </c>
      <c r="E19" s="83"/>
      <c r="F19" s="273">
        <v>44.3</v>
      </c>
      <c r="G19" s="57">
        <v>1598</v>
      </c>
      <c r="H19" s="84">
        <f t="shared" si="12"/>
        <v>70791.399999999994</v>
      </c>
      <c r="I19" s="484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1452.7272727272727</v>
      </c>
      <c r="O19" s="95">
        <f t="shared" si="14"/>
        <v>80.707070707070713</v>
      </c>
      <c r="P19" s="54">
        <f t="shared" si="10"/>
        <v>0</v>
      </c>
      <c r="Q19" s="88">
        <f t="shared" si="11"/>
        <v>-6.2373737373737299</v>
      </c>
      <c r="R19" s="478">
        <f t="shared" si="15"/>
        <v>0.92826023816439163</v>
      </c>
      <c r="S19" s="667"/>
      <c r="T19" s="89">
        <v>0.14375000000000002</v>
      </c>
      <c r="U19" s="89">
        <v>0.18958333333333335</v>
      </c>
      <c r="V19" s="484">
        <v>6</v>
      </c>
      <c r="W19" s="90">
        <f>(U19-T19)*24*60</f>
        <v>66</v>
      </c>
      <c r="X19" s="96"/>
      <c r="Y19" s="96"/>
      <c r="Z19" s="54"/>
      <c r="AA19" s="54"/>
      <c r="AB19" s="644"/>
      <c r="AC19" s="644"/>
      <c r="AD19" s="484"/>
      <c r="AE19" s="484"/>
      <c r="AF19" s="48">
        <f t="shared" si="6"/>
        <v>-112.27272727272725</v>
      </c>
      <c r="AG19" s="475">
        <f t="shared" si="7"/>
        <v>0.92826023816439152</v>
      </c>
      <c r="AH19" s="669"/>
    </row>
    <row r="20" spans="1:34" ht="19.2" customHeight="1">
      <c r="A20" s="666"/>
      <c r="B20" s="482" t="s">
        <v>102</v>
      </c>
      <c r="C20" s="55"/>
      <c r="D20" s="42" t="s">
        <v>174</v>
      </c>
      <c r="E20" s="83"/>
      <c r="F20" s="273">
        <v>49.91</v>
      </c>
      <c r="G20" s="57">
        <v>2371</v>
      </c>
      <c r="H20" s="84">
        <f t="shared" si="12"/>
        <v>118336.60999999999</v>
      </c>
      <c r="I20" s="484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1408.5148514851485</v>
      </c>
      <c r="O20" s="95">
        <f t="shared" si="14"/>
        <v>82.853814793244027</v>
      </c>
      <c r="P20" s="54">
        <f t="shared" si="10"/>
        <v>0</v>
      </c>
      <c r="Q20" s="88">
        <f t="shared" si="11"/>
        <v>-9.2050087361677413</v>
      </c>
      <c r="R20" s="478">
        <f t="shared" si="15"/>
        <v>0.90000948976686801</v>
      </c>
      <c r="S20" s="667"/>
      <c r="T20" s="89">
        <v>0.20416666666666669</v>
      </c>
      <c r="U20" s="89">
        <v>0.27430555555555558</v>
      </c>
      <c r="V20" s="484">
        <v>21</v>
      </c>
      <c r="W20" s="90">
        <f t="shared" ref="W20:W29" si="16">(U20-T20)*24*60</f>
        <v>101</v>
      </c>
      <c r="X20" s="96">
        <v>0.19375000000000001</v>
      </c>
      <c r="Y20" s="96">
        <v>0.20277777777777781</v>
      </c>
      <c r="Z20" s="54"/>
      <c r="AA20" s="54"/>
      <c r="AB20" s="644"/>
      <c r="AC20" s="644"/>
      <c r="AD20" s="484">
        <v>1</v>
      </c>
      <c r="AE20" s="484"/>
      <c r="AF20" s="91">
        <f t="shared" si="6"/>
        <v>-156.48514851485152</v>
      </c>
      <c r="AG20" s="92">
        <f t="shared" si="7"/>
        <v>0.90000948976686801</v>
      </c>
      <c r="AH20" s="669"/>
    </row>
    <row r="21" spans="1:34" ht="19.2" customHeight="1">
      <c r="A21" s="666"/>
      <c r="B21" s="482" t="s">
        <v>102</v>
      </c>
      <c r="C21" s="97"/>
      <c r="D21" s="98" t="s">
        <v>164</v>
      </c>
      <c r="E21" s="43"/>
      <c r="F21" s="273">
        <v>50.67</v>
      </c>
      <c r="G21" s="44">
        <v>2466.7999999999997</v>
      </c>
      <c r="H21" s="84">
        <f t="shared" si="12"/>
        <v>124992.75599999999</v>
      </c>
      <c r="I21" s="47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1383.2523364485978</v>
      </c>
      <c r="O21" s="95">
        <f t="shared" si="14"/>
        <v>72.802754549926206</v>
      </c>
      <c r="P21" s="54">
        <f t="shared" si="10"/>
        <v>0</v>
      </c>
      <c r="Q21" s="88">
        <f t="shared" si="11"/>
        <v>-6.144613871126424</v>
      </c>
      <c r="R21" s="478">
        <f t="shared" si="15"/>
        <v>0.92216822429906531</v>
      </c>
      <c r="S21" s="667"/>
      <c r="T21" s="89">
        <v>0.27916666666666667</v>
      </c>
      <c r="U21" s="89">
        <v>0.35347222222222224</v>
      </c>
      <c r="V21" s="484">
        <v>7</v>
      </c>
      <c r="W21" s="90">
        <f t="shared" si="16"/>
        <v>107.00000000000001</v>
      </c>
      <c r="X21" s="96"/>
      <c r="Y21" s="96"/>
      <c r="Z21" s="54"/>
      <c r="AA21" s="54"/>
      <c r="AB21" s="644"/>
      <c r="AC21" s="644"/>
      <c r="AD21" s="484"/>
      <c r="AE21" s="484"/>
      <c r="AF21" s="48">
        <f t="shared" si="6"/>
        <v>-116.74766355140218</v>
      </c>
      <c r="AG21" s="475">
        <f t="shared" si="7"/>
        <v>0.9221682242990652</v>
      </c>
      <c r="AH21" s="670"/>
    </row>
    <row r="22" spans="1:34" ht="19.2" customHeight="1">
      <c r="A22" s="666"/>
      <c r="B22" s="482" t="s">
        <v>100</v>
      </c>
      <c r="C22" s="97"/>
      <c r="D22" s="42" t="s">
        <v>173</v>
      </c>
      <c r="E22" s="43"/>
      <c r="F22" s="273">
        <v>46.93</v>
      </c>
      <c r="G22" s="44">
        <v>1549</v>
      </c>
      <c r="H22" s="84">
        <f t="shared" si="12"/>
        <v>72694.569999999992</v>
      </c>
      <c r="I22" s="471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2161.395348837209</v>
      </c>
      <c r="O22" s="95">
        <f t="shared" si="14"/>
        <v>102.9235880398671</v>
      </c>
      <c r="P22" s="54">
        <f t="shared" si="10"/>
        <v>0</v>
      </c>
      <c r="Q22" s="88">
        <f t="shared" si="11"/>
        <v>-11.362126245847193</v>
      </c>
      <c r="R22" s="478">
        <f t="shared" si="15"/>
        <v>0.90058139534883708</v>
      </c>
      <c r="S22" s="667"/>
      <c r="T22" s="89">
        <v>0.36875000000000002</v>
      </c>
      <c r="U22" s="89">
        <v>0.39861111111111114</v>
      </c>
      <c r="V22" s="484">
        <v>22</v>
      </c>
      <c r="W22" s="90">
        <f t="shared" si="16"/>
        <v>43.000000000000007</v>
      </c>
      <c r="X22" s="96">
        <v>0.3576388888888889</v>
      </c>
      <c r="Y22" s="96">
        <v>0.36736111111111108</v>
      </c>
      <c r="Z22" s="54"/>
      <c r="AA22" s="54"/>
      <c r="AB22" s="644"/>
      <c r="AC22" s="644"/>
      <c r="AD22" s="484"/>
      <c r="AE22" s="484"/>
      <c r="AF22" s="91">
        <f t="shared" si="6"/>
        <v>-238.60465116279101</v>
      </c>
      <c r="AG22" s="92">
        <f t="shared" si="7"/>
        <v>0.90058139534883708</v>
      </c>
      <c r="AH22" s="670"/>
    </row>
    <row r="23" spans="1:34" ht="19.2" customHeight="1">
      <c r="A23" s="666"/>
      <c r="B23" s="482" t="s">
        <v>100</v>
      </c>
      <c r="C23" s="97"/>
      <c r="D23" s="42" t="s">
        <v>163</v>
      </c>
      <c r="E23" s="43"/>
      <c r="F23" s="273">
        <v>46.93</v>
      </c>
      <c r="G23" s="44">
        <v>787</v>
      </c>
      <c r="H23" s="84">
        <f t="shared" si="12"/>
        <v>36933.909999999996</v>
      </c>
      <c r="I23" s="471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2146.3636363636365</v>
      </c>
      <c r="O23" s="95">
        <f t="shared" si="14"/>
        <v>112.96650717703351</v>
      </c>
      <c r="P23" s="54">
        <f t="shared" si="10"/>
        <v>0</v>
      </c>
      <c r="Q23" s="88">
        <f t="shared" si="11"/>
        <v>-13.349282296650699</v>
      </c>
      <c r="R23" s="478">
        <f t="shared" si="15"/>
        <v>0.89431818181818201</v>
      </c>
      <c r="S23" s="667"/>
      <c r="T23" s="89">
        <v>0.40347222222222223</v>
      </c>
      <c r="U23" s="89">
        <v>0.41875000000000001</v>
      </c>
      <c r="V23" s="484">
        <v>7</v>
      </c>
      <c r="W23" s="90">
        <f t="shared" si="16"/>
        <v>22</v>
      </c>
      <c r="X23" s="96"/>
      <c r="Y23" s="96"/>
      <c r="Z23" s="54"/>
      <c r="AA23" s="54"/>
      <c r="AB23" s="644"/>
      <c r="AC23" s="644"/>
      <c r="AD23" s="484"/>
      <c r="AE23" s="484"/>
      <c r="AF23" s="48">
        <f t="shared" si="6"/>
        <v>-253.63636363636351</v>
      </c>
      <c r="AG23" s="475">
        <f t="shared" si="7"/>
        <v>0.8943181818181819</v>
      </c>
      <c r="AH23" s="670"/>
    </row>
    <row r="24" spans="1:34" ht="19.2" customHeight="1">
      <c r="A24" s="666"/>
      <c r="B24" s="482" t="s">
        <v>100</v>
      </c>
      <c r="C24" s="81"/>
      <c r="D24" s="82" t="s">
        <v>170</v>
      </c>
      <c r="E24" s="83"/>
      <c r="F24" s="273">
        <v>43.96</v>
      </c>
      <c r="G24" s="57">
        <v>1049</v>
      </c>
      <c r="H24" s="84">
        <f t="shared" si="12"/>
        <v>46114.04</v>
      </c>
      <c r="I24" s="471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2170.3448275862083</v>
      </c>
      <c r="O24" s="95">
        <f t="shared" si="14"/>
        <v>114.22867513611622</v>
      </c>
      <c r="P24" s="54">
        <f t="shared" si="10"/>
        <v>0</v>
      </c>
      <c r="Q24" s="88">
        <f t="shared" si="11"/>
        <v>-12.087114337567982</v>
      </c>
      <c r="R24" s="478">
        <f t="shared" si="15"/>
        <v>0.90431034482758677</v>
      </c>
      <c r="S24" s="667"/>
      <c r="T24" s="89">
        <v>0.4236111111111111</v>
      </c>
      <c r="U24" s="89">
        <v>0.44374999999999998</v>
      </c>
      <c r="V24" s="484">
        <v>7</v>
      </c>
      <c r="W24" s="90">
        <f t="shared" si="16"/>
        <v>28.999999999999979</v>
      </c>
      <c r="X24" s="96"/>
      <c r="Y24" s="96"/>
      <c r="Z24" s="54"/>
      <c r="AA24" s="54"/>
      <c r="AB24" s="644"/>
      <c r="AC24" s="644"/>
      <c r="AD24" s="484"/>
      <c r="AE24" s="484"/>
      <c r="AF24" s="91">
        <f t="shared" si="6"/>
        <v>-229.65517241379166</v>
      </c>
      <c r="AG24" s="92">
        <f t="shared" si="7"/>
        <v>0.90431034482758677</v>
      </c>
      <c r="AH24" s="670"/>
    </row>
    <row r="25" spans="1:34" ht="19.2" customHeight="1">
      <c r="A25" s="666"/>
      <c r="B25" s="482" t="s">
        <v>100</v>
      </c>
      <c r="C25" s="81"/>
      <c r="D25" s="82" t="s">
        <v>188</v>
      </c>
      <c r="E25" s="83"/>
      <c r="F25" s="273">
        <v>48.4</v>
      </c>
      <c r="G25" s="57">
        <v>1158</v>
      </c>
      <c r="H25" s="84">
        <f t="shared" si="12"/>
        <v>56047.199999999997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2316.0000000000023</v>
      </c>
      <c r="O25" s="95">
        <f t="shared" si="14"/>
        <v>128.6666666666668</v>
      </c>
      <c r="P25" s="54">
        <f t="shared" si="10"/>
        <v>1</v>
      </c>
      <c r="Q25" s="88">
        <f t="shared" si="11"/>
        <v>-22.568627450980273</v>
      </c>
      <c r="R25" s="478">
        <f t="shared" si="15"/>
        <v>0.85077142486710833</v>
      </c>
      <c r="S25" s="667"/>
      <c r="T25" s="89">
        <v>0.44791666666666663</v>
      </c>
      <c r="U25" s="89">
        <v>0.46874999999999994</v>
      </c>
      <c r="V25" s="484">
        <v>6</v>
      </c>
      <c r="W25" s="90">
        <f t="shared" si="16"/>
        <v>29.999999999999972</v>
      </c>
      <c r="X25" s="484"/>
      <c r="Y25" s="484"/>
      <c r="Z25" s="54"/>
      <c r="AA25" s="54"/>
      <c r="AB25" s="644"/>
      <c r="AC25" s="644"/>
      <c r="AD25" s="484"/>
      <c r="AE25" s="484"/>
      <c r="AF25" s="48">
        <f t="shared" si="6"/>
        <v>-254.99999999999773</v>
      </c>
      <c r="AG25" s="475">
        <f t="shared" si="7"/>
        <v>0.90081680280046761</v>
      </c>
      <c r="AH25" s="670"/>
    </row>
    <row r="26" spans="1:34" ht="19.2" customHeight="1">
      <c r="A26" s="666"/>
      <c r="B26" s="482" t="s">
        <v>100</v>
      </c>
      <c r="C26" s="81"/>
      <c r="D26" s="82" t="s">
        <v>59</v>
      </c>
      <c r="E26" s="83"/>
      <c r="F26" s="273">
        <v>36.729999999999997</v>
      </c>
      <c r="G26" s="57">
        <v>2079</v>
      </c>
      <c r="H26" s="84">
        <f t="shared" si="12"/>
        <v>76361.67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2188.4210526315806</v>
      </c>
      <c r="O26" s="95">
        <f t="shared" si="14"/>
        <v>121.57894736842114</v>
      </c>
      <c r="P26" s="54">
        <f t="shared" si="10"/>
        <v>0</v>
      </c>
      <c r="Q26" s="88">
        <f t="shared" si="11"/>
        <v>-11.754385964912203</v>
      </c>
      <c r="R26" s="478">
        <f t="shared" si="15"/>
        <v>0.91184210526315845</v>
      </c>
      <c r="S26" s="667"/>
      <c r="T26" s="89">
        <v>0.50902777777777775</v>
      </c>
      <c r="U26" s="89">
        <v>0.54861111111111105</v>
      </c>
      <c r="V26" s="484">
        <v>5</v>
      </c>
      <c r="W26" s="90">
        <f t="shared" si="16"/>
        <v>56.999999999999957</v>
      </c>
      <c r="X26" s="484"/>
      <c r="Y26" s="484"/>
      <c r="Z26" s="54"/>
      <c r="AA26" s="54"/>
      <c r="AB26" s="644"/>
      <c r="AC26" s="644"/>
      <c r="AD26" s="484"/>
      <c r="AE26" s="484"/>
      <c r="AF26" s="91">
        <f t="shared" si="6"/>
        <v>-211.57894736841945</v>
      </c>
      <c r="AG26" s="92">
        <f t="shared" si="7"/>
        <v>0.91184210526315856</v>
      </c>
      <c r="AH26" s="670"/>
    </row>
    <row r="27" spans="1:34" ht="19.2" customHeight="1">
      <c r="A27" s="66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78"/>
      <c r="S27" s="667"/>
      <c r="T27" s="89"/>
      <c r="U27" s="89"/>
      <c r="V27" s="484"/>
      <c r="W27" s="90">
        <f t="shared" si="16"/>
        <v>0</v>
      </c>
      <c r="X27" s="484"/>
      <c r="Y27" s="484"/>
      <c r="Z27" s="54"/>
      <c r="AA27" s="54"/>
      <c r="AB27" s="644"/>
      <c r="AC27" s="644"/>
      <c r="AD27" s="484"/>
      <c r="AE27" s="484"/>
      <c r="AF27" s="48">
        <f t="shared" si="6"/>
        <v>0</v>
      </c>
      <c r="AG27" s="475" t="e">
        <f t="shared" si="7"/>
        <v>#DIV/0!</v>
      </c>
      <c r="AH27" s="670"/>
    </row>
    <row r="28" spans="1:34" ht="19.2" customHeight="1">
      <c r="A28" s="66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78"/>
      <c r="S28" s="667"/>
      <c r="T28" s="89"/>
      <c r="U28" s="89"/>
      <c r="V28" s="484"/>
      <c r="W28" s="90">
        <f t="shared" si="16"/>
        <v>0</v>
      </c>
      <c r="X28" s="484"/>
      <c r="Y28" s="484"/>
      <c r="Z28" s="54"/>
      <c r="AA28" s="54"/>
      <c r="AB28" s="644"/>
      <c r="AC28" s="644"/>
      <c r="AD28" s="484"/>
      <c r="AE28" s="484"/>
      <c r="AF28" s="91">
        <f t="shared" si="6"/>
        <v>0</v>
      </c>
      <c r="AG28" s="92" t="e">
        <f t="shared" si="7"/>
        <v>#DIV/0!</v>
      </c>
      <c r="AH28" s="670"/>
    </row>
    <row r="29" spans="1:34" ht="19.2" customHeight="1">
      <c r="A29" s="66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78"/>
      <c r="S29" s="667"/>
      <c r="T29" s="89"/>
      <c r="U29" s="89"/>
      <c r="V29" s="484"/>
      <c r="W29" s="90">
        <f t="shared" si="16"/>
        <v>0</v>
      </c>
      <c r="X29" s="484"/>
      <c r="Y29" s="484"/>
      <c r="Z29" s="54"/>
      <c r="AA29" s="54"/>
      <c r="AB29" s="644"/>
      <c r="AC29" s="644"/>
      <c r="AD29" s="484"/>
      <c r="AE29" s="484"/>
      <c r="AF29" s="48">
        <f t="shared" si="6"/>
        <v>0</v>
      </c>
      <c r="AG29" s="475"/>
      <c r="AH29" s="670"/>
    </row>
    <row r="30" spans="1:34" ht="19.2" customHeight="1">
      <c r="A30" s="666"/>
      <c r="B30" s="99">
        <v>0</v>
      </c>
      <c r="C30" s="100" t="s">
        <v>520</v>
      </c>
      <c r="D30" s="665" t="s">
        <v>518</v>
      </c>
      <c r="E30" s="665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17.888888888888889</v>
      </c>
      <c r="N30" s="101">
        <f t="shared" si="17"/>
        <v>1838.5577028977395</v>
      </c>
      <c r="O30" s="104">
        <f t="shared" si="17"/>
        <v>102.96978049314951</v>
      </c>
      <c r="P30" s="54">
        <f t="shared" ref="P30:P37" si="18">M30-J30</f>
        <v>0.11111111111111072</v>
      </c>
      <c r="Q30" s="88">
        <f t="shared" ref="Q30:Q37" si="19">O30-L30</f>
        <v>-16.597244367477003</v>
      </c>
      <c r="R30" s="105">
        <f t="shared" ref="R30:R37" si="20">O30/L30</f>
        <v>0.8611887818834365</v>
      </c>
      <c r="S30" s="66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44"/>
      <c r="AC30" s="644"/>
      <c r="AD30" s="107">
        <f>SUM(AD18:AD29)</f>
        <v>1</v>
      </c>
      <c r="AE30" s="107">
        <f>SUM(AE18:AE29)</f>
        <v>0</v>
      </c>
      <c r="AF30" s="108">
        <f t="shared" si="6"/>
        <v>-250.44229710226045</v>
      </c>
      <c r="AG30" s="109">
        <f t="shared" ref="AG30" si="21">N30/K30</f>
        <v>0.88011378788785999</v>
      </c>
      <c r="AH30" s="671"/>
    </row>
    <row r="31" spans="1:34" ht="19.2" customHeight="1">
      <c r="A31" s="674" t="s">
        <v>521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1626.3</v>
      </c>
      <c r="H31" s="112">
        <f t="shared" ref="H31:H41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1456.3880597014925</v>
      </c>
      <c r="O31" s="115">
        <f t="shared" ref="O31:O37" si="24">N31/M31</f>
        <v>121.36567164179104</v>
      </c>
      <c r="P31" s="116">
        <f t="shared" si="18"/>
        <v>0</v>
      </c>
      <c r="Q31" s="117">
        <f t="shared" si="19"/>
        <v>-45.300995024875618</v>
      </c>
      <c r="R31" s="479">
        <f t="shared" si="20"/>
        <v>0.72819402985074633</v>
      </c>
      <c r="S31" s="676">
        <f>R43</f>
        <v>0.87819470017464019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644"/>
      <c r="AC31" s="644"/>
      <c r="AD31" s="52"/>
      <c r="AE31" s="52"/>
      <c r="AF31" s="116">
        <f t="shared" si="6"/>
        <v>-543.61194029850753</v>
      </c>
      <c r="AG31" s="120">
        <f t="shared" si="7"/>
        <v>0.72819402985074622</v>
      </c>
      <c r="AH31" s="672">
        <f>AG43</f>
        <v>0.86953930145638403</v>
      </c>
    </row>
    <row r="32" spans="1:34" ht="19.2" customHeight="1">
      <c r="A32" s="675"/>
      <c r="B32" s="121" t="s">
        <v>104</v>
      </c>
      <c r="C32" s="122"/>
      <c r="D32" s="42" t="s">
        <v>61</v>
      </c>
      <c r="E32" s="43"/>
      <c r="F32" s="273">
        <v>35.33</v>
      </c>
      <c r="G32" s="134">
        <v>1355.1999999999998</v>
      </c>
      <c r="H32" s="84">
        <f t="shared" si="22"/>
        <v>47879.215999999993</v>
      </c>
      <c r="I32" s="46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1935.9999999999991</v>
      </c>
      <c r="O32" s="47">
        <f t="shared" si="24"/>
        <v>161.33333333333326</v>
      </c>
      <c r="P32" s="116">
        <f t="shared" si="18"/>
        <v>0</v>
      </c>
      <c r="Q32" s="49">
        <f t="shared" si="19"/>
        <v>-15.166666666666742</v>
      </c>
      <c r="R32" s="475">
        <f t="shared" si="20"/>
        <v>0.91406987724268129</v>
      </c>
      <c r="S32" s="667"/>
      <c r="T32" s="89">
        <v>0.17499999999999999</v>
      </c>
      <c r="U32" s="89">
        <v>0.20416666666666666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644"/>
      <c r="AC32" s="644"/>
      <c r="AD32" s="484"/>
      <c r="AE32" s="484"/>
      <c r="AF32" s="48">
        <f t="shared" si="6"/>
        <v>-182.00000000000091</v>
      </c>
      <c r="AG32" s="475">
        <f t="shared" si="7"/>
        <v>0.91406987724268129</v>
      </c>
      <c r="AH32" s="658"/>
    </row>
    <row r="33" spans="1:34" ht="19.2" customHeight="1">
      <c r="A33" s="675"/>
      <c r="B33" s="121" t="s">
        <v>104</v>
      </c>
      <c r="C33" s="484"/>
      <c r="D33" s="42" t="s">
        <v>87</v>
      </c>
      <c r="E33" s="83"/>
      <c r="F33" s="273">
        <v>34.229999999999997</v>
      </c>
      <c r="G33" s="134">
        <v>2312.1</v>
      </c>
      <c r="H33" s="84">
        <f t="shared" si="22"/>
        <v>79143.18299999999</v>
      </c>
      <c r="I33" s="48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2070.5373134328361</v>
      </c>
      <c r="O33" s="47">
        <f t="shared" si="24"/>
        <v>159.27210103329509</v>
      </c>
      <c r="P33" s="116">
        <f t="shared" si="18"/>
        <v>0</v>
      </c>
      <c r="Q33" s="49">
        <f t="shared" si="19"/>
        <v>-13.804822043627979</v>
      </c>
      <c r="R33" s="475">
        <f t="shared" si="20"/>
        <v>0.9202388059701494</v>
      </c>
      <c r="S33" s="667"/>
      <c r="T33" s="89">
        <v>0.21875</v>
      </c>
      <c r="U33" s="89">
        <v>0.26527777777777778</v>
      </c>
      <c r="V33" s="142">
        <v>21</v>
      </c>
      <c r="W33" s="90">
        <f t="shared" si="25"/>
        <v>67</v>
      </c>
      <c r="X33" s="123">
        <v>0.20833333333333334</v>
      </c>
      <c r="Y33" s="123">
        <v>0.21736111111111112</v>
      </c>
      <c r="Z33" s="124"/>
      <c r="AA33" s="124"/>
      <c r="AB33" s="644"/>
      <c r="AC33" s="644"/>
      <c r="AD33" s="484">
        <v>1</v>
      </c>
      <c r="AE33" s="484"/>
      <c r="AF33" s="48">
        <f t="shared" si="6"/>
        <v>-179.46268656716393</v>
      </c>
      <c r="AG33" s="125">
        <f t="shared" si="7"/>
        <v>0.9202388059701494</v>
      </c>
      <c r="AH33" s="658"/>
    </row>
    <row r="34" spans="1:34" ht="19.2" customHeight="1">
      <c r="A34" s="675"/>
      <c r="B34" s="121" t="s">
        <v>104</v>
      </c>
      <c r="C34" s="126"/>
      <c r="D34" s="147" t="s">
        <v>185</v>
      </c>
      <c r="E34" s="83"/>
      <c r="F34" s="273">
        <v>25.26</v>
      </c>
      <c r="G34" s="137">
        <v>701</v>
      </c>
      <c r="H34" s="84">
        <f t="shared" si="22"/>
        <v>17707.260000000002</v>
      </c>
      <c r="I34" s="484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2002.8571428571424</v>
      </c>
      <c r="O34" s="47">
        <f t="shared" si="24"/>
        <v>286.12244897959175</v>
      </c>
      <c r="P34" s="116">
        <f t="shared" si="18"/>
        <v>0</v>
      </c>
      <c r="Q34" s="49">
        <f t="shared" si="19"/>
        <v>-28.163265306122526</v>
      </c>
      <c r="R34" s="475">
        <f t="shared" si="20"/>
        <v>0.91038961038961019</v>
      </c>
      <c r="S34" s="667"/>
      <c r="T34" s="89">
        <v>0.26874999999999999</v>
      </c>
      <c r="U34" s="89">
        <v>0.28333333333333333</v>
      </c>
      <c r="V34" s="137">
        <v>5</v>
      </c>
      <c r="W34" s="90">
        <f t="shared" si="25"/>
        <v>21.000000000000007</v>
      </c>
      <c r="X34" s="123"/>
      <c r="Y34" s="123"/>
      <c r="Z34" s="124"/>
      <c r="AA34" s="124"/>
      <c r="AB34" s="644"/>
      <c r="AC34" s="644"/>
      <c r="AD34" s="484"/>
      <c r="AE34" s="484"/>
      <c r="AF34" s="48">
        <f t="shared" si="6"/>
        <v>-197.14285714285757</v>
      </c>
      <c r="AG34" s="125">
        <f t="shared" si="7"/>
        <v>0.91038961038961019</v>
      </c>
      <c r="AH34" s="658"/>
    </row>
    <row r="35" spans="1:34" ht="19.2" customHeight="1">
      <c r="A35" s="675"/>
      <c r="B35" s="121" t="s">
        <v>103</v>
      </c>
      <c r="C35" s="41"/>
      <c r="D35" s="150" t="s">
        <v>60</v>
      </c>
      <c r="E35" s="43"/>
      <c r="F35" s="273">
        <v>43.14</v>
      </c>
      <c r="G35" s="137">
        <v>1990</v>
      </c>
      <c r="H35" s="84">
        <f t="shared" si="22"/>
        <v>85848.6</v>
      </c>
      <c r="I35" s="47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1312.0879120879122</v>
      </c>
      <c r="O35" s="47">
        <f t="shared" si="24"/>
        <v>82.005494505494511</v>
      </c>
      <c r="P35" s="116">
        <f t="shared" si="18"/>
        <v>-1</v>
      </c>
      <c r="Q35" s="49">
        <f t="shared" si="19"/>
        <v>-6.2297996121525472</v>
      </c>
      <c r="R35" s="475">
        <f t="shared" si="20"/>
        <v>0.92939560439560442</v>
      </c>
      <c r="S35" s="667"/>
      <c r="T35" s="89">
        <v>0.2986111111111111</v>
      </c>
      <c r="U35" s="89">
        <v>0.36180555555555555</v>
      </c>
      <c r="V35" s="134">
        <v>22</v>
      </c>
      <c r="W35" s="90">
        <f t="shared" si="25"/>
        <v>91</v>
      </c>
      <c r="X35" s="123">
        <v>0.28819444444444448</v>
      </c>
      <c r="Y35" s="123">
        <v>0.29722222222222222</v>
      </c>
      <c r="Z35" s="124"/>
      <c r="AA35" s="124"/>
      <c r="AB35" s="644"/>
      <c r="AC35" s="644"/>
      <c r="AD35" s="484"/>
      <c r="AE35" s="484"/>
      <c r="AF35" s="116">
        <f t="shared" si="6"/>
        <v>-187.91208791208783</v>
      </c>
      <c r="AG35" s="120">
        <f t="shared" si="7"/>
        <v>0.87472527472527484</v>
      </c>
      <c r="AH35" s="659"/>
    </row>
    <row r="36" spans="1:34" ht="19.2" customHeight="1">
      <c r="A36" s="675"/>
      <c r="B36" s="121" t="s">
        <v>102</v>
      </c>
      <c r="C36" s="128"/>
      <c r="D36" s="150" t="s">
        <v>149</v>
      </c>
      <c r="E36" s="83"/>
      <c r="F36" s="273">
        <v>49.91</v>
      </c>
      <c r="G36" s="134">
        <v>3145.6000000000004</v>
      </c>
      <c r="H36" s="84">
        <f t="shared" si="22"/>
        <v>156996.89600000001</v>
      </c>
      <c r="I36" s="484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1367.6521739130435</v>
      </c>
      <c r="O36" s="47">
        <f t="shared" si="24"/>
        <v>80.450127877237847</v>
      </c>
      <c r="P36" s="116">
        <f t="shared" si="18"/>
        <v>0</v>
      </c>
      <c r="Q36" s="49">
        <f t="shared" si="19"/>
        <v>-11.608695652173921</v>
      </c>
      <c r="R36" s="475">
        <f t="shared" si="20"/>
        <v>0.87389915266009155</v>
      </c>
      <c r="S36" s="667"/>
      <c r="T36" s="89">
        <v>0.37777777777777777</v>
      </c>
      <c r="U36" s="89">
        <v>0.47361111111111109</v>
      </c>
      <c r="V36" s="134">
        <v>23</v>
      </c>
      <c r="W36" s="90">
        <f t="shared" si="25"/>
        <v>138</v>
      </c>
      <c r="X36" s="123">
        <v>0.3666666666666667</v>
      </c>
      <c r="Y36" s="123">
        <v>0.37638888888888888</v>
      </c>
      <c r="Z36" s="124"/>
      <c r="AA36" s="124"/>
      <c r="AB36" s="644"/>
      <c r="AC36" s="644"/>
      <c r="AD36" s="484"/>
      <c r="AE36" s="484"/>
      <c r="AF36" s="48">
        <f t="shared" si="6"/>
        <v>-197.3478260869565</v>
      </c>
      <c r="AG36" s="475">
        <f t="shared" si="7"/>
        <v>0.87389915266009166</v>
      </c>
      <c r="AH36" s="659"/>
    </row>
    <row r="37" spans="1:34" ht="19.2" customHeight="1">
      <c r="A37" s="675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3606</v>
      </c>
      <c r="H37" s="84">
        <f t="shared" si="22"/>
        <v>138758.87999999998</v>
      </c>
      <c r="I37" s="484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2377.5824175824177</v>
      </c>
      <c r="O37" s="47">
        <f t="shared" si="24"/>
        <v>125.13591671486409</v>
      </c>
      <c r="P37" s="116">
        <f t="shared" si="18"/>
        <v>0</v>
      </c>
      <c r="Q37" s="49">
        <f t="shared" si="19"/>
        <v>-20.600925390399055</v>
      </c>
      <c r="R37" s="475">
        <f t="shared" si="20"/>
        <v>0.85864298215327484</v>
      </c>
      <c r="S37" s="667"/>
      <c r="T37" s="89">
        <v>0.51388888888888884</v>
      </c>
      <c r="U37" s="89">
        <v>0.57708333333333328</v>
      </c>
      <c r="V37" s="134">
        <v>5</v>
      </c>
      <c r="W37" s="90">
        <f t="shared" si="25"/>
        <v>91</v>
      </c>
      <c r="X37" s="123"/>
      <c r="Y37" s="123"/>
      <c r="Z37" s="124"/>
      <c r="AA37" s="124"/>
      <c r="AB37" s="644"/>
      <c r="AC37" s="644"/>
      <c r="AD37" s="484"/>
      <c r="AE37" s="484"/>
      <c r="AF37" s="48">
        <f t="shared" si="6"/>
        <v>-391.41758241758225</v>
      </c>
      <c r="AG37" s="125">
        <f t="shared" si="7"/>
        <v>0.85864298215327473</v>
      </c>
      <c r="AH37" s="659"/>
    </row>
    <row r="38" spans="1:34" ht="19.2" customHeight="1">
      <c r="A38" s="675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484"/>
      <c r="J38" s="46"/>
      <c r="K38" s="44"/>
      <c r="L38" s="47"/>
      <c r="M38" s="474" t="s">
        <v>15</v>
      </c>
      <c r="N38" s="44"/>
      <c r="O38" s="47"/>
      <c r="P38" s="116"/>
      <c r="Q38" s="49"/>
      <c r="R38" s="475"/>
      <c r="S38" s="667"/>
      <c r="T38" s="151"/>
      <c r="U38" s="151"/>
      <c r="V38" s="484"/>
      <c r="W38" s="90">
        <f t="shared" si="25"/>
        <v>0</v>
      </c>
      <c r="X38" s="123"/>
      <c r="Y38" s="123"/>
      <c r="Z38" s="124"/>
      <c r="AA38" s="124"/>
      <c r="AB38" s="644"/>
      <c r="AC38" s="644"/>
      <c r="AD38" s="484"/>
      <c r="AE38" s="484"/>
      <c r="AF38" s="48">
        <f t="shared" si="6"/>
        <v>0</v>
      </c>
      <c r="AG38" s="125" t="e">
        <f t="shared" si="7"/>
        <v>#DIV/0!</v>
      </c>
      <c r="AH38" s="659"/>
    </row>
    <row r="39" spans="1:34" ht="19.2" customHeight="1">
      <c r="A39" s="675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84"/>
      <c r="J39" s="113"/>
      <c r="K39" s="94"/>
      <c r="L39" s="95"/>
      <c r="M39" s="474" t="s">
        <v>15</v>
      </c>
      <c r="N39" s="44"/>
      <c r="O39" s="47"/>
      <c r="P39" s="116"/>
      <c r="Q39" s="49"/>
      <c r="R39" s="475"/>
      <c r="S39" s="667"/>
      <c r="T39" s="89"/>
      <c r="U39" s="89"/>
      <c r="V39" s="484"/>
      <c r="W39" s="90"/>
      <c r="X39" s="123"/>
      <c r="Y39" s="123"/>
      <c r="Z39" s="124"/>
      <c r="AA39" s="124"/>
      <c r="AB39" s="644"/>
      <c r="AC39" s="644"/>
      <c r="AD39" s="484"/>
      <c r="AE39" s="484"/>
      <c r="AF39" s="116">
        <f t="shared" si="6"/>
        <v>0</v>
      </c>
      <c r="AG39" s="120" t="e">
        <f t="shared" si="7"/>
        <v>#DIV/0!</v>
      </c>
      <c r="AH39" s="659"/>
    </row>
    <row r="40" spans="1:34" ht="19.2" customHeight="1">
      <c r="A40" s="675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71"/>
      <c r="J40" s="46"/>
      <c r="K40" s="44"/>
      <c r="L40" s="47"/>
      <c r="M40" s="469" t="s">
        <v>15</v>
      </c>
      <c r="N40" s="44"/>
      <c r="O40" s="47"/>
      <c r="P40" s="116"/>
      <c r="Q40" s="49"/>
      <c r="R40" s="475"/>
      <c r="S40" s="667"/>
      <c r="T40" s="89"/>
      <c r="U40" s="89"/>
      <c r="V40" s="484"/>
      <c r="W40" s="90">
        <f>(U40-T40)*24*60</f>
        <v>0</v>
      </c>
      <c r="X40" s="123"/>
      <c r="Y40" s="123"/>
      <c r="Z40" s="124"/>
      <c r="AA40" s="124"/>
      <c r="AB40" s="644"/>
      <c r="AC40" s="644"/>
      <c r="AD40" s="484"/>
      <c r="AE40" s="484"/>
      <c r="AF40" s="48">
        <f t="shared" si="6"/>
        <v>0</v>
      </c>
      <c r="AG40" s="475" t="e">
        <f t="shared" si="7"/>
        <v>#DIV/0!</v>
      </c>
      <c r="AH40" s="659"/>
    </row>
    <row r="41" spans="1:34" ht="19.2" customHeight="1">
      <c r="A41" s="675"/>
      <c r="B41" s="484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484"/>
      <c r="J41" s="87"/>
      <c r="K41" s="57"/>
      <c r="L41" s="86"/>
      <c r="M41" s="474" t="s">
        <v>15</v>
      </c>
      <c r="N41" s="57"/>
      <c r="O41" s="86"/>
      <c r="P41" s="54"/>
      <c r="Q41" s="88"/>
      <c r="R41" s="478"/>
      <c r="S41" s="667"/>
      <c r="T41" s="89"/>
      <c r="U41" s="89"/>
      <c r="V41" s="484"/>
      <c r="W41" s="90">
        <f>(U41-T41)*24*60</f>
        <v>0</v>
      </c>
      <c r="X41" s="123"/>
      <c r="Y41" s="123"/>
      <c r="Z41" s="124"/>
      <c r="AA41" s="124"/>
      <c r="AB41" s="644"/>
      <c r="AC41" s="644"/>
      <c r="AD41" s="484"/>
      <c r="AE41" s="484"/>
      <c r="AF41" s="48"/>
      <c r="AG41" s="129"/>
      <c r="AH41" s="659"/>
    </row>
    <row r="42" spans="1:34" ht="19.2" customHeight="1">
      <c r="A42" s="675"/>
      <c r="B42" s="48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84"/>
      <c r="J42" s="87"/>
      <c r="K42" s="57"/>
      <c r="L42" s="86"/>
      <c r="M42" s="474" t="s">
        <v>15</v>
      </c>
      <c r="N42" s="57"/>
      <c r="O42" s="86"/>
      <c r="P42" s="54"/>
      <c r="Q42" s="88"/>
      <c r="R42" s="478"/>
      <c r="S42" s="667"/>
      <c r="T42" s="89"/>
      <c r="U42" s="89"/>
      <c r="V42" s="484"/>
      <c r="W42" s="90">
        <f t="shared" si="25"/>
        <v>0</v>
      </c>
      <c r="X42" s="123"/>
      <c r="Y42" s="123"/>
      <c r="Z42" s="124"/>
      <c r="AA42" s="124"/>
      <c r="AB42" s="644"/>
      <c r="AC42" s="644"/>
      <c r="AD42" s="484"/>
      <c r="AE42" s="484"/>
      <c r="AF42" s="48"/>
      <c r="AG42" s="129"/>
      <c r="AH42" s="659"/>
    </row>
    <row r="43" spans="1:34" ht="19.2" customHeight="1">
      <c r="A43" s="675"/>
      <c r="B43" s="121">
        <v>0</v>
      </c>
      <c r="C43" s="100" t="s">
        <v>522</v>
      </c>
      <c r="D43" s="673" t="s">
        <v>518</v>
      </c>
      <c r="E43" s="673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1789.0150027964062</v>
      </c>
      <c r="O43" s="104">
        <f t="shared" si="26"/>
        <v>145.09787058365825</v>
      </c>
      <c r="P43" s="54">
        <f>M43-J43</f>
        <v>-0.14285714285714413</v>
      </c>
      <c r="Q43" s="88">
        <f>N43-K43</f>
        <v>-268.41356863216538</v>
      </c>
      <c r="R43" s="105">
        <f t="shared" ref="R43:R50" si="27">O43/L43</f>
        <v>0.87819470017464019</v>
      </c>
      <c r="S43" s="667"/>
      <c r="T43" s="89"/>
      <c r="U43" s="89"/>
      <c r="V43" s="484"/>
      <c r="W43" s="484"/>
      <c r="X43" s="123"/>
      <c r="Y43" s="123"/>
      <c r="Z43" s="132">
        <f>SUM(Z31:Z42)</f>
        <v>0</v>
      </c>
      <c r="AA43" s="132">
        <f>SUM(AA31:AA42)</f>
        <v>0</v>
      </c>
      <c r="AB43" s="644"/>
      <c r="AC43" s="644"/>
      <c r="AD43" s="107">
        <f>SUM(AD31:AD42)</f>
        <v>1</v>
      </c>
      <c r="AE43" s="107">
        <f>SUM(AE31:AE42)</f>
        <v>0</v>
      </c>
      <c r="AF43" s="48">
        <f t="shared" ref="AF43:AF54" si="28">N43-K43</f>
        <v>-268.41356863216538</v>
      </c>
      <c r="AG43" s="476">
        <f t="shared" si="7"/>
        <v>0.86953930145638403</v>
      </c>
      <c r="AH43" s="659"/>
    </row>
    <row r="44" spans="1:34" s="145" customFormat="1" ht="19.2" customHeight="1">
      <c r="A44" s="678" t="s">
        <v>523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1821</v>
      </c>
      <c r="H44" s="45">
        <f>F44*G44</f>
        <v>45033.33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2101.1538461538471</v>
      </c>
      <c r="O44" s="138">
        <f t="shared" ref="O44:O50" si="30">N44/M44</f>
        <v>420.2307692307694</v>
      </c>
      <c r="P44" s="51">
        <f t="shared" ref="P44:P50" si="31">M44-J44</f>
        <v>1</v>
      </c>
      <c r="Q44" s="139">
        <f t="shared" ref="Q44:Q50" si="32">O44-L44</f>
        <v>-79.769230769230603</v>
      </c>
      <c r="R44" s="140">
        <f t="shared" si="27"/>
        <v>0.84046153846153882</v>
      </c>
      <c r="S44" s="658">
        <f>R56</f>
        <v>0.89946362577918815</v>
      </c>
      <c r="T44" s="118">
        <v>0.125</v>
      </c>
      <c r="U44" s="118">
        <v>0.16111111111111109</v>
      </c>
      <c r="V44" s="142">
        <v>8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644"/>
      <c r="AC44" s="644"/>
      <c r="AD44" s="484"/>
      <c r="AE44" s="484"/>
      <c r="AF44" s="144">
        <f t="shared" si="28"/>
        <v>101.1538461538471</v>
      </c>
      <c r="AG44" s="480">
        <f t="shared" si="7"/>
        <v>1.0505769230769235</v>
      </c>
      <c r="AH44" s="681">
        <f>AG56</f>
        <v>0.98300610225085316</v>
      </c>
    </row>
    <row r="45" spans="1:34" s="145" customFormat="1" ht="19.2" customHeight="1">
      <c r="A45" s="679"/>
      <c r="B45" s="97" t="s">
        <v>104</v>
      </c>
      <c r="C45" s="133"/>
      <c r="D45" s="42" t="s">
        <v>73</v>
      </c>
      <c r="E45" s="43"/>
      <c r="F45" s="280">
        <v>24.73</v>
      </c>
      <c r="G45" s="134">
        <v>1648</v>
      </c>
      <c r="H45" s="45">
        <f>F45*G45</f>
        <v>40755.040000000001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2149.5652173913045</v>
      </c>
      <c r="O45" s="138">
        <f t="shared" si="30"/>
        <v>429.91304347826087</v>
      </c>
      <c r="P45" s="51">
        <f t="shared" si="31"/>
        <v>1</v>
      </c>
      <c r="Q45" s="139">
        <f t="shared" si="32"/>
        <v>-70.086956521739125</v>
      </c>
      <c r="R45" s="140">
        <f t="shared" si="27"/>
        <v>0.85982608695652174</v>
      </c>
      <c r="S45" s="658"/>
      <c r="T45" s="89">
        <v>0.16666666666666666</v>
      </c>
      <c r="U45" s="89">
        <v>0.1986111111111111</v>
      </c>
      <c r="V45" s="142">
        <v>8</v>
      </c>
      <c r="W45" s="143">
        <f t="shared" si="33"/>
        <v>46</v>
      </c>
      <c r="X45" s="123"/>
      <c r="Y45" s="123"/>
      <c r="Z45" s="124"/>
      <c r="AA45" s="124"/>
      <c r="AB45" s="644"/>
      <c r="AC45" s="644"/>
      <c r="AD45" s="484">
        <v>1</v>
      </c>
      <c r="AE45" s="484"/>
      <c r="AF45" s="144">
        <f t="shared" si="28"/>
        <v>149.56521739130449</v>
      </c>
      <c r="AG45" s="480">
        <f t="shared" si="7"/>
        <v>1.0747826086956522</v>
      </c>
      <c r="AH45" s="681"/>
    </row>
    <row r="46" spans="1:34" s="145" customFormat="1" ht="19.2" customHeight="1">
      <c r="A46" s="679"/>
      <c r="B46" s="97" t="s">
        <v>103</v>
      </c>
      <c r="C46" s="133"/>
      <c r="D46" s="42" t="s">
        <v>65</v>
      </c>
      <c r="E46" s="43"/>
      <c r="F46" s="280">
        <v>31.43</v>
      </c>
      <c r="G46" s="134">
        <v>1714</v>
      </c>
      <c r="H46" s="45">
        <f t="shared" ref="H46:H55" si="34">F46*G46</f>
        <v>53871.02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1448.4507042253515</v>
      </c>
      <c r="O46" s="138">
        <f t="shared" si="30"/>
        <v>206.92152917505021</v>
      </c>
      <c r="P46" s="51">
        <f t="shared" si="31"/>
        <v>0</v>
      </c>
      <c r="Q46" s="139">
        <f t="shared" si="32"/>
        <v>-7.3641851106640672</v>
      </c>
      <c r="R46" s="140">
        <f t="shared" si="27"/>
        <v>0.96563380281690103</v>
      </c>
      <c r="S46" s="658"/>
      <c r="T46" s="89">
        <v>0.2159722222222222</v>
      </c>
      <c r="U46" s="89">
        <v>0.26527777777777778</v>
      </c>
      <c r="V46" s="142">
        <v>25</v>
      </c>
      <c r="W46" s="143">
        <f t="shared" si="33"/>
        <v>71.000000000000028</v>
      </c>
      <c r="X46" s="123">
        <v>0.20277777777777781</v>
      </c>
      <c r="Y46" s="123">
        <v>0.21527777777777779</v>
      </c>
      <c r="Z46" s="124"/>
      <c r="AA46" s="124"/>
      <c r="AB46" s="644"/>
      <c r="AC46" s="644"/>
      <c r="AD46" s="484"/>
      <c r="AE46" s="484"/>
      <c r="AF46" s="144">
        <f t="shared" si="28"/>
        <v>-51.549295774648499</v>
      </c>
      <c r="AG46" s="480">
        <f t="shared" si="7"/>
        <v>0.96563380281690103</v>
      </c>
      <c r="AH46" s="681"/>
    </row>
    <row r="47" spans="1:34" s="145" customFormat="1" ht="19.2" customHeight="1">
      <c r="A47" s="679"/>
      <c r="B47" s="97" t="s">
        <v>103</v>
      </c>
      <c r="C47" s="133"/>
      <c r="D47" s="42" t="s">
        <v>148</v>
      </c>
      <c r="E47" s="148"/>
      <c r="F47" s="280">
        <v>11.86</v>
      </c>
      <c r="G47" s="137">
        <v>1601</v>
      </c>
      <c r="H47" s="45">
        <f t="shared" si="34"/>
        <v>18987.86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1433.7313432835822</v>
      </c>
      <c r="O47" s="138">
        <f t="shared" si="30"/>
        <v>238.95522388059703</v>
      </c>
      <c r="P47" s="51">
        <f t="shared" si="31"/>
        <v>0</v>
      </c>
      <c r="Q47" s="139">
        <f t="shared" si="32"/>
        <v>-33.711442786069654</v>
      </c>
      <c r="R47" s="140">
        <f t="shared" si="27"/>
        <v>0.87636390176258072</v>
      </c>
      <c r="S47" s="658"/>
      <c r="T47" s="89">
        <v>0.27569444444444446</v>
      </c>
      <c r="U47" s="89">
        <v>0.32222222222222224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644"/>
      <c r="AC47" s="644"/>
      <c r="AD47" s="484"/>
      <c r="AE47" s="484"/>
      <c r="AF47" s="144">
        <f t="shared" si="28"/>
        <v>-202.26865671641781</v>
      </c>
      <c r="AG47" s="480">
        <f t="shared" si="7"/>
        <v>0.87636390176258083</v>
      </c>
      <c r="AH47" s="681"/>
    </row>
    <row r="48" spans="1:34" s="145" customFormat="1" ht="19.2" customHeight="1">
      <c r="A48" s="679"/>
      <c r="B48" s="97" t="s">
        <v>103</v>
      </c>
      <c r="C48" s="133"/>
      <c r="D48" s="42" t="s">
        <v>171</v>
      </c>
      <c r="E48" s="148"/>
      <c r="F48" s="280">
        <v>28.47</v>
      </c>
      <c r="G48" s="137">
        <v>895</v>
      </c>
      <c r="H48" s="45">
        <f t="shared" si="34"/>
        <v>25480.649999999998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1413.1578947368412</v>
      </c>
      <c r="O48" s="138">
        <f t="shared" si="30"/>
        <v>201.87969924812018</v>
      </c>
      <c r="P48" s="51">
        <f t="shared" si="31"/>
        <v>0</v>
      </c>
      <c r="Q48" s="139">
        <f t="shared" si="32"/>
        <v>-12.406015037594102</v>
      </c>
      <c r="R48" s="140">
        <f t="shared" si="27"/>
        <v>0.94210526315789422</v>
      </c>
      <c r="S48" s="658"/>
      <c r="T48" s="89">
        <v>0.33263888888888893</v>
      </c>
      <c r="U48" s="89">
        <v>0.35902777777777783</v>
      </c>
      <c r="V48" s="134">
        <v>15</v>
      </c>
      <c r="W48" s="143">
        <f t="shared" si="33"/>
        <v>38.000000000000028</v>
      </c>
      <c r="X48" s="123"/>
      <c r="Y48" s="123"/>
      <c r="Z48" s="124"/>
      <c r="AA48" s="124"/>
      <c r="AB48" s="644"/>
      <c r="AC48" s="644"/>
      <c r="AD48" s="484"/>
      <c r="AE48" s="484"/>
      <c r="AF48" s="144">
        <f t="shared" si="28"/>
        <v>-86.842105263158828</v>
      </c>
      <c r="AG48" s="480">
        <f t="shared" si="7"/>
        <v>0.94210526315789411</v>
      </c>
      <c r="AH48" s="681"/>
    </row>
    <row r="49" spans="1:34" s="145" customFormat="1" ht="19.2" customHeight="1">
      <c r="A49" s="679"/>
      <c r="B49" s="97" t="s">
        <v>105</v>
      </c>
      <c r="C49" s="133"/>
      <c r="D49" s="42" t="s">
        <v>64</v>
      </c>
      <c r="E49" s="148"/>
      <c r="F49" s="280">
        <v>10.09</v>
      </c>
      <c r="G49" s="134">
        <v>3036.81</v>
      </c>
      <c r="H49" s="45">
        <f t="shared" si="34"/>
        <v>30641.412899999999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1446.1000000000004</v>
      </c>
      <c r="O49" s="138">
        <f t="shared" si="30"/>
        <v>241.01666666666674</v>
      </c>
      <c r="P49" s="51">
        <f t="shared" si="31"/>
        <v>0</v>
      </c>
      <c r="Q49" s="139">
        <f t="shared" si="32"/>
        <v>-8.9833333333332632</v>
      </c>
      <c r="R49" s="140">
        <f t="shared" si="27"/>
        <v>0.96406666666666696</v>
      </c>
      <c r="S49" s="658"/>
      <c r="T49" s="89">
        <v>0.37986111111111115</v>
      </c>
      <c r="U49" s="89">
        <v>0.46736111111111112</v>
      </c>
      <c r="V49" s="134">
        <v>30</v>
      </c>
      <c r="W49" s="143">
        <f t="shared" si="33"/>
        <v>125.99999999999996</v>
      </c>
      <c r="X49" s="152">
        <v>0.36319444444444443</v>
      </c>
      <c r="Y49" s="152">
        <v>0.37847222222222227</v>
      </c>
      <c r="Z49" s="153"/>
      <c r="AA49" s="124"/>
      <c r="AB49" s="644"/>
      <c r="AC49" s="644"/>
      <c r="AD49" s="484"/>
      <c r="AE49" s="484"/>
      <c r="AF49" s="144">
        <f t="shared" si="28"/>
        <v>-53.899999999999636</v>
      </c>
      <c r="AG49" s="480">
        <f t="shared" si="7"/>
        <v>0.96406666666666696</v>
      </c>
      <c r="AH49" s="681"/>
    </row>
    <row r="50" spans="1:34" s="145" customFormat="1" ht="19.2" customHeight="1">
      <c r="A50" s="679"/>
      <c r="B50" s="97" t="s">
        <v>105</v>
      </c>
      <c r="C50" s="133"/>
      <c r="D50" s="42" t="s">
        <v>64</v>
      </c>
      <c r="E50" s="148"/>
      <c r="F50" s="280">
        <v>10.09</v>
      </c>
      <c r="G50" s="134">
        <v>4193.6899999999996</v>
      </c>
      <c r="H50" s="45">
        <f t="shared" si="34"/>
        <v>42314.332099999992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1446.1000000000004</v>
      </c>
      <c r="O50" s="138">
        <f t="shared" si="30"/>
        <v>241.01666666666674</v>
      </c>
      <c r="P50" s="51">
        <f t="shared" si="31"/>
        <v>0</v>
      </c>
      <c r="Q50" s="139">
        <f t="shared" si="32"/>
        <v>-8.9833333333332632</v>
      </c>
      <c r="R50" s="140">
        <f t="shared" si="27"/>
        <v>0.96406666666666696</v>
      </c>
      <c r="S50" s="658"/>
      <c r="T50" s="89">
        <v>0.48819444444444443</v>
      </c>
      <c r="U50" s="89">
        <v>0.60902777777777772</v>
      </c>
      <c r="V50" s="134">
        <v>30</v>
      </c>
      <c r="W50" s="143">
        <f t="shared" si="33"/>
        <v>173.99999999999994</v>
      </c>
      <c r="X50" s="152">
        <v>0.47152777777777777</v>
      </c>
      <c r="Y50" s="152">
        <v>0.48749999999999999</v>
      </c>
      <c r="Z50" s="153"/>
      <c r="AA50" s="153"/>
      <c r="AB50" s="644"/>
      <c r="AC50" s="644"/>
      <c r="AD50" s="484"/>
      <c r="AE50" s="484"/>
      <c r="AF50" s="144">
        <f t="shared" si="28"/>
        <v>-53.899999999999636</v>
      </c>
      <c r="AG50" s="480">
        <f t="shared" si="7"/>
        <v>0.96406666666666696</v>
      </c>
      <c r="AH50" s="681"/>
    </row>
    <row r="51" spans="1:34" s="145" customFormat="1" ht="19.2" customHeight="1">
      <c r="A51" s="679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658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644"/>
      <c r="AC51" s="644"/>
      <c r="AD51" s="484"/>
      <c r="AE51" s="484"/>
      <c r="AF51" s="144">
        <f t="shared" si="28"/>
        <v>0</v>
      </c>
      <c r="AG51" s="480" t="e">
        <f t="shared" si="7"/>
        <v>#DIV/0!</v>
      </c>
      <c r="AH51" s="681"/>
    </row>
    <row r="52" spans="1:34" s="145" customFormat="1" ht="19.2" customHeight="1">
      <c r="A52" s="679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65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44"/>
      <c r="AC52" s="644"/>
      <c r="AD52" s="484"/>
      <c r="AE52" s="484"/>
      <c r="AF52" s="144">
        <f t="shared" si="28"/>
        <v>0</v>
      </c>
      <c r="AG52" s="480" t="e">
        <f t="shared" si="7"/>
        <v>#DIV/0!</v>
      </c>
      <c r="AH52" s="681"/>
    </row>
    <row r="53" spans="1:34" s="145" customFormat="1" ht="19.2" customHeight="1">
      <c r="A53" s="679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478"/>
      <c r="S53" s="65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44"/>
      <c r="AC53" s="644"/>
      <c r="AD53" s="484"/>
      <c r="AE53" s="484"/>
      <c r="AF53" s="144">
        <f t="shared" si="28"/>
        <v>0</v>
      </c>
      <c r="AG53" s="480" t="e">
        <f t="shared" si="7"/>
        <v>#DIV/0!</v>
      </c>
      <c r="AH53" s="681"/>
    </row>
    <row r="54" spans="1:34" s="145" customFormat="1" ht="19.2" customHeight="1">
      <c r="A54" s="679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478"/>
      <c r="S54" s="65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44"/>
      <c r="AC54" s="644"/>
      <c r="AD54" s="484"/>
      <c r="AE54" s="484"/>
      <c r="AF54" s="144">
        <f t="shared" si="28"/>
        <v>0</v>
      </c>
      <c r="AG54" s="480" t="e">
        <f t="shared" si="7"/>
        <v>#DIV/0!</v>
      </c>
      <c r="AH54" s="681"/>
    </row>
    <row r="55" spans="1:34" s="145" customFormat="1" ht="19.2" customHeight="1">
      <c r="A55" s="679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78"/>
      <c r="S55" s="65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44"/>
      <c r="AC55" s="644"/>
      <c r="AD55" s="484"/>
      <c r="AE55" s="484"/>
      <c r="AF55" s="144"/>
      <c r="AG55" s="480"/>
      <c r="AH55" s="681"/>
    </row>
    <row r="56" spans="1:34" ht="19.2" customHeight="1">
      <c r="A56" s="680"/>
      <c r="B56" s="157">
        <v>0</v>
      </c>
      <c r="C56" s="265" t="s">
        <v>524</v>
      </c>
      <c r="D56" s="677" t="s">
        <v>518</v>
      </c>
      <c r="E56" s="673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1634.0370008272753</v>
      </c>
      <c r="O56" s="104">
        <f t="shared" si="35"/>
        <v>282.84765690659015</v>
      </c>
      <c r="P56" s="158">
        <f>M56-J56</f>
        <v>0.28571428571428559</v>
      </c>
      <c r="Q56" s="117">
        <f>N56-K56</f>
        <v>-28.248713458438942</v>
      </c>
      <c r="R56" s="159">
        <f t="shared" ref="R56:R61" si="36">O56/L56</f>
        <v>0.89946362577918815</v>
      </c>
      <c r="S56" s="658"/>
      <c r="T56" s="160"/>
      <c r="U56" s="160"/>
      <c r="V56" s="47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44"/>
      <c r="AC56" s="644"/>
      <c r="AD56" s="107">
        <f>SUM(AD44:AD55)</f>
        <v>1</v>
      </c>
      <c r="AE56" s="107">
        <f>SUM(AE44:AE55)</f>
        <v>0</v>
      </c>
      <c r="AF56" s="162">
        <f>N56-K56</f>
        <v>-28.248713458438942</v>
      </c>
      <c r="AG56" s="478">
        <f>N56/K56</f>
        <v>0.98300610225085316</v>
      </c>
      <c r="AH56" s="681"/>
    </row>
    <row r="57" spans="1:34" ht="19.2" customHeight="1">
      <c r="A57" s="684" t="s">
        <v>525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1155</v>
      </c>
      <c r="H57" s="84">
        <f t="shared" ref="H57:H66" si="37">F57*G57</f>
        <v>32640.300000000003</v>
      </c>
      <c r="I57" s="484"/>
      <c r="J57" s="87">
        <v>7</v>
      </c>
      <c r="K57" s="57">
        <v>1500</v>
      </c>
      <c r="L57" s="86">
        <v>214.28571428571428</v>
      </c>
      <c r="M57" s="474">
        <v>7</v>
      </c>
      <c r="N57" s="57">
        <f t="shared" ref="N57:N61" si="38">G57/W57*60</f>
        <v>1443.7500000000005</v>
      </c>
      <c r="O57" s="86">
        <f t="shared" ref="O57:O61" si="39">N57/M57</f>
        <v>206.25000000000006</v>
      </c>
      <c r="P57" s="165">
        <f t="shared" ref="P57:P61" si="40">M57-J57</f>
        <v>0</v>
      </c>
      <c r="Q57" s="49">
        <f t="shared" ref="Q57:Q61" si="41">O57-L57</f>
        <v>-8.0357142857142208</v>
      </c>
      <c r="R57" s="475">
        <f t="shared" si="36"/>
        <v>0.96250000000000036</v>
      </c>
      <c r="S57" s="658">
        <f>R69</f>
        <v>0.97474376089443637</v>
      </c>
      <c r="T57" s="50">
        <v>0.125</v>
      </c>
      <c r="U57" s="50">
        <v>0.15833333333333333</v>
      </c>
      <c r="V57" s="471">
        <v>5</v>
      </c>
      <c r="W57" s="468">
        <f>(U57-T57)*24*60</f>
        <v>47.999999999999986</v>
      </c>
      <c r="X57" s="53"/>
      <c r="Y57" s="53"/>
      <c r="Z57" s="54"/>
      <c r="AA57" s="54"/>
      <c r="AB57" s="644"/>
      <c r="AC57" s="644"/>
      <c r="AD57" s="484"/>
      <c r="AE57" s="484"/>
      <c r="AF57" s="48">
        <f t="shared" si="6"/>
        <v>-56.249999999999545</v>
      </c>
      <c r="AG57" s="479">
        <f t="shared" si="7"/>
        <v>0.96250000000000036</v>
      </c>
      <c r="AH57" s="672">
        <f>AG69</f>
        <v>0.97458129103249713</v>
      </c>
    </row>
    <row r="58" spans="1:34" ht="19.2" customHeight="1">
      <c r="A58" s="675"/>
      <c r="B58" s="121" t="s">
        <v>103</v>
      </c>
      <c r="C58" s="484"/>
      <c r="D58" s="42" t="s">
        <v>67</v>
      </c>
      <c r="E58" s="43"/>
      <c r="F58" s="273">
        <v>27.88</v>
      </c>
      <c r="G58" s="44">
        <v>3482</v>
      </c>
      <c r="H58" s="45">
        <f t="shared" si="37"/>
        <v>97078.16</v>
      </c>
      <c r="I58" s="471"/>
      <c r="J58" s="46">
        <v>7</v>
      </c>
      <c r="K58" s="44">
        <v>1500</v>
      </c>
      <c r="L58" s="86">
        <v>214.28571428571428</v>
      </c>
      <c r="M58" s="469">
        <v>7</v>
      </c>
      <c r="N58" s="44">
        <f t="shared" si="38"/>
        <v>1460.9790209790212</v>
      </c>
      <c r="O58" s="47">
        <f t="shared" si="39"/>
        <v>208.71128871128874</v>
      </c>
      <c r="P58" s="165">
        <f t="shared" si="40"/>
        <v>0</v>
      </c>
      <c r="Q58" s="49">
        <f t="shared" si="41"/>
        <v>-5.5744255744255327</v>
      </c>
      <c r="R58" s="475">
        <f t="shared" si="36"/>
        <v>0.97398601398601414</v>
      </c>
      <c r="S58" s="658"/>
      <c r="T58" s="50">
        <v>0.17222222222222222</v>
      </c>
      <c r="U58" s="50">
        <v>0.27152777777777776</v>
      </c>
      <c r="V58" s="471">
        <v>20</v>
      </c>
      <c r="W58" s="468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682"/>
      <c r="AC58" s="683"/>
      <c r="AD58" s="484">
        <v>1</v>
      </c>
      <c r="AE58" s="484"/>
      <c r="AF58" s="48">
        <f t="shared" si="6"/>
        <v>-39.020979020978757</v>
      </c>
      <c r="AG58" s="475">
        <f t="shared" si="7"/>
        <v>0.97398601398601414</v>
      </c>
      <c r="AH58" s="658"/>
    </row>
    <row r="59" spans="1:34" ht="19.2" customHeight="1">
      <c r="A59" s="675"/>
      <c r="B59" s="121" t="s">
        <v>103</v>
      </c>
      <c r="C59" s="484"/>
      <c r="D59" s="42" t="s">
        <v>68</v>
      </c>
      <c r="E59" s="43"/>
      <c r="F59" s="273">
        <v>28</v>
      </c>
      <c r="G59" s="44">
        <v>3339</v>
      </c>
      <c r="H59" s="45">
        <f t="shared" si="37"/>
        <v>93492</v>
      </c>
      <c r="I59" s="471"/>
      <c r="J59" s="46">
        <v>7</v>
      </c>
      <c r="K59" s="44">
        <v>1500</v>
      </c>
      <c r="L59" s="86">
        <v>214.28571428571428</v>
      </c>
      <c r="M59" s="469">
        <v>7</v>
      </c>
      <c r="N59" s="44">
        <f t="shared" si="38"/>
        <v>1473.0882352941176</v>
      </c>
      <c r="O59" s="47">
        <f t="shared" si="39"/>
        <v>210.44117647058823</v>
      </c>
      <c r="P59" s="165">
        <f t="shared" si="40"/>
        <v>0</v>
      </c>
      <c r="Q59" s="49">
        <f t="shared" si="41"/>
        <v>-3.8445378151260456</v>
      </c>
      <c r="R59" s="475">
        <f t="shared" si="36"/>
        <v>0.98205882352941176</v>
      </c>
      <c r="S59" s="658"/>
      <c r="T59" s="50">
        <v>0.28888888888888886</v>
      </c>
      <c r="U59" s="50">
        <v>0.3833333333333333</v>
      </c>
      <c r="V59" s="142">
        <v>25</v>
      </c>
      <c r="W59" s="468">
        <f t="shared" ref="W59:W69" si="42">(U59-T59)*24*60</f>
        <v>136</v>
      </c>
      <c r="X59" s="53">
        <v>0.27569444444444446</v>
      </c>
      <c r="Y59" s="53">
        <v>0.28750000000000003</v>
      </c>
      <c r="Z59" s="54"/>
      <c r="AA59" s="54"/>
      <c r="AB59" s="644"/>
      <c r="AC59" s="644"/>
      <c r="AD59" s="484"/>
      <c r="AE59" s="484"/>
      <c r="AF59" s="48">
        <f t="shared" si="6"/>
        <v>-26.911764705882433</v>
      </c>
      <c r="AG59" s="475">
        <f t="shared" si="7"/>
        <v>0.98205882352941176</v>
      </c>
      <c r="AH59" s="658"/>
    </row>
    <row r="60" spans="1:34" ht="19.2" customHeight="1">
      <c r="A60" s="675"/>
      <c r="B60" s="121" t="s">
        <v>105</v>
      </c>
      <c r="C60" s="484"/>
      <c r="D60" s="42" t="s">
        <v>64</v>
      </c>
      <c r="E60" s="43"/>
      <c r="F60" s="273">
        <v>10.09</v>
      </c>
      <c r="G60" s="44">
        <v>3904.4700000000003</v>
      </c>
      <c r="H60" s="45">
        <f t="shared" si="37"/>
        <v>39396.102299999999</v>
      </c>
      <c r="I60" s="4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1464.17625</v>
      </c>
      <c r="O60" s="47">
        <f t="shared" si="39"/>
        <v>244.02937499999999</v>
      </c>
      <c r="P60" s="165">
        <f t="shared" si="40"/>
        <v>0</v>
      </c>
      <c r="Q60" s="49">
        <f t="shared" si="41"/>
        <v>-5.9706250000000125</v>
      </c>
      <c r="R60" s="475">
        <f t="shared" si="36"/>
        <v>0.97611749999999997</v>
      </c>
      <c r="S60" s="658"/>
      <c r="T60" s="50">
        <v>0.40416666666666662</v>
      </c>
      <c r="U60" s="50">
        <v>0.51527777777777772</v>
      </c>
      <c r="V60" s="142">
        <v>30</v>
      </c>
      <c r="W60" s="468">
        <f t="shared" si="42"/>
        <v>160</v>
      </c>
      <c r="X60" s="53">
        <v>0.38750000000000001</v>
      </c>
      <c r="Y60" s="53">
        <v>0.40347222222222223</v>
      </c>
      <c r="Z60" s="54"/>
      <c r="AA60" s="54"/>
      <c r="AB60" s="644"/>
      <c r="AC60" s="644"/>
      <c r="AD60" s="484">
        <v>1</v>
      </c>
      <c r="AE60" s="484"/>
      <c r="AF60" s="48">
        <f t="shared" si="6"/>
        <v>-35.823750000000018</v>
      </c>
      <c r="AG60" s="479">
        <f t="shared" si="7"/>
        <v>0.97611749999999997</v>
      </c>
      <c r="AH60" s="658"/>
    </row>
    <row r="61" spans="1:34" ht="19.2" customHeight="1">
      <c r="A61" s="675"/>
      <c r="B61" s="121" t="s">
        <v>105</v>
      </c>
      <c r="C61" s="484"/>
      <c r="D61" s="42" t="s">
        <v>64</v>
      </c>
      <c r="E61" s="43"/>
      <c r="F61" s="273">
        <v>10.09</v>
      </c>
      <c r="G61" s="44">
        <v>3326.03</v>
      </c>
      <c r="H61" s="45">
        <f t="shared" si="37"/>
        <v>33559.642700000004</v>
      </c>
      <c r="I61" s="4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1467.3661764705882</v>
      </c>
      <c r="O61" s="47">
        <f t="shared" si="39"/>
        <v>244.56102941176471</v>
      </c>
      <c r="P61" s="165">
        <f t="shared" si="40"/>
        <v>0</v>
      </c>
      <c r="Q61" s="49">
        <f t="shared" si="41"/>
        <v>-5.4389705882352928</v>
      </c>
      <c r="R61" s="475">
        <f t="shared" si="36"/>
        <v>0.97824411764705888</v>
      </c>
      <c r="S61" s="658"/>
      <c r="T61" s="50">
        <v>0.53611111111111109</v>
      </c>
      <c r="U61" s="50">
        <v>0.63055555555555554</v>
      </c>
      <c r="V61" s="142">
        <v>30</v>
      </c>
      <c r="W61" s="468">
        <f t="shared" si="42"/>
        <v>136</v>
      </c>
      <c r="X61" s="53">
        <v>0.52013888888888882</v>
      </c>
      <c r="Y61" s="53">
        <v>0.53541666666666665</v>
      </c>
      <c r="Z61" s="54"/>
      <c r="AA61" s="54"/>
      <c r="AB61" s="644"/>
      <c r="AC61" s="644"/>
      <c r="AD61" s="484"/>
      <c r="AE61" s="484"/>
      <c r="AF61" s="48">
        <f t="shared" si="6"/>
        <v>-32.633823529411757</v>
      </c>
      <c r="AG61" s="475">
        <f t="shared" si="7"/>
        <v>0.97824411764705888</v>
      </c>
      <c r="AH61" s="658"/>
    </row>
    <row r="62" spans="1:34" ht="19.2" customHeight="1">
      <c r="A62" s="675"/>
      <c r="B62" s="121">
        <v>0</v>
      </c>
      <c r="C62" s="484"/>
      <c r="D62" s="42"/>
      <c r="E62" s="43"/>
      <c r="F62" s="273" t="s">
        <v>106</v>
      </c>
      <c r="G62" s="134"/>
      <c r="H62" s="45">
        <f t="shared" si="37"/>
        <v>0</v>
      </c>
      <c r="I62" s="471"/>
      <c r="J62" s="46"/>
      <c r="K62" s="44"/>
      <c r="L62" s="86"/>
      <c r="M62" s="62"/>
      <c r="N62" s="44"/>
      <c r="O62" s="47"/>
      <c r="P62" s="165"/>
      <c r="Q62" s="49"/>
      <c r="R62" s="475"/>
      <c r="S62" s="658"/>
      <c r="T62" s="166"/>
      <c r="U62" s="166"/>
      <c r="V62" s="142"/>
      <c r="W62" s="468">
        <f t="shared" si="42"/>
        <v>0</v>
      </c>
      <c r="X62" s="53"/>
      <c r="Y62" s="53"/>
      <c r="Z62" s="54"/>
      <c r="AA62" s="54"/>
      <c r="AB62" s="644"/>
      <c r="AC62" s="644"/>
      <c r="AD62" s="484"/>
      <c r="AE62" s="484"/>
      <c r="AF62" s="48">
        <f t="shared" si="6"/>
        <v>0</v>
      </c>
      <c r="AG62" s="475" t="e">
        <f t="shared" si="7"/>
        <v>#DIV/0!</v>
      </c>
      <c r="AH62" s="658"/>
    </row>
    <row r="63" spans="1:34" ht="19.2" customHeight="1">
      <c r="A63" s="675"/>
      <c r="B63" s="121">
        <v>0</v>
      </c>
      <c r="C63" s="484"/>
      <c r="D63" s="42"/>
      <c r="E63" s="43"/>
      <c r="F63" s="273" t="s">
        <v>106</v>
      </c>
      <c r="G63" s="134"/>
      <c r="H63" s="45">
        <f t="shared" si="37"/>
        <v>0</v>
      </c>
      <c r="I63" s="471"/>
      <c r="J63" s="46"/>
      <c r="K63" s="44"/>
      <c r="L63" s="86"/>
      <c r="M63" s="62" t="s">
        <v>15</v>
      </c>
      <c r="N63" s="44"/>
      <c r="O63" s="47"/>
      <c r="P63" s="165"/>
      <c r="Q63" s="49"/>
      <c r="R63" s="475"/>
      <c r="S63" s="658"/>
      <c r="T63" s="166"/>
      <c r="U63" s="166"/>
      <c r="V63" s="142"/>
      <c r="W63" s="468">
        <f t="shared" si="42"/>
        <v>0</v>
      </c>
      <c r="X63" s="53"/>
      <c r="Y63" s="53"/>
      <c r="Z63" s="54"/>
      <c r="AA63" s="54"/>
      <c r="AB63" s="644"/>
      <c r="AC63" s="644"/>
      <c r="AD63" s="484"/>
      <c r="AE63" s="484"/>
      <c r="AF63" s="48">
        <f t="shared" si="6"/>
        <v>0</v>
      </c>
      <c r="AG63" s="479" t="e">
        <f t="shared" si="7"/>
        <v>#DIV/0!</v>
      </c>
      <c r="AH63" s="658"/>
    </row>
    <row r="64" spans="1:34" ht="19.2" customHeight="1">
      <c r="A64" s="640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71"/>
      <c r="J64" s="167"/>
      <c r="K64" s="61"/>
      <c r="L64" s="86"/>
      <c r="M64" s="62"/>
      <c r="N64" s="44"/>
      <c r="O64" s="47"/>
      <c r="P64" s="165"/>
      <c r="Q64" s="49"/>
      <c r="R64" s="475"/>
      <c r="S64" s="658"/>
      <c r="T64" s="166"/>
      <c r="U64" s="166"/>
      <c r="V64" s="142"/>
      <c r="W64" s="468">
        <f t="shared" si="42"/>
        <v>0</v>
      </c>
      <c r="X64" s="471"/>
      <c r="Y64" s="471"/>
      <c r="Z64" s="54"/>
      <c r="AA64" s="54"/>
      <c r="AB64" s="644"/>
      <c r="AC64" s="644"/>
      <c r="AD64" s="484"/>
      <c r="AE64" s="484"/>
      <c r="AF64" s="48">
        <f t="shared" si="6"/>
        <v>0</v>
      </c>
      <c r="AG64" s="475" t="e">
        <f t="shared" si="7"/>
        <v>#DIV/0!</v>
      </c>
      <c r="AH64" s="658"/>
    </row>
    <row r="65" spans="1:34" ht="19.2" customHeight="1">
      <c r="A65" s="640"/>
      <c r="B65" s="97">
        <v>0</v>
      </c>
      <c r="C65" s="481"/>
      <c r="D65" s="42"/>
      <c r="E65" s="43"/>
      <c r="F65" s="273" t="s">
        <v>106</v>
      </c>
      <c r="G65" s="134"/>
      <c r="H65" s="45">
        <f t="shared" si="37"/>
        <v>0</v>
      </c>
      <c r="I65" s="471"/>
      <c r="J65" s="167"/>
      <c r="K65" s="61"/>
      <c r="L65" s="86"/>
      <c r="M65" s="62"/>
      <c r="N65" s="61"/>
      <c r="O65" s="77"/>
      <c r="P65" s="48"/>
      <c r="Q65" s="49"/>
      <c r="R65" s="475"/>
      <c r="S65" s="658"/>
      <c r="T65" s="166"/>
      <c r="U65" s="166"/>
      <c r="V65" s="142"/>
      <c r="W65" s="468">
        <f t="shared" si="42"/>
        <v>0</v>
      </c>
      <c r="X65" s="471"/>
      <c r="Y65" s="471"/>
      <c r="Z65" s="54"/>
      <c r="AA65" s="54"/>
      <c r="AB65" s="644"/>
      <c r="AC65" s="644"/>
      <c r="AD65" s="484"/>
      <c r="AE65" s="484"/>
      <c r="AF65" s="48">
        <f t="shared" si="6"/>
        <v>0</v>
      </c>
      <c r="AG65" s="475" t="e">
        <f t="shared" si="7"/>
        <v>#DIV/0!</v>
      </c>
      <c r="AH65" s="658"/>
    </row>
    <row r="66" spans="1:34" ht="19.2" customHeight="1">
      <c r="A66" s="640"/>
      <c r="B66" s="97">
        <v>0</v>
      </c>
      <c r="C66" s="481"/>
      <c r="D66" s="42"/>
      <c r="E66" s="43"/>
      <c r="F66" s="273" t="s">
        <v>106</v>
      </c>
      <c r="G66" s="134"/>
      <c r="H66" s="45">
        <f t="shared" si="37"/>
        <v>0</v>
      </c>
      <c r="I66" s="471"/>
      <c r="J66" s="167"/>
      <c r="K66" s="61"/>
      <c r="L66" s="86"/>
      <c r="M66" s="62"/>
      <c r="N66" s="61"/>
      <c r="O66" s="77"/>
      <c r="P66" s="48"/>
      <c r="Q66" s="49"/>
      <c r="R66" s="475"/>
      <c r="S66" s="658"/>
      <c r="T66" s="166"/>
      <c r="U66" s="166"/>
      <c r="V66" s="142"/>
      <c r="W66" s="468">
        <f t="shared" si="42"/>
        <v>0</v>
      </c>
      <c r="X66" s="471"/>
      <c r="Y66" s="471"/>
      <c r="Z66" s="54"/>
      <c r="AA66" s="54"/>
      <c r="AB66" s="644"/>
      <c r="AC66" s="644"/>
      <c r="AD66" s="484"/>
      <c r="AE66" s="484"/>
      <c r="AF66" s="48">
        <f t="shared" si="6"/>
        <v>0</v>
      </c>
      <c r="AG66" s="479" t="e">
        <f t="shared" si="7"/>
        <v>#DIV/0!</v>
      </c>
      <c r="AH66" s="658"/>
    </row>
    <row r="67" spans="1:34" ht="19.2" customHeight="1">
      <c r="A67" s="640"/>
      <c r="B67" s="97">
        <v>0</v>
      </c>
      <c r="C67" s="481"/>
      <c r="D67" s="42"/>
      <c r="E67" s="43"/>
      <c r="F67" s="273" t="s">
        <v>106</v>
      </c>
      <c r="G67" s="134"/>
      <c r="H67" s="45">
        <f>F67*G67</f>
        <v>0</v>
      </c>
      <c r="I67" s="471"/>
      <c r="J67" s="167"/>
      <c r="K67" s="61"/>
      <c r="L67" s="86"/>
      <c r="M67" s="62"/>
      <c r="N67" s="61"/>
      <c r="O67" s="77"/>
      <c r="P67" s="48"/>
      <c r="Q67" s="49"/>
      <c r="R67" s="475"/>
      <c r="S67" s="658"/>
      <c r="T67" s="166"/>
      <c r="U67" s="166"/>
      <c r="V67" s="142"/>
      <c r="W67" s="468">
        <f t="shared" si="42"/>
        <v>0</v>
      </c>
      <c r="X67" s="471"/>
      <c r="Y67" s="471"/>
      <c r="Z67" s="54"/>
      <c r="AA67" s="54"/>
      <c r="AB67" s="644"/>
      <c r="AC67" s="644"/>
      <c r="AD67" s="484"/>
      <c r="AE67" s="484"/>
      <c r="AF67" s="48">
        <f t="shared" si="6"/>
        <v>0</v>
      </c>
      <c r="AG67" s="475" t="e">
        <f t="shared" si="7"/>
        <v>#DIV/0!</v>
      </c>
      <c r="AH67" s="658"/>
    </row>
    <row r="68" spans="1:34" ht="19.2" customHeight="1">
      <c r="A68" s="640"/>
      <c r="B68" s="471">
        <v>0</v>
      </c>
      <c r="C68" s="481"/>
      <c r="D68" s="42"/>
      <c r="E68" s="43"/>
      <c r="F68" s="280" t="s">
        <v>106</v>
      </c>
      <c r="G68" s="134"/>
      <c r="H68" s="45">
        <f>F68*G68</f>
        <v>0</v>
      </c>
      <c r="I68" s="471"/>
      <c r="J68" s="167"/>
      <c r="K68" s="61"/>
      <c r="L68" s="86"/>
      <c r="M68" s="62"/>
      <c r="N68" s="61"/>
      <c r="O68" s="77"/>
      <c r="P68" s="48"/>
      <c r="Q68" s="49"/>
      <c r="R68" s="475"/>
      <c r="S68" s="658"/>
      <c r="T68" s="166"/>
      <c r="U68" s="166"/>
      <c r="V68" s="142"/>
      <c r="W68" s="468">
        <f t="shared" si="42"/>
        <v>0</v>
      </c>
      <c r="X68" s="471"/>
      <c r="Y68" s="471"/>
      <c r="Z68" s="54"/>
      <c r="AA68" s="54"/>
      <c r="AB68" s="644"/>
      <c r="AC68" s="644"/>
      <c r="AD68" s="484"/>
      <c r="AE68" s="484"/>
      <c r="AF68" s="48"/>
      <c r="AG68" s="475"/>
      <c r="AH68" s="658"/>
    </row>
    <row r="69" spans="1:34" ht="19.2" customHeight="1">
      <c r="A69" s="640"/>
      <c r="B69" s="168">
        <v>0</v>
      </c>
      <c r="C69" s="6" t="s">
        <v>526</v>
      </c>
      <c r="D69" s="673" t="s">
        <v>518</v>
      </c>
      <c r="E69" s="673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1461.8719365487457</v>
      </c>
      <c r="O69" s="73">
        <f t="shared" si="43"/>
        <v>222.79857391872832</v>
      </c>
      <c r="P69" s="48">
        <f>M69-J69</f>
        <v>0</v>
      </c>
      <c r="Q69" s="49">
        <f>N69-K69</f>
        <v>-38.12806345125432</v>
      </c>
      <c r="R69" s="172">
        <f t="shared" ref="R69:R75" si="44">O69/L69</f>
        <v>0.97474376089443637</v>
      </c>
      <c r="S69" s="658"/>
      <c r="T69" s="141"/>
      <c r="U69" s="141"/>
      <c r="V69" s="44"/>
      <c r="W69" s="46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44"/>
      <c r="AC69" s="644"/>
      <c r="AD69" s="107">
        <f>SUM(AD57:AD68)</f>
        <v>2</v>
      </c>
      <c r="AE69" s="107">
        <f>SUM(AE57:AE68)</f>
        <v>0</v>
      </c>
      <c r="AF69" s="48">
        <f t="shared" si="6"/>
        <v>-38.12806345125432</v>
      </c>
      <c r="AG69" s="475">
        <f t="shared" si="7"/>
        <v>0.97458129103249713</v>
      </c>
      <c r="AH69" s="658"/>
    </row>
    <row r="70" spans="1:34" ht="19.2" customHeight="1">
      <c r="A70" s="642" t="s">
        <v>527</v>
      </c>
      <c r="B70" s="471" t="s">
        <v>105</v>
      </c>
      <c r="C70" s="97"/>
      <c r="D70" s="42" t="s">
        <v>115</v>
      </c>
      <c r="E70" s="43"/>
      <c r="F70" s="273">
        <v>54.09</v>
      </c>
      <c r="G70" s="57">
        <v>537.80000000000007</v>
      </c>
      <c r="H70" s="45">
        <f>F70*G70</f>
        <v>29089.602000000006</v>
      </c>
      <c r="I70" s="471"/>
      <c r="J70" s="46">
        <v>16</v>
      </c>
      <c r="K70" s="44">
        <v>1500</v>
      </c>
      <c r="L70" s="47">
        <v>93.75</v>
      </c>
      <c r="M70" s="469">
        <v>17</v>
      </c>
      <c r="N70" s="44">
        <f t="shared" ref="N70:N75" si="45">G70/W70*60</f>
        <v>1344.5000000000005</v>
      </c>
      <c r="O70" s="47">
        <f t="shared" ref="O70:O75" si="46">N70/M70</f>
        <v>79.08823529411768</v>
      </c>
      <c r="P70" s="48">
        <f t="shared" ref="P70:P75" si="47">M70-J70</f>
        <v>1</v>
      </c>
      <c r="Q70" s="49">
        <f t="shared" ref="Q70:Q75" si="48">O70-L70</f>
        <v>-14.66176470588232</v>
      </c>
      <c r="R70" s="475">
        <f t="shared" si="44"/>
        <v>0.84360784313725523</v>
      </c>
      <c r="S70" s="658">
        <f>R82</f>
        <v>0.8815717378018797</v>
      </c>
      <c r="T70" s="50">
        <v>0.25</v>
      </c>
      <c r="U70" s="50">
        <v>0.26666666666666666</v>
      </c>
      <c r="V70" s="471">
        <v>5</v>
      </c>
      <c r="W70" s="468">
        <f>(U70-T70)*24*60</f>
        <v>23.999999999999993</v>
      </c>
      <c r="X70" s="471"/>
      <c r="Y70" s="471"/>
      <c r="Z70" s="54"/>
      <c r="AA70" s="54"/>
      <c r="AB70" s="644"/>
      <c r="AC70" s="644"/>
      <c r="AD70" s="484"/>
      <c r="AE70" s="484"/>
      <c r="AF70" s="48">
        <f t="shared" si="6"/>
        <v>-155.49999999999955</v>
      </c>
      <c r="AG70" s="475">
        <f t="shared" si="7"/>
        <v>0.89633333333333365</v>
      </c>
      <c r="AH70" s="658">
        <f>AG82</f>
        <v>0.89005815307747616</v>
      </c>
    </row>
    <row r="71" spans="1:34" ht="19.2" customHeight="1">
      <c r="A71" s="642"/>
      <c r="B71" s="471" t="s">
        <v>101</v>
      </c>
      <c r="C71" s="41"/>
      <c r="D71" s="173" t="s">
        <v>183</v>
      </c>
      <c r="E71" s="43"/>
      <c r="F71" s="273">
        <v>65.27</v>
      </c>
      <c r="G71" s="44">
        <v>1124</v>
      </c>
      <c r="H71" s="45">
        <f>F71*G71</f>
        <v>73363.48</v>
      </c>
      <c r="I71" s="471"/>
      <c r="J71" s="46">
        <v>18</v>
      </c>
      <c r="K71" s="174">
        <v>1440</v>
      </c>
      <c r="L71" s="47">
        <v>80</v>
      </c>
      <c r="M71" s="474">
        <v>18</v>
      </c>
      <c r="N71" s="44">
        <f t="shared" si="45"/>
        <v>1296.9230769230776</v>
      </c>
      <c r="O71" s="47">
        <f t="shared" si="46"/>
        <v>72.051282051282087</v>
      </c>
      <c r="P71" s="48">
        <f t="shared" si="47"/>
        <v>0</v>
      </c>
      <c r="Q71" s="49">
        <f t="shared" si="48"/>
        <v>-7.9487179487179134</v>
      </c>
      <c r="R71" s="475">
        <f t="shared" si="44"/>
        <v>0.90064102564102611</v>
      </c>
      <c r="S71" s="658"/>
      <c r="T71" s="50">
        <v>0.27152777777777776</v>
      </c>
      <c r="U71" s="50">
        <v>0.30763888888888885</v>
      </c>
      <c r="V71" s="471">
        <v>7</v>
      </c>
      <c r="W71" s="468">
        <f t="shared" ref="W71:W81" si="49">(U71-T71)*24*60</f>
        <v>51.999999999999972</v>
      </c>
      <c r="X71" s="53"/>
      <c r="Y71" s="53"/>
      <c r="Z71" s="54"/>
      <c r="AA71" s="54"/>
      <c r="AB71" s="644"/>
      <c r="AC71" s="644"/>
      <c r="AD71" s="484"/>
      <c r="AE71" s="484"/>
      <c r="AF71" s="48">
        <f>N71-K71</f>
        <v>-143.07692307692241</v>
      </c>
      <c r="AG71" s="475">
        <f>N71/K71</f>
        <v>0.90064102564102611</v>
      </c>
      <c r="AH71" s="658"/>
    </row>
    <row r="72" spans="1:34" ht="19.2" customHeight="1">
      <c r="A72" s="642"/>
      <c r="B72" s="471" t="s">
        <v>101</v>
      </c>
      <c r="C72" s="66"/>
      <c r="D72" s="173" t="s">
        <v>69</v>
      </c>
      <c r="E72" s="43"/>
      <c r="F72" s="273">
        <v>53.36</v>
      </c>
      <c r="G72" s="44">
        <v>4557.93</v>
      </c>
      <c r="H72" s="45">
        <f t="shared" ref="H72:H76" si="50">F72*G72</f>
        <v>243211.14480000001</v>
      </c>
      <c r="I72" s="471"/>
      <c r="J72" s="87">
        <v>19</v>
      </c>
      <c r="K72" s="57">
        <v>1636</v>
      </c>
      <c r="L72" s="86">
        <v>86.10526315789474</v>
      </c>
      <c r="M72" s="469">
        <v>19</v>
      </c>
      <c r="N72" s="44">
        <f t="shared" si="45"/>
        <v>1431.8104712041888</v>
      </c>
      <c r="O72" s="47">
        <f t="shared" si="46"/>
        <v>75.358445852852043</v>
      </c>
      <c r="P72" s="48">
        <f t="shared" si="47"/>
        <v>0</v>
      </c>
      <c r="Q72" s="49">
        <f t="shared" si="48"/>
        <v>-10.746817305042697</v>
      </c>
      <c r="R72" s="475">
        <f t="shared" si="44"/>
        <v>0.8751897745746875</v>
      </c>
      <c r="S72" s="658"/>
      <c r="T72" s="50">
        <v>0.32291666666666663</v>
      </c>
      <c r="U72" s="50">
        <v>0.45555555555555549</v>
      </c>
      <c r="V72" s="471">
        <v>22</v>
      </c>
      <c r="W72" s="468">
        <f t="shared" si="49"/>
        <v>190.99999999999997</v>
      </c>
      <c r="X72" s="53">
        <v>0.31180555555555556</v>
      </c>
      <c r="Y72" s="53">
        <v>0.3215277777777778</v>
      </c>
      <c r="Z72" s="54"/>
      <c r="AA72" s="54"/>
      <c r="AB72" s="644"/>
      <c r="AC72" s="644"/>
      <c r="AD72" s="484"/>
      <c r="AE72" s="484"/>
      <c r="AF72" s="48">
        <f>N72-K72</f>
        <v>-204.18952879581116</v>
      </c>
      <c r="AG72" s="475">
        <f>N72/K72</f>
        <v>0.87518977457468761</v>
      </c>
      <c r="AH72" s="658"/>
    </row>
    <row r="73" spans="1:34" ht="19.2" customHeight="1">
      <c r="A73" s="642"/>
      <c r="B73" s="471" t="s">
        <v>101</v>
      </c>
      <c r="C73" s="175"/>
      <c r="D73" s="176" t="s">
        <v>71</v>
      </c>
      <c r="E73" s="177"/>
      <c r="F73" s="273">
        <v>47.51</v>
      </c>
      <c r="G73" s="44">
        <v>1714</v>
      </c>
      <c r="H73" s="45">
        <f t="shared" si="50"/>
        <v>81432.14</v>
      </c>
      <c r="I73" s="484"/>
      <c r="J73" s="178">
        <v>17</v>
      </c>
      <c r="K73" s="179">
        <v>1440</v>
      </c>
      <c r="L73" s="86">
        <v>84.705882352941174</v>
      </c>
      <c r="M73" s="469">
        <v>17</v>
      </c>
      <c r="N73" s="44">
        <f t="shared" si="45"/>
        <v>1301.7721518987335</v>
      </c>
      <c r="O73" s="47">
        <f t="shared" si="46"/>
        <v>76.574832464631385</v>
      </c>
      <c r="P73" s="48">
        <f t="shared" si="47"/>
        <v>0</v>
      </c>
      <c r="Q73" s="49">
        <f t="shared" si="48"/>
        <v>-8.1310498883097893</v>
      </c>
      <c r="R73" s="475">
        <f t="shared" si="44"/>
        <v>0.90400843881856496</v>
      </c>
      <c r="S73" s="658"/>
      <c r="T73" s="50">
        <v>0.49583333333333324</v>
      </c>
      <c r="U73" s="50">
        <v>0.55069444444444438</v>
      </c>
      <c r="V73" s="471">
        <v>5</v>
      </c>
      <c r="W73" s="468">
        <f t="shared" si="49"/>
        <v>79.000000000000043</v>
      </c>
      <c r="X73" s="180"/>
      <c r="Y73" s="180"/>
      <c r="Z73" s="124"/>
      <c r="AA73" s="124"/>
      <c r="AB73" s="644"/>
      <c r="AC73" s="644"/>
      <c r="AD73" s="484"/>
      <c r="AE73" s="484"/>
      <c r="AF73" s="48">
        <f>N73-K73</f>
        <v>-138.22784810126655</v>
      </c>
      <c r="AG73" s="475">
        <f>N73/K73</f>
        <v>0.90400843881856485</v>
      </c>
      <c r="AH73" s="658"/>
    </row>
    <row r="74" spans="1:34" ht="19.2" customHeight="1">
      <c r="A74" s="642"/>
      <c r="B74" s="471" t="s">
        <v>101</v>
      </c>
      <c r="C74" s="175"/>
      <c r="D74" s="176" t="s">
        <v>70</v>
      </c>
      <c r="E74" s="177"/>
      <c r="F74" s="273">
        <v>53.76</v>
      </c>
      <c r="G74" s="174">
        <v>2682</v>
      </c>
      <c r="H74" s="45">
        <f t="shared" si="50"/>
        <v>144184.32000000001</v>
      </c>
      <c r="I74" s="471"/>
      <c r="J74" s="87">
        <v>16</v>
      </c>
      <c r="K74" s="57">
        <v>1440</v>
      </c>
      <c r="L74" s="86">
        <v>90</v>
      </c>
      <c r="M74" s="469">
        <v>16</v>
      </c>
      <c r="N74" s="44">
        <f t="shared" si="45"/>
        <v>1308.2926829268288</v>
      </c>
      <c r="O74" s="47">
        <f t="shared" si="46"/>
        <v>81.768292682926798</v>
      </c>
      <c r="P74" s="48">
        <f t="shared" si="47"/>
        <v>0</v>
      </c>
      <c r="Q74" s="49">
        <f t="shared" si="48"/>
        <v>-8.2317073170732016</v>
      </c>
      <c r="R74" s="475">
        <f t="shared" si="44"/>
        <v>0.90853658536585336</v>
      </c>
      <c r="S74" s="658"/>
      <c r="T74" s="50">
        <v>0.56527777777777766</v>
      </c>
      <c r="U74" s="50">
        <v>0.65069444444444435</v>
      </c>
      <c r="V74" s="471">
        <v>21</v>
      </c>
      <c r="W74" s="468">
        <f t="shared" si="49"/>
        <v>123.00000000000004</v>
      </c>
      <c r="X74" s="180">
        <v>0.55486111111111114</v>
      </c>
      <c r="Y74" s="180">
        <v>0.56319444444444444</v>
      </c>
      <c r="Z74" s="124"/>
      <c r="AA74" s="124"/>
      <c r="AB74" s="644"/>
      <c r="AC74" s="644"/>
      <c r="AD74" s="484"/>
      <c r="AE74" s="484"/>
      <c r="AF74" s="48">
        <f t="shared" ref="AF74:AF80" si="51">N74-K74</f>
        <v>-131.70731707317123</v>
      </c>
      <c r="AG74" s="475">
        <f t="shared" ref="AG74:AG80" si="52">N74/K74</f>
        <v>0.90853658536585336</v>
      </c>
      <c r="AH74" s="658"/>
    </row>
    <row r="75" spans="1:34" ht="19.2" customHeight="1">
      <c r="A75" s="642"/>
      <c r="B75" s="471" t="s">
        <v>101</v>
      </c>
      <c r="C75" s="66"/>
      <c r="D75" s="176" t="s">
        <v>69</v>
      </c>
      <c r="E75" s="177"/>
      <c r="F75" s="273">
        <v>53.36</v>
      </c>
      <c r="G75" s="174">
        <v>681.07</v>
      </c>
      <c r="H75" s="45">
        <f t="shared" si="50"/>
        <v>36341.895199999999</v>
      </c>
      <c r="I75" s="471">
        <v>1</v>
      </c>
      <c r="J75" s="87">
        <v>19</v>
      </c>
      <c r="K75" s="57">
        <v>1636</v>
      </c>
      <c r="L75" s="86">
        <v>86.10526315789474</v>
      </c>
      <c r="M75" s="474">
        <v>19</v>
      </c>
      <c r="N75" s="44">
        <f t="shared" si="45"/>
        <v>1409.1103448275835</v>
      </c>
      <c r="O75" s="47">
        <f t="shared" si="46"/>
        <v>74.163702359346502</v>
      </c>
      <c r="P75" s="48">
        <f t="shared" si="47"/>
        <v>0</v>
      </c>
      <c r="Q75" s="49">
        <f t="shared" si="48"/>
        <v>-11.941560798548238</v>
      </c>
      <c r="R75" s="475">
        <f t="shared" si="44"/>
        <v>0.86131439170390189</v>
      </c>
      <c r="S75" s="658"/>
      <c r="T75" s="50">
        <v>0.65486111111111101</v>
      </c>
      <c r="U75" s="50">
        <v>0.67499999999999993</v>
      </c>
      <c r="V75" s="471">
        <v>6</v>
      </c>
      <c r="W75" s="468">
        <f t="shared" si="49"/>
        <v>29.000000000000057</v>
      </c>
      <c r="X75" s="180"/>
      <c r="Y75" s="180"/>
      <c r="Z75" s="124"/>
      <c r="AA75" s="124"/>
      <c r="AB75" s="644"/>
      <c r="AC75" s="644"/>
      <c r="AD75" s="484"/>
      <c r="AE75" s="484"/>
      <c r="AF75" s="48">
        <f t="shared" si="51"/>
        <v>-226.8896551724165</v>
      </c>
      <c r="AG75" s="475">
        <f t="shared" si="52"/>
        <v>0.86131439170390189</v>
      </c>
      <c r="AH75" s="658"/>
    </row>
    <row r="76" spans="1:34" ht="19.2" customHeight="1">
      <c r="A76" s="642"/>
      <c r="B76" s="4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471"/>
      <c r="J76" s="87"/>
      <c r="K76" s="57"/>
      <c r="L76" s="86"/>
      <c r="M76" s="474"/>
      <c r="N76" s="44"/>
      <c r="O76" s="47"/>
      <c r="P76" s="48"/>
      <c r="Q76" s="49"/>
      <c r="R76" s="475"/>
      <c r="S76" s="658"/>
      <c r="T76" s="50"/>
      <c r="U76" s="50"/>
      <c r="V76" s="471"/>
      <c r="W76" s="468">
        <f t="shared" si="49"/>
        <v>0</v>
      </c>
      <c r="X76" s="180"/>
      <c r="Y76" s="180"/>
      <c r="Z76" s="124"/>
      <c r="AA76" s="124"/>
      <c r="AB76" s="644"/>
      <c r="AC76" s="644"/>
      <c r="AD76" s="484"/>
      <c r="AE76" s="484"/>
      <c r="AF76" s="48">
        <f t="shared" si="51"/>
        <v>0</v>
      </c>
      <c r="AG76" s="475" t="e">
        <f t="shared" si="52"/>
        <v>#DIV/0!</v>
      </c>
      <c r="AH76" s="658"/>
    </row>
    <row r="77" spans="1:34" ht="19.2" customHeight="1">
      <c r="A77" s="642"/>
      <c r="B77" s="471">
        <v>0</v>
      </c>
      <c r="C77" s="481"/>
      <c r="D77" s="42"/>
      <c r="E77" s="43"/>
      <c r="F77" s="273"/>
      <c r="G77" s="174"/>
      <c r="H77" s="45"/>
      <c r="I77" s="484"/>
      <c r="J77" s="46"/>
      <c r="K77" s="174"/>
      <c r="L77" s="47"/>
      <c r="M77" s="474"/>
      <c r="N77" s="44"/>
      <c r="O77" s="47"/>
      <c r="P77" s="48"/>
      <c r="Q77" s="49"/>
      <c r="R77" s="475"/>
      <c r="S77" s="658"/>
      <c r="T77" s="50"/>
      <c r="U77" s="50"/>
      <c r="V77" s="471"/>
      <c r="W77" s="468">
        <f t="shared" si="49"/>
        <v>0</v>
      </c>
      <c r="X77" s="180"/>
      <c r="Y77" s="180"/>
      <c r="Z77" s="124"/>
      <c r="AA77" s="124"/>
      <c r="AB77" s="644"/>
      <c r="AC77" s="644"/>
      <c r="AD77" s="484"/>
      <c r="AE77" s="484"/>
      <c r="AF77" s="48">
        <f t="shared" si="51"/>
        <v>0</v>
      </c>
      <c r="AG77" s="475" t="e">
        <f t="shared" si="52"/>
        <v>#DIV/0!</v>
      </c>
      <c r="AH77" s="658"/>
    </row>
    <row r="78" spans="1:34" ht="19.2" customHeight="1">
      <c r="A78" s="642"/>
      <c r="B78" s="471">
        <v>0</v>
      </c>
      <c r="C78" s="481"/>
      <c r="D78" s="42"/>
      <c r="E78" s="43"/>
      <c r="F78" s="273"/>
      <c r="G78" s="57"/>
      <c r="H78" s="45"/>
      <c r="I78" s="484"/>
      <c r="J78" s="87"/>
      <c r="K78" s="57"/>
      <c r="L78" s="86"/>
      <c r="M78" s="474"/>
      <c r="N78" s="44"/>
      <c r="O78" s="47"/>
      <c r="P78" s="48"/>
      <c r="Q78" s="49"/>
      <c r="R78" s="475"/>
      <c r="S78" s="658"/>
      <c r="T78" s="50"/>
      <c r="U78" s="50"/>
      <c r="V78" s="471"/>
      <c r="W78" s="468">
        <f t="shared" si="49"/>
        <v>0</v>
      </c>
      <c r="X78" s="180"/>
      <c r="Y78" s="180"/>
      <c r="Z78" s="124"/>
      <c r="AA78" s="124"/>
      <c r="AB78" s="644"/>
      <c r="AC78" s="644"/>
      <c r="AD78" s="484"/>
      <c r="AE78" s="484"/>
      <c r="AF78" s="48">
        <f t="shared" si="51"/>
        <v>0</v>
      </c>
      <c r="AG78" s="475" t="e">
        <f t="shared" si="52"/>
        <v>#DIV/0!</v>
      </c>
      <c r="AH78" s="658"/>
    </row>
    <row r="79" spans="1:34" ht="19.2" customHeight="1">
      <c r="A79" s="642"/>
      <c r="B79" s="471">
        <v>0</v>
      </c>
      <c r="C79" s="175"/>
      <c r="D79" s="176"/>
      <c r="E79" s="177"/>
      <c r="F79" s="273"/>
      <c r="G79" s="57"/>
      <c r="H79" s="45"/>
      <c r="I79" s="484"/>
      <c r="J79" s="87"/>
      <c r="K79" s="57"/>
      <c r="L79" s="86"/>
      <c r="M79" s="474"/>
      <c r="N79" s="57"/>
      <c r="O79" s="181"/>
      <c r="P79" s="108"/>
      <c r="Q79" s="182"/>
      <c r="R79" s="109"/>
      <c r="S79" s="658"/>
      <c r="T79" s="50"/>
      <c r="U79" s="50"/>
      <c r="V79" s="471"/>
      <c r="W79" s="468">
        <f t="shared" si="49"/>
        <v>0</v>
      </c>
      <c r="X79" s="180"/>
      <c r="Y79" s="180"/>
      <c r="Z79" s="124"/>
      <c r="AA79" s="124"/>
      <c r="AB79" s="644"/>
      <c r="AC79" s="644"/>
      <c r="AD79" s="484"/>
      <c r="AE79" s="484"/>
      <c r="AF79" s="48">
        <f t="shared" si="51"/>
        <v>0</v>
      </c>
      <c r="AG79" s="475" t="e">
        <f t="shared" si="52"/>
        <v>#DIV/0!</v>
      </c>
      <c r="AH79" s="658"/>
    </row>
    <row r="80" spans="1:34" ht="19.2" customHeight="1">
      <c r="A80" s="642"/>
      <c r="B80" s="471">
        <v>0</v>
      </c>
      <c r="C80" s="481"/>
      <c r="D80" s="42"/>
      <c r="E80" s="43"/>
      <c r="F80" s="273"/>
      <c r="G80" s="57"/>
      <c r="H80" s="45"/>
      <c r="I80" s="484"/>
      <c r="J80" s="87"/>
      <c r="K80" s="57"/>
      <c r="L80" s="86"/>
      <c r="M80" s="474"/>
      <c r="N80" s="57"/>
      <c r="O80" s="183"/>
      <c r="P80" s="54"/>
      <c r="Q80" s="88"/>
      <c r="R80" s="483"/>
      <c r="S80" s="658"/>
      <c r="T80" s="50"/>
      <c r="U80" s="50"/>
      <c r="V80" s="471"/>
      <c r="W80" s="468">
        <f t="shared" si="49"/>
        <v>0</v>
      </c>
      <c r="X80" s="180"/>
      <c r="Y80" s="180"/>
      <c r="Z80" s="124"/>
      <c r="AA80" s="124"/>
      <c r="AB80" s="644"/>
      <c r="AC80" s="644"/>
      <c r="AD80" s="484"/>
      <c r="AE80" s="484"/>
      <c r="AF80" s="48">
        <f t="shared" si="51"/>
        <v>0</v>
      </c>
      <c r="AG80" s="475" t="e">
        <f t="shared" si="52"/>
        <v>#DIV/0!</v>
      </c>
      <c r="AH80" s="658"/>
    </row>
    <row r="81" spans="1:34" ht="19.2" customHeight="1">
      <c r="A81" s="642"/>
      <c r="B81" s="471">
        <v>0</v>
      </c>
      <c r="C81" s="481"/>
      <c r="D81" s="42"/>
      <c r="E81" s="43"/>
      <c r="F81" s="280"/>
      <c r="G81" s="57"/>
      <c r="H81" s="84"/>
      <c r="I81" s="484"/>
      <c r="J81" s="87"/>
      <c r="K81" s="57"/>
      <c r="L81" s="86"/>
      <c r="M81" s="474"/>
      <c r="N81" s="57"/>
      <c r="O81" s="183"/>
      <c r="P81" s="54"/>
      <c r="Q81" s="88"/>
      <c r="R81" s="483"/>
      <c r="S81" s="658"/>
      <c r="T81" s="50"/>
      <c r="U81" s="50"/>
      <c r="V81" s="471"/>
      <c r="W81" s="468">
        <f t="shared" si="49"/>
        <v>0</v>
      </c>
      <c r="X81" s="180"/>
      <c r="Y81" s="180"/>
      <c r="Z81" s="124"/>
      <c r="AA81" s="124"/>
      <c r="AB81" s="644"/>
      <c r="AC81" s="644"/>
      <c r="AD81" s="484"/>
      <c r="AE81" s="484"/>
      <c r="AF81" s="48"/>
      <c r="AG81" s="125"/>
      <c r="AH81" s="658"/>
    </row>
    <row r="82" spans="1:34" ht="19.2" customHeight="1">
      <c r="A82" s="685"/>
      <c r="B82" s="168">
        <v>0</v>
      </c>
      <c r="C82" s="100" t="s">
        <v>528</v>
      </c>
      <c r="D82" s="673" t="s">
        <v>518</v>
      </c>
      <c r="E82" s="673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1348.7347879634021</v>
      </c>
      <c r="O82" s="184">
        <f t="shared" si="53"/>
        <v>76.500798450859421</v>
      </c>
      <c r="P82" s="116">
        <f>M82-J82</f>
        <v>0.16666666666666785</v>
      </c>
      <c r="Q82" s="117">
        <f>N82-K82</f>
        <v>-166.59854536993112</v>
      </c>
      <c r="R82" s="172">
        <f>O82/L82</f>
        <v>0.8815717378018797</v>
      </c>
      <c r="S82" s="658"/>
      <c r="T82" s="50"/>
      <c r="U82" s="50"/>
      <c r="V82" s="471"/>
      <c r="W82" s="44"/>
      <c r="X82" s="47"/>
      <c r="Y82" s="47"/>
      <c r="Z82" s="106">
        <f>SUM(Z70:Z81)</f>
        <v>0</v>
      </c>
      <c r="AA82" s="106">
        <f>SUM(AA70:AA81)</f>
        <v>0</v>
      </c>
      <c r="AB82" s="644"/>
      <c r="AC82" s="644"/>
      <c r="AD82" s="107">
        <f>SUM(AD70:AD81)</f>
        <v>0</v>
      </c>
      <c r="AE82" s="107">
        <f>SUM(AE70:AE81)</f>
        <v>0</v>
      </c>
      <c r="AF82" s="48">
        <f>N82-K82</f>
        <v>-166.59854536993112</v>
      </c>
      <c r="AG82" s="475">
        <f>N82/K82</f>
        <v>0.89005815307747616</v>
      </c>
      <c r="AH82" s="658"/>
    </row>
    <row r="83" spans="1:34" ht="19.2" customHeight="1">
      <c r="A83" s="686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2016.24</v>
      </c>
      <c r="H83" s="84">
        <f t="shared" ref="H83:H94" si="54">F83*G83</f>
        <v>123030.9648</v>
      </c>
      <c r="I83" s="484"/>
      <c r="J83" s="87">
        <v>16</v>
      </c>
      <c r="K83" s="57">
        <v>1440</v>
      </c>
      <c r="L83" s="86">
        <v>90</v>
      </c>
      <c r="M83" s="474">
        <v>16</v>
      </c>
      <c r="N83" s="57">
        <f t="shared" ref="N83:N90" si="55">G83/W83*60</f>
        <v>1344.16</v>
      </c>
      <c r="O83" s="183">
        <f t="shared" ref="O83:O90" si="56">N83/M83</f>
        <v>84.01</v>
      </c>
      <c r="P83" s="54">
        <f t="shared" ref="P83:P85" si="57">M83-J83</f>
        <v>0</v>
      </c>
      <c r="Q83" s="88">
        <f t="shared" ref="Q83:Q85" si="58">O83-L83</f>
        <v>-5.9899999999999949</v>
      </c>
      <c r="R83" s="185">
        <f t="shared" ref="R83:R85" si="59">O83/L83</f>
        <v>0.93344444444444452</v>
      </c>
      <c r="S83" s="658">
        <f>R95</f>
        <v>0.8503934447656023</v>
      </c>
      <c r="T83" s="50">
        <v>0.33333333333333331</v>
      </c>
      <c r="U83" s="50">
        <v>0.39583333333333331</v>
      </c>
      <c r="V83" s="471">
        <v>5</v>
      </c>
      <c r="W83" s="468">
        <f t="shared" ref="W83:W93" si="60">(U83-T83)*24*60</f>
        <v>90</v>
      </c>
      <c r="X83" s="53"/>
      <c r="Y83" s="53"/>
      <c r="Z83" s="54"/>
      <c r="AA83" s="54"/>
      <c r="AB83" s="644"/>
      <c r="AC83" s="644"/>
      <c r="AD83" s="484"/>
      <c r="AE83" s="484"/>
      <c r="AF83" s="48">
        <f t="shared" ref="AF83:AF173" si="61">N83-K83</f>
        <v>-95.839999999999918</v>
      </c>
      <c r="AG83" s="475">
        <f t="shared" ref="AG83:AG173" si="62">N83/K83</f>
        <v>0.93344444444444452</v>
      </c>
      <c r="AH83" s="658">
        <f>AG95</f>
        <v>0.84242431926660477</v>
      </c>
    </row>
    <row r="84" spans="1:34" ht="19.2" customHeight="1">
      <c r="A84" s="687"/>
      <c r="B84" s="110" t="s">
        <v>102</v>
      </c>
      <c r="C84" s="481"/>
      <c r="D84" s="186" t="s">
        <v>187</v>
      </c>
      <c r="E84" s="43"/>
      <c r="F84" s="280">
        <v>53.27</v>
      </c>
      <c r="G84" s="44">
        <v>2449.2000000000003</v>
      </c>
      <c r="H84" s="84">
        <f t="shared" si="54"/>
        <v>130468.88400000002</v>
      </c>
      <c r="I84" s="471"/>
      <c r="J84" s="87">
        <v>17</v>
      </c>
      <c r="K84" s="57">
        <v>1565</v>
      </c>
      <c r="L84" s="86">
        <v>92.058823529411768</v>
      </c>
      <c r="M84" s="474">
        <v>17</v>
      </c>
      <c r="N84" s="57">
        <f t="shared" si="55"/>
        <v>1289.0526315789475</v>
      </c>
      <c r="O84" s="183">
        <f t="shared" si="56"/>
        <v>75.826625386996909</v>
      </c>
      <c r="P84" s="54">
        <f t="shared" si="57"/>
        <v>0</v>
      </c>
      <c r="Q84" s="88">
        <f t="shared" si="58"/>
        <v>-16.232198142414859</v>
      </c>
      <c r="R84" s="185">
        <f t="shared" si="59"/>
        <v>0.82367580292584497</v>
      </c>
      <c r="S84" s="658"/>
      <c r="T84" s="50">
        <v>0.41041666666666665</v>
      </c>
      <c r="U84" s="50">
        <v>0.48958333333333331</v>
      </c>
      <c r="V84" s="471">
        <v>21</v>
      </c>
      <c r="W84" s="468">
        <f t="shared" si="60"/>
        <v>114</v>
      </c>
      <c r="X84" s="53">
        <v>0.39999999999999997</v>
      </c>
      <c r="Y84" s="53">
        <v>0.40833333333333338</v>
      </c>
      <c r="Z84" s="54"/>
      <c r="AA84" s="54"/>
      <c r="AB84" s="644"/>
      <c r="AC84" s="644"/>
      <c r="AD84" s="484"/>
      <c r="AE84" s="484"/>
      <c r="AF84" s="48">
        <f t="shared" si="61"/>
        <v>-275.94736842105249</v>
      </c>
      <c r="AG84" s="475">
        <f t="shared" si="62"/>
        <v>0.82367580292584508</v>
      </c>
      <c r="AH84" s="658"/>
    </row>
    <row r="85" spans="1:34" ht="19.2" customHeight="1">
      <c r="A85" s="687"/>
      <c r="B85" s="110" t="s">
        <v>101</v>
      </c>
      <c r="C85" s="122"/>
      <c r="D85" s="186" t="s">
        <v>161</v>
      </c>
      <c r="E85" s="43"/>
      <c r="F85" s="280">
        <v>61.09</v>
      </c>
      <c r="G85" s="44">
        <v>2197</v>
      </c>
      <c r="H85" s="84">
        <f t="shared" si="54"/>
        <v>134214.73000000001</v>
      </c>
      <c r="I85" s="471"/>
      <c r="J85" s="87">
        <v>17</v>
      </c>
      <c r="K85" s="57">
        <v>1440</v>
      </c>
      <c r="L85" s="86">
        <v>84.705882352941174</v>
      </c>
      <c r="M85" s="474">
        <v>17</v>
      </c>
      <c r="N85" s="57">
        <f t="shared" si="55"/>
        <v>1292.3529411764712</v>
      </c>
      <c r="O85" s="183">
        <f t="shared" si="56"/>
        <v>76.020761245674777</v>
      </c>
      <c r="P85" s="54">
        <f t="shared" si="57"/>
        <v>0</v>
      </c>
      <c r="Q85" s="88">
        <f t="shared" si="58"/>
        <v>-8.6851211072663972</v>
      </c>
      <c r="R85" s="185">
        <f t="shared" si="59"/>
        <v>0.89746732026143838</v>
      </c>
      <c r="S85" s="658"/>
      <c r="T85" s="50">
        <v>0.52986111111111101</v>
      </c>
      <c r="U85" s="50">
        <v>0.60069444444444431</v>
      </c>
      <c r="V85" s="471">
        <v>5</v>
      </c>
      <c r="W85" s="468">
        <f t="shared" si="60"/>
        <v>101.99999999999996</v>
      </c>
      <c r="X85" s="53"/>
      <c r="Y85" s="53"/>
      <c r="Z85" s="54"/>
      <c r="AA85" s="54"/>
      <c r="AB85" s="644"/>
      <c r="AC85" s="644"/>
      <c r="AD85" s="484">
        <v>1</v>
      </c>
      <c r="AE85" s="484"/>
      <c r="AF85" s="48">
        <f t="shared" si="61"/>
        <v>-147.64705882352882</v>
      </c>
      <c r="AG85" s="475">
        <f t="shared" si="62"/>
        <v>0.89746732026143827</v>
      </c>
      <c r="AH85" s="658"/>
    </row>
    <row r="86" spans="1:34" ht="19.2" customHeight="1">
      <c r="A86" s="687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210</v>
      </c>
      <c r="H86" s="84">
        <f t="shared" si="54"/>
        <v>16243.499999999998</v>
      </c>
      <c r="I86" s="471"/>
      <c r="J86" s="87">
        <v>19</v>
      </c>
      <c r="K86" s="57">
        <v>1440</v>
      </c>
      <c r="L86" s="86">
        <v>75.78947368421052</v>
      </c>
      <c r="M86" s="474">
        <v>18</v>
      </c>
      <c r="N86" s="57">
        <f t="shared" si="55"/>
        <v>1050.0000000000039</v>
      </c>
      <c r="O86" s="183">
        <f t="shared" si="56"/>
        <v>58.333333333333549</v>
      </c>
      <c r="P86" s="54">
        <f>M86-J86</f>
        <v>-1</v>
      </c>
      <c r="Q86" s="88">
        <f>O86-L86</f>
        <v>-17.456140350876971</v>
      </c>
      <c r="R86" s="185">
        <f>O86/L86</f>
        <v>0.76967592592592882</v>
      </c>
      <c r="S86" s="658"/>
      <c r="T86" s="50">
        <v>0.60486111111111096</v>
      </c>
      <c r="U86" s="50">
        <v>0.61319444444444426</v>
      </c>
      <c r="V86" s="471">
        <v>6</v>
      </c>
      <c r="W86" s="468">
        <f t="shared" si="60"/>
        <v>11.999999999999957</v>
      </c>
      <c r="X86" s="53"/>
      <c r="Y86" s="53"/>
      <c r="Z86" s="54"/>
      <c r="AA86" s="54"/>
      <c r="AB86" s="644"/>
      <c r="AC86" s="644"/>
      <c r="AD86" s="484"/>
      <c r="AE86" s="484"/>
      <c r="AF86" s="48">
        <f>N86-K86</f>
        <v>-389.99999999999613</v>
      </c>
      <c r="AG86" s="475">
        <f>N86/K86</f>
        <v>0.72916666666666941</v>
      </c>
      <c r="AH86" s="658"/>
    </row>
    <row r="87" spans="1:34" ht="19.2" customHeight="1">
      <c r="A87" s="687"/>
      <c r="B87" s="110" t="s">
        <v>101</v>
      </c>
      <c r="C87" s="97"/>
      <c r="D87" s="186" t="s">
        <v>57</v>
      </c>
      <c r="E87" s="43"/>
      <c r="F87" s="280">
        <v>77.34</v>
      </c>
      <c r="G87" s="44">
        <v>593</v>
      </c>
      <c r="H87" s="84">
        <f t="shared" si="54"/>
        <v>45862.62</v>
      </c>
      <c r="I87" s="471"/>
      <c r="J87" s="87">
        <v>18</v>
      </c>
      <c r="K87" s="57">
        <v>1440</v>
      </c>
      <c r="L87" s="86">
        <v>80</v>
      </c>
      <c r="M87" s="474">
        <v>18</v>
      </c>
      <c r="N87" s="57">
        <f t="shared" si="55"/>
        <v>1078.1818181818169</v>
      </c>
      <c r="O87" s="183">
        <f t="shared" si="56"/>
        <v>59.898989898989825</v>
      </c>
      <c r="P87" s="54">
        <f>M87-J87</f>
        <v>0</v>
      </c>
      <c r="Q87" s="88">
        <f>O87-L87</f>
        <v>-20.101010101010175</v>
      </c>
      <c r="R87" s="185">
        <f>O87/L87</f>
        <v>0.74873737373737281</v>
      </c>
      <c r="S87" s="658"/>
      <c r="T87" s="50">
        <v>0.6187499999999998</v>
      </c>
      <c r="U87" s="50">
        <v>0.6416666666666665</v>
      </c>
      <c r="V87" s="471">
        <v>8</v>
      </c>
      <c r="W87" s="468">
        <f t="shared" si="60"/>
        <v>33.000000000000043</v>
      </c>
      <c r="X87" s="53"/>
      <c r="Y87" s="53"/>
      <c r="Z87" s="54"/>
      <c r="AA87" s="54"/>
      <c r="AB87" s="644"/>
      <c r="AC87" s="644"/>
      <c r="AD87" s="484"/>
      <c r="AE87" s="484"/>
      <c r="AF87" s="48">
        <f>N87-K87</f>
        <v>-361.81818181818312</v>
      </c>
      <c r="AG87" s="475">
        <f>N87/K87</f>
        <v>0.74873737373737281</v>
      </c>
      <c r="AH87" s="658"/>
    </row>
    <row r="88" spans="1:34" ht="19.2" customHeight="1">
      <c r="A88" s="687"/>
      <c r="B88" s="110" t="s">
        <v>105</v>
      </c>
      <c r="C88" s="481"/>
      <c r="D88" s="42" t="s">
        <v>75</v>
      </c>
      <c r="E88" s="43"/>
      <c r="F88" s="280">
        <v>56.43</v>
      </c>
      <c r="G88" s="57">
        <v>867</v>
      </c>
      <c r="H88" s="84">
        <f t="shared" si="54"/>
        <v>48924.81</v>
      </c>
      <c r="I88" s="471"/>
      <c r="J88" s="87">
        <v>18</v>
      </c>
      <c r="K88" s="57">
        <v>1500</v>
      </c>
      <c r="L88" s="86">
        <v>83.333333333333329</v>
      </c>
      <c r="M88" s="474">
        <v>18</v>
      </c>
      <c r="N88" s="57">
        <f t="shared" si="55"/>
        <v>1268.7804878048776</v>
      </c>
      <c r="O88" s="183">
        <f t="shared" si="56"/>
        <v>70.487804878048749</v>
      </c>
      <c r="P88" s="54">
        <f t="shared" ref="P88:P90" si="63">M88-J88</f>
        <v>0</v>
      </c>
      <c r="Q88" s="88">
        <f t="shared" ref="Q88:Q90" si="64">O88-L88</f>
        <v>-12.84552845528458</v>
      </c>
      <c r="R88" s="185">
        <f t="shared" ref="R88:R90" si="65">O88/L88</f>
        <v>0.84585365853658501</v>
      </c>
      <c r="S88" s="658"/>
      <c r="T88" s="50">
        <v>0.65694444444444422</v>
      </c>
      <c r="U88" s="50">
        <v>0.68541666666666645</v>
      </c>
      <c r="V88" s="471">
        <v>22</v>
      </c>
      <c r="W88" s="468">
        <f t="shared" si="60"/>
        <v>41.000000000000014</v>
      </c>
      <c r="X88" s="53">
        <v>0.64583333333333337</v>
      </c>
      <c r="Y88" s="53">
        <v>0.65555555555555556</v>
      </c>
      <c r="Z88" s="54"/>
      <c r="AA88" s="54"/>
      <c r="AB88" s="644"/>
      <c r="AC88" s="644"/>
      <c r="AD88" s="484"/>
      <c r="AE88" s="484"/>
      <c r="AF88" s="48">
        <f>N88-K88</f>
        <v>-231.21951219512243</v>
      </c>
      <c r="AG88" s="475">
        <f>N88/K88</f>
        <v>0.84585365853658501</v>
      </c>
      <c r="AH88" s="658"/>
    </row>
    <row r="89" spans="1:34" ht="19.2" customHeight="1">
      <c r="A89" s="687"/>
      <c r="B89" s="110" t="s">
        <v>101</v>
      </c>
      <c r="C89" s="481"/>
      <c r="D89" s="42" t="s">
        <v>154</v>
      </c>
      <c r="E89" s="43"/>
      <c r="F89" s="280">
        <v>61.02</v>
      </c>
      <c r="G89" s="114">
        <v>1235.76</v>
      </c>
      <c r="H89" s="84">
        <f t="shared" si="54"/>
        <v>75406.075200000007</v>
      </c>
      <c r="I89" s="471">
        <v>1</v>
      </c>
      <c r="J89" s="87">
        <v>16</v>
      </c>
      <c r="K89" s="57">
        <v>1440</v>
      </c>
      <c r="L89" s="86">
        <v>90</v>
      </c>
      <c r="M89" s="474">
        <v>16</v>
      </c>
      <c r="N89" s="57">
        <f t="shared" si="55"/>
        <v>1348.101818181819</v>
      </c>
      <c r="O89" s="183">
        <f t="shared" si="56"/>
        <v>84.256363636363687</v>
      </c>
      <c r="P89" s="54">
        <f t="shared" si="63"/>
        <v>0</v>
      </c>
      <c r="Q89" s="88">
        <f t="shared" si="64"/>
        <v>-5.7436363636363126</v>
      </c>
      <c r="R89" s="185">
        <f t="shared" si="65"/>
        <v>0.93618181818181878</v>
      </c>
      <c r="S89" s="658"/>
      <c r="T89" s="50">
        <v>0.69097222222222199</v>
      </c>
      <c r="U89" s="50">
        <v>0.72916666666666641</v>
      </c>
      <c r="V89" s="471">
        <v>8</v>
      </c>
      <c r="W89" s="468">
        <f t="shared" si="60"/>
        <v>54.999999999999964</v>
      </c>
      <c r="X89" s="53"/>
      <c r="Y89" s="53"/>
      <c r="Z89" s="54"/>
      <c r="AA89" s="54"/>
      <c r="AB89" s="644"/>
      <c r="AC89" s="644"/>
      <c r="AD89" s="484"/>
      <c r="AE89" s="484"/>
      <c r="AF89" s="48">
        <f>N89-K89</f>
        <v>-91.898181818181001</v>
      </c>
      <c r="AG89" s="475">
        <f>N89/K89</f>
        <v>0.93618181818181878</v>
      </c>
      <c r="AH89" s="658"/>
    </row>
    <row r="90" spans="1:34" ht="19.2" customHeight="1">
      <c r="A90" s="687"/>
      <c r="B90" s="110" t="s">
        <v>102</v>
      </c>
      <c r="C90" s="481"/>
      <c r="D90" s="42" t="s">
        <v>187</v>
      </c>
      <c r="E90" s="43"/>
      <c r="F90" s="280">
        <v>53.27</v>
      </c>
      <c r="G90" s="127">
        <v>690.8</v>
      </c>
      <c r="H90" s="84">
        <f t="shared" si="54"/>
        <v>36798.915999999997</v>
      </c>
      <c r="I90" s="187">
        <v>1</v>
      </c>
      <c r="J90" s="87">
        <v>17</v>
      </c>
      <c r="K90" s="57">
        <v>1565</v>
      </c>
      <c r="L90" s="86">
        <v>92.058823529411768</v>
      </c>
      <c r="M90" s="474">
        <v>17</v>
      </c>
      <c r="N90" s="57">
        <f t="shared" si="55"/>
        <v>1295.2499999999982</v>
      </c>
      <c r="O90" s="183">
        <f t="shared" si="56"/>
        <v>76.191176470588132</v>
      </c>
      <c r="P90" s="54">
        <f t="shared" si="63"/>
        <v>0</v>
      </c>
      <c r="Q90" s="88">
        <f t="shared" si="64"/>
        <v>-15.867647058823636</v>
      </c>
      <c r="R90" s="185">
        <f t="shared" si="65"/>
        <v>0.82763578274760263</v>
      </c>
      <c r="S90" s="658"/>
      <c r="T90" s="50">
        <v>0.73472222222222194</v>
      </c>
      <c r="U90" s="50">
        <v>0.7569444444444442</v>
      </c>
      <c r="V90" s="471">
        <v>8</v>
      </c>
      <c r="W90" s="468">
        <f t="shared" si="60"/>
        <v>32.000000000000043</v>
      </c>
      <c r="X90" s="188"/>
      <c r="Y90" s="188"/>
      <c r="Z90" s="54"/>
      <c r="AA90" s="54"/>
      <c r="AB90" s="644"/>
      <c r="AC90" s="644"/>
      <c r="AD90" s="484"/>
      <c r="AE90" s="484"/>
      <c r="AF90" s="48">
        <f t="shared" si="61"/>
        <v>-269.75000000000182</v>
      </c>
      <c r="AG90" s="475">
        <f t="shared" si="62"/>
        <v>0.82763578274760263</v>
      </c>
      <c r="AH90" s="658"/>
    </row>
    <row r="91" spans="1:34" ht="19.2" customHeight="1">
      <c r="A91" s="687"/>
      <c r="B91" s="110">
        <v>0</v>
      </c>
      <c r="C91" s="48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74"/>
      <c r="N91" s="57"/>
      <c r="O91" s="183"/>
      <c r="P91" s="54"/>
      <c r="Q91" s="88"/>
      <c r="R91" s="185"/>
      <c r="S91" s="659"/>
      <c r="T91" s="50"/>
      <c r="U91" s="50"/>
      <c r="V91" s="471"/>
      <c r="W91" s="468">
        <f t="shared" si="60"/>
        <v>0</v>
      </c>
      <c r="X91" s="115"/>
      <c r="Y91" s="115"/>
      <c r="Z91" s="54"/>
      <c r="AA91" s="54"/>
      <c r="AB91" s="644"/>
      <c r="AC91" s="644"/>
      <c r="AD91" s="484"/>
      <c r="AE91" s="484"/>
      <c r="AF91" s="48">
        <f t="shared" si="61"/>
        <v>0</v>
      </c>
      <c r="AG91" s="475" t="e">
        <f t="shared" si="62"/>
        <v>#DIV/0!</v>
      </c>
      <c r="AH91" s="659"/>
    </row>
    <row r="92" spans="1:34" ht="19.2" customHeight="1">
      <c r="A92" s="687"/>
      <c r="B92" s="110">
        <v>0</v>
      </c>
      <c r="C92" s="48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659"/>
      <c r="T92" s="50"/>
      <c r="U92" s="50"/>
      <c r="V92" s="471"/>
      <c r="W92" s="468">
        <f t="shared" si="60"/>
        <v>0</v>
      </c>
      <c r="X92" s="180"/>
      <c r="Y92" s="180"/>
      <c r="Z92" s="124"/>
      <c r="AA92" s="124"/>
      <c r="AB92" s="644"/>
      <c r="AC92" s="644"/>
      <c r="AD92" s="484"/>
      <c r="AE92" s="484"/>
      <c r="AF92" s="48">
        <f t="shared" si="61"/>
        <v>0</v>
      </c>
      <c r="AG92" s="475" t="e">
        <f t="shared" si="62"/>
        <v>#DIV/0!</v>
      </c>
      <c r="AH92" s="659"/>
    </row>
    <row r="93" spans="1:34" ht="19.2" customHeight="1">
      <c r="A93" s="687"/>
      <c r="B93" s="47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74"/>
      <c r="N93" s="57"/>
      <c r="O93" s="86"/>
      <c r="P93" s="54"/>
      <c r="Q93" s="88"/>
      <c r="R93" s="478"/>
      <c r="S93" s="688"/>
      <c r="T93" s="63"/>
      <c r="U93" s="63"/>
      <c r="V93" s="472"/>
      <c r="W93" s="468">
        <f t="shared" si="60"/>
        <v>0</v>
      </c>
      <c r="X93" s="194"/>
      <c r="Y93" s="194"/>
      <c r="Z93" s="124"/>
      <c r="AA93" s="124"/>
      <c r="AB93" s="644"/>
      <c r="AC93" s="644"/>
      <c r="AD93" s="484"/>
      <c r="AE93" s="484"/>
      <c r="AF93" s="48">
        <f t="shared" si="61"/>
        <v>0</v>
      </c>
      <c r="AG93" s="475" t="e">
        <f t="shared" si="62"/>
        <v>#DIV/0!</v>
      </c>
      <c r="AH93" s="659"/>
    </row>
    <row r="94" spans="1:34" ht="19.2" customHeight="1">
      <c r="A94" s="687"/>
      <c r="B94" s="47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78"/>
      <c r="S94" s="688"/>
      <c r="T94" s="63"/>
      <c r="U94" s="63"/>
      <c r="V94" s="472"/>
      <c r="W94" s="468">
        <f>(U94-T94)*24*60</f>
        <v>0</v>
      </c>
      <c r="X94" s="194"/>
      <c r="Y94" s="194"/>
      <c r="Z94" s="124"/>
      <c r="AA94" s="124"/>
      <c r="AB94" s="644"/>
      <c r="AC94" s="644"/>
      <c r="AD94" s="484"/>
      <c r="AE94" s="484"/>
      <c r="AF94" s="48">
        <f t="shared" si="61"/>
        <v>0</v>
      </c>
      <c r="AG94" s="475" t="e">
        <f t="shared" si="62"/>
        <v>#DIV/0!</v>
      </c>
      <c r="AH94" s="659"/>
    </row>
    <row r="95" spans="1:34" ht="19.2" customHeight="1">
      <c r="A95" s="687"/>
      <c r="B95" s="197">
        <v>0</v>
      </c>
      <c r="C95" s="100" t="s">
        <v>530</v>
      </c>
      <c r="D95" s="673" t="s">
        <v>518</v>
      </c>
      <c r="E95" s="673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1245.7349621154917</v>
      </c>
      <c r="O95" s="200">
        <f t="shared" si="66"/>
        <v>73.128131856249453</v>
      </c>
      <c r="P95" s="201">
        <f>M95-J95</f>
        <v>-0.125</v>
      </c>
      <c r="Q95" s="202">
        <f t="shared" ref="Q95:Q102" si="67">O95-L95</f>
        <v>-12.865160197414113</v>
      </c>
      <c r="R95" s="203">
        <f>O95/L95</f>
        <v>0.8503934447656023</v>
      </c>
      <c r="S95" s="65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44"/>
      <c r="AC95" s="644"/>
      <c r="AD95" s="107">
        <f>SUM(AD83:AD94)</f>
        <v>1</v>
      </c>
      <c r="AE95" s="107">
        <f>SUM(AE83:AE94)</f>
        <v>0</v>
      </c>
      <c r="AF95" s="65">
        <f t="shared" si="61"/>
        <v>-233.01503788450827</v>
      </c>
      <c r="AG95" s="476">
        <f t="shared" si="62"/>
        <v>0.84242431926660477</v>
      </c>
      <c r="AH95" s="659"/>
    </row>
    <row r="96" spans="1:34" ht="19.2" customHeight="1">
      <c r="A96" s="689" t="s">
        <v>531</v>
      </c>
      <c r="B96" s="471" t="s">
        <v>103</v>
      </c>
      <c r="C96" s="97"/>
      <c r="D96" s="42" t="s">
        <v>169</v>
      </c>
      <c r="E96" s="43"/>
      <c r="F96" s="273">
        <v>29.46</v>
      </c>
      <c r="G96" s="44">
        <v>1380</v>
      </c>
      <c r="H96" s="45">
        <f t="shared" ref="H96:H105" si="68">F96*G96</f>
        <v>40654.800000000003</v>
      </c>
      <c r="I96" s="471"/>
      <c r="J96" s="46">
        <v>16</v>
      </c>
      <c r="K96" s="44">
        <v>1385</v>
      </c>
      <c r="L96" s="47">
        <v>86.5625</v>
      </c>
      <c r="M96" s="469">
        <v>16</v>
      </c>
      <c r="N96" s="44">
        <f t="shared" ref="N96:N102" si="69">G96/W96*60</f>
        <v>1134.2465753424658</v>
      </c>
      <c r="O96" s="47">
        <f t="shared" ref="O96:O102" si="70">N96/M96</f>
        <v>70.890410958904113</v>
      </c>
      <c r="P96" s="48">
        <f t="shared" ref="P96:P102" si="71">M96-J96</f>
        <v>0</v>
      </c>
      <c r="Q96" s="49">
        <f t="shared" si="67"/>
        <v>-15.672089041095887</v>
      </c>
      <c r="R96" s="475">
        <f t="shared" ref="R96:R102" si="72">O96/L96</f>
        <v>0.81895059591513775</v>
      </c>
      <c r="S96" s="658">
        <f>R108</f>
        <v>0.84616945750786665</v>
      </c>
      <c r="T96" s="89">
        <v>0.33333333333333331</v>
      </c>
      <c r="U96" s="89">
        <v>0.38402777777777775</v>
      </c>
      <c r="V96" s="484">
        <v>5</v>
      </c>
      <c r="W96" s="90">
        <f t="shared" ref="W96:W133" si="73">(U96-T96)*24*60</f>
        <v>72.999999999999986</v>
      </c>
      <c r="X96" s="96"/>
      <c r="Y96" s="96"/>
      <c r="Z96" s="54"/>
      <c r="AA96" s="54"/>
      <c r="AB96" s="644"/>
      <c r="AC96" s="644"/>
      <c r="AD96" s="484"/>
      <c r="AE96" s="484">
        <v>1</v>
      </c>
      <c r="AF96" s="54">
        <f t="shared" si="61"/>
        <v>-250.7534246575342</v>
      </c>
      <c r="AG96" s="478">
        <f t="shared" si="62"/>
        <v>0.81895059591513775</v>
      </c>
      <c r="AH96" s="667">
        <f>AG108</f>
        <v>0.8479733597837037</v>
      </c>
    </row>
    <row r="97" spans="1:34" s="212" customFormat="1" ht="19.2" customHeight="1">
      <c r="A97" s="689"/>
      <c r="B97" s="471" t="s">
        <v>103</v>
      </c>
      <c r="C97" s="204"/>
      <c r="D97" s="205" t="s">
        <v>63</v>
      </c>
      <c r="E97" s="56"/>
      <c r="F97" s="284">
        <v>29.113149847094796</v>
      </c>
      <c r="G97" s="206">
        <v>3674</v>
      </c>
      <c r="H97" s="207">
        <f t="shared" si="68"/>
        <v>106961.71253822627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1198.0434782608702</v>
      </c>
      <c r="O97" s="47">
        <f t="shared" si="70"/>
        <v>59.902173913043512</v>
      </c>
      <c r="P97" s="48">
        <f t="shared" si="71"/>
        <v>0</v>
      </c>
      <c r="Q97" s="49">
        <f t="shared" si="67"/>
        <v>-9.3478260869564878</v>
      </c>
      <c r="R97" s="475">
        <f t="shared" si="72"/>
        <v>0.86501334170459943</v>
      </c>
      <c r="S97" s="658"/>
      <c r="T97" s="208">
        <v>0.39999999999999997</v>
      </c>
      <c r="U97" s="208">
        <v>0.52777777777777768</v>
      </c>
      <c r="V97" s="209">
        <v>23</v>
      </c>
      <c r="W97" s="90">
        <f t="shared" si="73"/>
        <v>183.99999999999991</v>
      </c>
      <c r="X97" s="53">
        <v>0.3888888888888889</v>
      </c>
      <c r="Y97" s="53">
        <v>0.3979166666666667</v>
      </c>
      <c r="Z97" s="54"/>
      <c r="AA97" s="54"/>
      <c r="AB97" s="644"/>
      <c r="AC97" s="644"/>
      <c r="AD97" s="209"/>
      <c r="AE97" s="209"/>
      <c r="AF97" s="210">
        <f t="shared" si="61"/>
        <v>-186.95652173912981</v>
      </c>
      <c r="AG97" s="211">
        <f t="shared" si="62"/>
        <v>0.86501334170459943</v>
      </c>
      <c r="AH97" s="667"/>
    </row>
    <row r="98" spans="1:34" s="215" customFormat="1" ht="19.2" customHeight="1">
      <c r="A98" s="689"/>
      <c r="B98" s="47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48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1211.0526315789464</v>
      </c>
      <c r="O98" s="47">
        <f t="shared" si="70"/>
        <v>67.280701754385916</v>
      </c>
      <c r="P98" s="48">
        <f t="shared" si="71"/>
        <v>0</v>
      </c>
      <c r="Q98" s="49">
        <f t="shared" si="67"/>
        <v>-9.6637426900585268</v>
      </c>
      <c r="R98" s="475">
        <f t="shared" si="72"/>
        <v>0.874406232186965</v>
      </c>
      <c r="S98" s="658"/>
      <c r="T98" s="89">
        <v>0.56874999999999987</v>
      </c>
      <c r="U98" s="89">
        <v>0.59513888888888877</v>
      </c>
      <c r="V98" s="484">
        <v>6</v>
      </c>
      <c r="W98" s="90">
        <f t="shared" si="73"/>
        <v>38.000000000000028</v>
      </c>
      <c r="X98" s="213"/>
      <c r="Y98" s="213"/>
      <c r="Z98" s="214"/>
      <c r="AA98" s="214"/>
      <c r="AB98" s="644"/>
      <c r="AC98" s="644"/>
      <c r="AD98" s="484"/>
      <c r="AE98" s="484"/>
      <c r="AF98" s="54">
        <f t="shared" si="61"/>
        <v>-173.94736842105362</v>
      </c>
      <c r="AG98" s="478">
        <f t="shared" si="62"/>
        <v>0.87440623218696489</v>
      </c>
      <c r="AH98" s="667"/>
    </row>
    <row r="99" spans="1:34" ht="19.2" customHeight="1">
      <c r="A99" s="689"/>
      <c r="B99" s="471" t="s">
        <v>101</v>
      </c>
      <c r="C99" s="81"/>
      <c r="D99" s="82" t="s">
        <v>58</v>
      </c>
      <c r="E99" s="83"/>
      <c r="F99" s="284">
        <v>59.54</v>
      </c>
      <c r="G99" s="57">
        <v>1394</v>
      </c>
      <c r="H99" s="207">
        <f t="shared" si="68"/>
        <v>82998.759999999995</v>
      </c>
      <c r="I99" s="484"/>
      <c r="J99" s="46">
        <v>18</v>
      </c>
      <c r="K99" s="44">
        <v>1385</v>
      </c>
      <c r="L99" s="47">
        <v>76.944444444444443</v>
      </c>
      <c r="M99" s="469">
        <v>18</v>
      </c>
      <c r="N99" s="44">
        <f t="shared" si="69"/>
        <v>1248.3582089552224</v>
      </c>
      <c r="O99" s="47">
        <f t="shared" si="70"/>
        <v>69.353233830845681</v>
      </c>
      <c r="P99" s="48">
        <f t="shared" si="71"/>
        <v>0</v>
      </c>
      <c r="Q99" s="49">
        <f t="shared" si="67"/>
        <v>-7.5912106135987614</v>
      </c>
      <c r="R99" s="475">
        <f t="shared" si="72"/>
        <v>0.90134166711568398</v>
      </c>
      <c r="S99" s="658"/>
      <c r="T99" s="89">
        <v>0.60069444444444431</v>
      </c>
      <c r="U99" s="89">
        <v>0.64722222222222214</v>
      </c>
      <c r="V99" s="484">
        <v>8</v>
      </c>
      <c r="W99" s="90">
        <f t="shared" si="73"/>
        <v>67.000000000000085</v>
      </c>
      <c r="X99" s="180"/>
      <c r="Y99" s="180"/>
      <c r="Z99" s="124"/>
      <c r="AA99" s="124"/>
      <c r="AB99" s="644"/>
      <c r="AC99" s="644"/>
      <c r="AD99" s="484"/>
      <c r="AE99" s="484"/>
      <c r="AF99" s="210">
        <f t="shared" si="61"/>
        <v>-136.64179104477762</v>
      </c>
      <c r="AG99" s="211">
        <f t="shared" si="62"/>
        <v>0.90134166711568398</v>
      </c>
      <c r="AH99" s="667"/>
    </row>
    <row r="100" spans="1:34" s="215" customFormat="1" ht="19.2" customHeight="1">
      <c r="A100" s="689"/>
      <c r="B100" s="471" t="s">
        <v>105</v>
      </c>
      <c r="C100" s="55"/>
      <c r="D100" s="42" t="s">
        <v>177</v>
      </c>
      <c r="E100" s="83"/>
      <c r="F100" s="284">
        <v>51.44</v>
      </c>
      <c r="G100" s="57">
        <v>1315</v>
      </c>
      <c r="H100" s="207">
        <f t="shared" si="68"/>
        <v>67643.599999999991</v>
      </c>
      <c r="I100" s="48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1272.5806451612914</v>
      </c>
      <c r="O100" s="47">
        <f t="shared" si="70"/>
        <v>63.629032258064569</v>
      </c>
      <c r="P100" s="48">
        <f t="shared" si="71"/>
        <v>0</v>
      </c>
      <c r="Q100" s="49">
        <f t="shared" si="67"/>
        <v>-8.3709677419354307</v>
      </c>
      <c r="R100" s="475">
        <f t="shared" si="72"/>
        <v>0.88373655913978566</v>
      </c>
      <c r="S100" s="658"/>
      <c r="T100" s="208">
        <v>0.66249999999999987</v>
      </c>
      <c r="U100" s="208">
        <v>0.70555555555555538</v>
      </c>
      <c r="V100" s="209">
        <v>22</v>
      </c>
      <c r="W100" s="90">
        <f t="shared" si="73"/>
        <v>61.999999999999943</v>
      </c>
      <c r="X100" s="216">
        <v>0.65138888888888891</v>
      </c>
      <c r="Y100" s="216">
        <v>0.66111111111111109</v>
      </c>
      <c r="Z100" s="214"/>
      <c r="AA100" s="214"/>
      <c r="AB100" s="644"/>
      <c r="AC100" s="644"/>
      <c r="AD100" s="484"/>
      <c r="AE100" s="484"/>
      <c r="AF100" s="54">
        <f t="shared" si="61"/>
        <v>-167.41935483870861</v>
      </c>
      <c r="AG100" s="478">
        <f t="shared" si="62"/>
        <v>0.88373655913978566</v>
      </c>
      <c r="AH100" s="667"/>
    </row>
    <row r="101" spans="1:34" s="215" customFormat="1" ht="19.2" customHeight="1">
      <c r="A101" s="689"/>
      <c r="B101" s="471" t="s">
        <v>102</v>
      </c>
      <c r="C101" s="55"/>
      <c r="D101" s="82" t="s">
        <v>164</v>
      </c>
      <c r="E101" s="83"/>
      <c r="F101" s="284">
        <v>50.67</v>
      </c>
      <c r="G101" s="57">
        <v>1057.2</v>
      </c>
      <c r="H101" s="207">
        <f t="shared" si="68"/>
        <v>53568.324000000001</v>
      </c>
      <c r="I101" s="484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1243.7647058823534</v>
      </c>
      <c r="O101" s="47">
        <f t="shared" si="70"/>
        <v>65.461300309597547</v>
      </c>
      <c r="P101" s="48">
        <f t="shared" si="71"/>
        <v>0</v>
      </c>
      <c r="Q101" s="49">
        <f t="shared" si="67"/>
        <v>-13.486068111455083</v>
      </c>
      <c r="R101" s="475">
        <f t="shared" si="72"/>
        <v>0.82917647058823563</v>
      </c>
      <c r="S101" s="658"/>
      <c r="T101" s="208">
        <v>0.71111111111111092</v>
      </c>
      <c r="U101" s="89">
        <v>0.74652777777777757</v>
      </c>
      <c r="V101" s="209">
        <v>8</v>
      </c>
      <c r="W101" s="90">
        <f t="shared" si="73"/>
        <v>50.999999999999979</v>
      </c>
      <c r="X101" s="217"/>
      <c r="Y101" s="217"/>
      <c r="Z101" s="214"/>
      <c r="AA101" s="214"/>
      <c r="AB101" s="644"/>
      <c r="AC101" s="644"/>
      <c r="AD101" s="484"/>
      <c r="AE101" s="484">
        <v>1</v>
      </c>
      <c r="AF101" s="210">
        <f t="shared" si="61"/>
        <v>-256.23529411764662</v>
      </c>
      <c r="AG101" s="211">
        <f t="shared" si="62"/>
        <v>0.82917647058823563</v>
      </c>
      <c r="AH101" s="667"/>
    </row>
    <row r="102" spans="1:34" s="215" customFormat="1" ht="19.2" customHeight="1">
      <c r="A102" s="689"/>
      <c r="B102" s="471" t="s">
        <v>102</v>
      </c>
      <c r="C102" s="175"/>
      <c r="D102" s="176" t="s">
        <v>149</v>
      </c>
      <c r="E102" s="177"/>
      <c r="F102" s="284">
        <v>49.91</v>
      </c>
      <c r="G102" s="57">
        <v>786.40000000000009</v>
      </c>
      <c r="H102" s="207">
        <f t="shared" si="68"/>
        <v>39249.224000000002</v>
      </c>
      <c r="I102" s="47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1209.8461538461534</v>
      </c>
      <c r="O102" s="47">
        <f t="shared" si="70"/>
        <v>71.167420814479613</v>
      </c>
      <c r="P102" s="48">
        <f t="shared" si="71"/>
        <v>0</v>
      </c>
      <c r="Q102" s="49">
        <f t="shared" si="67"/>
        <v>-20.891402714932156</v>
      </c>
      <c r="R102" s="475">
        <f t="shared" si="72"/>
        <v>0.77306463504546541</v>
      </c>
      <c r="S102" s="658"/>
      <c r="T102" s="208">
        <v>0.7520833333333331</v>
      </c>
      <c r="U102" s="208">
        <v>0.77916666666666645</v>
      </c>
      <c r="V102" s="209">
        <v>8</v>
      </c>
      <c r="W102" s="90">
        <f t="shared" si="73"/>
        <v>39.000000000000021</v>
      </c>
      <c r="X102" s="217"/>
      <c r="Y102" s="217"/>
      <c r="Z102" s="214"/>
      <c r="AA102" s="214"/>
      <c r="AB102" s="644"/>
      <c r="AC102" s="644"/>
      <c r="AD102" s="484"/>
      <c r="AE102" s="484"/>
      <c r="AF102" s="54">
        <f t="shared" si="61"/>
        <v>-355.15384615384664</v>
      </c>
      <c r="AG102" s="478">
        <f t="shared" si="62"/>
        <v>0.77306463504546541</v>
      </c>
      <c r="AH102" s="667"/>
    </row>
    <row r="103" spans="1:34" s="215" customFormat="1" ht="19.2" customHeight="1">
      <c r="A103" s="689"/>
      <c r="B103" s="4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475"/>
      <c r="S103" s="658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644"/>
      <c r="AC103" s="644"/>
      <c r="AD103" s="484"/>
      <c r="AE103" s="484"/>
      <c r="AF103" s="54">
        <f t="shared" si="61"/>
        <v>0</v>
      </c>
      <c r="AG103" s="478" t="e">
        <f t="shared" si="62"/>
        <v>#DIV/0!</v>
      </c>
      <c r="AH103" s="667"/>
    </row>
    <row r="104" spans="1:34" s="215" customFormat="1" ht="19.2" customHeight="1">
      <c r="A104" s="689"/>
      <c r="B104" s="4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75"/>
      <c r="S104" s="659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644"/>
      <c r="AC104" s="644"/>
      <c r="AD104" s="484"/>
      <c r="AE104" s="484"/>
      <c r="AF104" s="210">
        <f t="shared" si="61"/>
        <v>0</v>
      </c>
      <c r="AG104" s="211" t="e">
        <f t="shared" si="62"/>
        <v>#DIV/0!</v>
      </c>
      <c r="AH104" s="667"/>
    </row>
    <row r="105" spans="1:34" s="215" customFormat="1" ht="19.2" customHeight="1">
      <c r="A105" s="689"/>
      <c r="B105" s="4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75"/>
      <c r="S105" s="659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644"/>
      <c r="AC105" s="644"/>
      <c r="AD105" s="484"/>
      <c r="AE105" s="484"/>
      <c r="AF105" s="54">
        <f t="shared" si="61"/>
        <v>0</v>
      </c>
      <c r="AG105" s="478" t="e">
        <f t="shared" si="62"/>
        <v>#DIV/0!</v>
      </c>
      <c r="AH105" s="667"/>
    </row>
    <row r="106" spans="1:34" s="215" customFormat="1" ht="19.2" customHeight="1">
      <c r="A106" s="689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75"/>
      <c r="S106" s="688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644"/>
      <c r="AC106" s="644"/>
      <c r="AD106" s="484"/>
      <c r="AE106" s="484"/>
      <c r="AF106" s="54">
        <f t="shared" si="61"/>
        <v>0</v>
      </c>
      <c r="AG106" s="478" t="e">
        <f t="shared" si="62"/>
        <v>#DIV/0!</v>
      </c>
      <c r="AH106" s="667"/>
    </row>
    <row r="107" spans="1:34" s="215" customFormat="1" ht="19.2" customHeight="1">
      <c r="A107" s="689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78"/>
      <c r="S107" s="688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644"/>
      <c r="AC107" s="644"/>
      <c r="AD107" s="484"/>
      <c r="AE107" s="484"/>
      <c r="AF107" s="214"/>
      <c r="AG107" s="478"/>
      <c r="AH107" s="667"/>
    </row>
    <row r="108" spans="1:34" ht="19.2" customHeight="1">
      <c r="A108" s="689"/>
      <c r="B108" s="110">
        <v>0</v>
      </c>
      <c r="C108" s="100" t="s">
        <v>532</v>
      </c>
      <c r="D108" s="673" t="s">
        <v>518</v>
      </c>
      <c r="E108" s="673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1216.8417712896148</v>
      </c>
      <c r="O108" s="104">
        <f t="shared" si="74"/>
        <v>66.812039119902991</v>
      </c>
      <c r="P108" s="54">
        <f t="shared" ref="P108:P117" si="75">M108-J108</f>
        <v>0</v>
      </c>
      <c r="Q108" s="88">
        <f t="shared" ref="Q108:Q117" si="76">O108-L108</f>
        <v>-12.146186714290337</v>
      </c>
      <c r="R108" s="105">
        <f t="shared" ref="R108:R117" si="77">O108/L108</f>
        <v>0.84616945750786665</v>
      </c>
      <c r="S108" s="659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44"/>
      <c r="AC108" s="644"/>
      <c r="AD108" s="107">
        <f>SUM(AD96:AD107)</f>
        <v>0</v>
      </c>
      <c r="AE108" s="107">
        <f>SUM(AE96:AE107)</f>
        <v>2</v>
      </c>
      <c r="AF108" s="54">
        <f t="shared" si="61"/>
        <v>-218.15822871038517</v>
      </c>
      <c r="AG108" s="478">
        <f t="shared" si="62"/>
        <v>0.8479733597837037</v>
      </c>
      <c r="AH108" s="667"/>
    </row>
    <row r="109" spans="1:34" ht="19.2" customHeight="1">
      <c r="A109" s="690" t="s">
        <v>533</v>
      </c>
      <c r="B109" s="471" t="s">
        <v>104</v>
      </c>
      <c r="C109" s="481"/>
      <c r="D109" s="320" t="s">
        <v>176</v>
      </c>
      <c r="E109" s="43"/>
      <c r="F109" s="273">
        <v>29.965493443754308</v>
      </c>
      <c r="G109" s="44">
        <v>1894</v>
      </c>
      <c r="H109" s="45">
        <f t="shared" ref="H109:H119" si="78">F109*G109</f>
        <v>56754.644582470661</v>
      </c>
      <c r="I109" s="471"/>
      <c r="J109" s="46">
        <v>18</v>
      </c>
      <c r="K109" s="44">
        <v>1200</v>
      </c>
      <c r="L109" s="47">
        <v>66.666666666666671</v>
      </c>
      <c r="M109" s="469">
        <v>19</v>
      </c>
      <c r="N109" s="44">
        <f t="shared" ref="N109:N117" si="79">G109/W109*60</f>
        <v>1235.2173913043478</v>
      </c>
      <c r="O109" s="47">
        <f t="shared" ref="O109:O117" si="80">N109/M109</f>
        <v>65.011441647597252</v>
      </c>
      <c r="P109" s="48">
        <f t="shared" si="75"/>
        <v>1</v>
      </c>
      <c r="Q109" s="49">
        <f t="shared" si="76"/>
        <v>-1.6552250190694195</v>
      </c>
      <c r="R109" s="475">
        <f t="shared" si="77"/>
        <v>0.97517162471395868</v>
      </c>
      <c r="S109" s="693">
        <f>R121</f>
        <v>0.94757755561744594</v>
      </c>
      <c r="T109" s="223">
        <v>0.5</v>
      </c>
      <c r="U109" s="223">
        <v>0.56388888888888888</v>
      </c>
      <c r="V109" s="224">
        <v>5</v>
      </c>
      <c r="W109" s="468">
        <f t="shared" si="73"/>
        <v>92</v>
      </c>
      <c r="X109" s="53"/>
      <c r="Y109" s="53"/>
      <c r="Z109" s="54"/>
      <c r="AA109" s="54"/>
      <c r="AB109" s="644"/>
      <c r="AC109" s="644"/>
      <c r="AD109" s="484"/>
      <c r="AE109" s="484"/>
      <c r="AF109" s="48">
        <f t="shared" si="61"/>
        <v>35.217391304347757</v>
      </c>
      <c r="AG109" s="125">
        <f t="shared" si="62"/>
        <v>1.0293478260869564</v>
      </c>
      <c r="AH109" s="667">
        <f>AG121</f>
        <v>0.94469861355122708</v>
      </c>
    </row>
    <row r="110" spans="1:34" ht="19.2" customHeight="1">
      <c r="A110" s="691"/>
      <c r="B110" s="471" t="s">
        <v>105</v>
      </c>
      <c r="C110" s="175"/>
      <c r="D110" s="42" t="s">
        <v>160</v>
      </c>
      <c r="E110" s="177"/>
      <c r="F110" s="273">
        <v>53.27</v>
      </c>
      <c r="G110" s="174">
        <v>1273</v>
      </c>
      <c r="H110" s="45">
        <f t="shared" si="78"/>
        <v>67812.710000000006</v>
      </c>
      <c r="I110" s="471"/>
      <c r="J110" s="46">
        <v>16</v>
      </c>
      <c r="K110" s="44">
        <v>1500</v>
      </c>
      <c r="L110" s="47">
        <v>93.75</v>
      </c>
      <c r="M110" s="469">
        <v>16</v>
      </c>
      <c r="N110" s="44">
        <f t="shared" si="79"/>
        <v>1388.7272727272734</v>
      </c>
      <c r="O110" s="47">
        <f t="shared" si="80"/>
        <v>86.795454545454589</v>
      </c>
      <c r="P110" s="48">
        <f t="shared" si="75"/>
        <v>0</v>
      </c>
      <c r="Q110" s="49">
        <f t="shared" si="76"/>
        <v>-6.9545454545454106</v>
      </c>
      <c r="R110" s="475">
        <f t="shared" si="77"/>
        <v>0.92581818181818232</v>
      </c>
      <c r="S110" s="694"/>
      <c r="T110" s="223">
        <v>0.56874999999999998</v>
      </c>
      <c r="U110" s="223">
        <v>0.6069444444444444</v>
      </c>
      <c r="V110" s="224">
        <v>7</v>
      </c>
      <c r="W110" s="468">
        <f t="shared" si="73"/>
        <v>54.999999999999964</v>
      </c>
      <c r="X110" s="188"/>
      <c r="Y110" s="188"/>
      <c r="Z110" s="54"/>
      <c r="AA110" s="54"/>
      <c r="AB110" s="644"/>
      <c r="AC110" s="644"/>
      <c r="AD110" s="484"/>
      <c r="AE110" s="484"/>
      <c r="AF110" s="48">
        <f t="shared" si="61"/>
        <v>-111.27272727272657</v>
      </c>
      <c r="AG110" s="125">
        <f t="shared" si="62"/>
        <v>0.92581818181818232</v>
      </c>
      <c r="AH110" s="667"/>
    </row>
    <row r="111" spans="1:34" ht="19.2" customHeight="1">
      <c r="A111" s="691"/>
      <c r="B111" s="471" t="s">
        <v>104</v>
      </c>
      <c r="C111" s="175"/>
      <c r="D111" s="176" t="s">
        <v>61</v>
      </c>
      <c r="E111" s="177"/>
      <c r="F111" s="273">
        <v>35.33</v>
      </c>
      <c r="G111" s="57">
        <v>580.79999999999995</v>
      </c>
      <c r="H111" s="45">
        <f t="shared" si="78"/>
        <v>20519.663999999997</v>
      </c>
      <c r="I111" s="484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2049.8823529411839</v>
      </c>
      <c r="O111" s="47">
        <f t="shared" si="80"/>
        <v>170.82352941176532</v>
      </c>
      <c r="P111" s="48">
        <f t="shared" si="75"/>
        <v>0</v>
      </c>
      <c r="Q111" s="49">
        <f t="shared" si="76"/>
        <v>-5.6764705882346789</v>
      </c>
      <c r="R111" s="475">
        <f t="shared" si="77"/>
        <v>0.96783869355107832</v>
      </c>
      <c r="S111" s="694"/>
      <c r="T111" s="223">
        <v>0.62222222222222212</v>
      </c>
      <c r="U111" s="223">
        <v>0.63402777777777763</v>
      </c>
      <c r="V111" s="224">
        <v>22</v>
      </c>
      <c r="W111" s="468">
        <f t="shared" si="73"/>
        <v>16.99999999999994</v>
      </c>
      <c r="X111" s="53">
        <v>0.61111111111111105</v>
      </c>
      <c r="Y111" s="53">
        <v>0.62083333333333335</v>
      </c>
      <c r="Z111" s="54"/>
      <c r="AA111" s="54"/>
      <c r="AB111" s="644"/>
      <c r="AC111" s="644"/>
      <c r="AD111" s="484"/>
      <c r="AE111" s="484"/>
      <c r="AF111" s="48">
        <f t="shared" si="61"/>
        <v>-68.117647058816146</v>
      </c>
      <c r="AG111" s="125">
        <f t="shared" si="62"/>
        <v>0.96783869355107832</v>
      </c>
      <c r="AH111" s="667"/>
    </row>
    <row r="112" spans="1:34" ht="19.2" customHeight="1">
      <c r="A112" s="691"/>
      <c r="B112" s="471" t="s">
        <v>104</v>
      </c>
      <c r="C112" s="175"/>
      <c r="D112" s="176" t="s">
        <v>87</v>
      </c>
      <c r="E112" s="83"/>
      <c r="F112" s="273">
        <v>34.229999999999997</v>
      </c>
      <c r="G112" s="57">
        <v>990.9</v>
      </c>
      <c r="H112" s="45">
        <f t="shared" si="78"/>
        <v>33918.506999999998</v>
      </c>
      <c r="I112" s="484">
        <v>1</v>
      </c>
      <c r="J112" s="46">
        <v>13</v>
      </c>
      <c r="K112" s="44">
        <v>2250</v>
      </c>
      <c r="L112" s="47">
        <v>173.07692307692307</v>
      </c>
      <c r="M112" s="469">
        <v>13</v>
      </c>
      <c r="N112" s="44">
        <f t="shared" si="79"/>
        <v>2201.9999999999945</v>
      </c>
      <c r="O112" s="47">
        <f t="shared" si="80"/>
        <v>169.38461538461496</v>
      </c>
      <c r="P112" s="48">
        <f t="shared" si="75"/>
        <v>0</v>
      </c>
      <c r="Q112" s="49">
        <f t="shared" si="76"/>
        <v>-3.6923076923081055</v>
      </c>
      <c r="R112" s="475">
        <f t="shared" si="77"/>
        <v>0.97866666666666424</v>
      </c>
      <c r="S112" s="694"/>
      <c r="T112" s="223">
        <v>0.63958333333333317</v>
      </c>
      <c r="U112" s="223">
        <v>0.65833333333333321</v>
      </c>
      <c r="V112" s="224">
        <v>8</v>
      </c>
      <c r="W112" s="468">
        <f t="shared" si="73"/>
        <v>27.000000000000064</v>
      </c>
      <c r="X112" s="213"/>
      <c r="Y112" s="213"/>
      <c r="Z112" s="54"/>
      <c r="AA112" s="54"/>
      <c r="AB112" s="644"/>
      <c r="AC112" s="644"/>
      <c r="AD112" s="484"/>
      <c r="AE112" s="484"/>
      <c r="AF112" s="48">
        <f t="shared" si="61"/>
        <v>-48.000000000005457</v>
      </c>
      <c r="AG112" s="125">
        <f t="shared" si="62"/>
        <v>0.97866666666666424</v>
      </c>
      <c r="AH112" s="667"/>
    </row>
    <row r="113" spans="1:34" s="215" customFormat="1" ht="19.2" customHeight="1">
      <c r="A113" s="691"/>
      <c r="B113" s="471" t="s">
        <v>104</v>
      </c>
      <c r="C113" s="175"/>
      <c r="D113" s="176" t="s">
        <v>89</v>
      </c>
      <c r="E113" s="83"/>
      <c r="F113" s="273">
        <v>35.83</v>
      </c>
      <c r="G113" s="57">
        <v>1657.8</v>
      </c>
      <c r="H113" s="45">
        <f t="shared" si="78"/>
        <v>59398.973999999995</v>
      </c>
      <c r="I113" s="484">
        <v>1</v>
      </c>
      <c r="J113" s="46">
        <v>11</v>
      </c>
      <c r="K113" s="44">
        <v>2250</v>
      </c>
      <c r="L113" s="47">
        <v>204.54545454545453</v>
      </c>
      <c r="M113" s="474">
        <v>11</v>
      </c>
      <c r="N113" s="44">
        <f t="shared" si="79"/>
        <v>2210.3999999999996</v>
      </c>
      <c r="O113" s="47">
        <f t="shared" si="80"/>
        <v>200.94545454545451</v>
      </c>
      <c r="P113" s="48">
        <f t="shared" si="75"/>
        <v>0</v>
      </c>
      <c r="Q113" s="49">
        <f t="shared" si="76"/>
        <v>-3.6000000000000227</v>
      </c>
      <c r="R113" s="475">
        <f t="shared" si="77"/>
        <v>0.98239999999999994</v>
      </c>
      <c r="S113" s="694"/>
      <c r="T113" s="223">
        <v>0.66319444444444431</v>
      </c>
      <c r="U113" s="223">
        <v>0.69444444444444431</v>
      </c>
      <c r="V113" s="224">
        <v>7</v>
      </c>
      <c r="W113" s="468">
        <f t="shared" si="73"/>
        <v>45</v>
      </c>
      <c r="X113" s="213"/>
      <c r="Y113" s="213"/>
      <c r="Z113" s="214"/>
      <c r="AA113" s="214"/>
      <c r="AB113" s="644"/>
      <c r="AC113" s="644"/>
      <c r="AD113" s="218"/>
      <c r="AE113" s="218"/>
      <c r="AF113" s="48">
        <f t="shared" si="61"/>
        <v>-39.600000000000364</v>
      </c>
      <c r="AG113" s="125">
        <f t="shared" si="62"/>
        <v>0.98239999999999983</v>
      </c>
      <c r="AH113" s="667"/>
    </row>
    <row r="114" spans="1:34" s="215" customFormat="1" ht="19.2" customHeight="1">
      <c r="A114" s="691"/>
      <c r="B114" s="471" t="s">
        <v>105</v>
      </c>
      <c r="C114" s="175"/>
      <c r="D114" s="82" t="s">
        <v>162</v>
      </c>
      <c r="E114" s="43"/>
      <c r="F114" s="273">
        <v>51.06</v>
      </c>
      <c r="G114" s="44">
        <v>1536</v>
      </c>
      <c r="H114" s="45">
        <f t="shared" si="78"/>
        <v>78428.160000000003</v>
      </c>
      <c r="I114" s="484"/>
      <c r="J114" s="46">
        <v>16</v>
      </c>
      <c r="K114" s="44">
        <v>1500</v>
      </c>
      <c r="L114" s="47">
        <v>93.75</v>
      </c>
      <c r="M114" s="474">
        <v>16</v>
      </c>
      <c r="N114" s="44">
        <f t="shared" si="79"/>
        <v>1335.6521739130421</v>
      </c>
      <c r="O114" s="47">
        <f t="shared" si="80"/>
        <v>83.478260869565133</v>
      </c>
      <c r="P114" s="48">
        <f t="shared" si="75"/>
        <v>0</v>
      </c>
      <c r="Q114" s="49">
        <f t="shared" si="76"/>
        <v>-10.271739130434867</v>
      </c>
      <c r="R114" s="475">
        <f t="shared" si="77"/>
        <v>0.8904347826086948</v>
      </c>
      <c r="S114" s="694"/>
      <c r="T114" s="223">
        <v>0.73472222222222205</v>
      </c>
      <c r="U114" s="223">
        <v>0.78263888888888877</v>
      </c>
      <c r="V114" s="224">
        <v>5</v>
      </c>
      <c r="W114" s="468">
        <f t="shared" si="73"/>
        <v>69.000000000000071</v>
      </c>
      <c r="X114" s="213"/>
      <c r="Y114" s="213"/>
      <c r="Z114" s="214"/>
      <c r="AA114" s="214"/>
      <c r="AB114" s="644"/>
      <c r="AC114" s="644"/>
      <c r="AD114" s="218"/>
      <c r="AE114" s="218"/>
      <c r="AF114" s="48">
        <f t="shared" si="61"/>
        <v>-164.34782608695787</v>
      </c>
      <c r="AG114" s="125">
        <f t="shared" si="62"/>
        <v>0.8904347826086948</v>
      </c>
      <c r="AH114" s="667"/>
    </row>
    <row r="115" spans="1:34" s="215" customFormat="1" ht="19.2" customHeight="1">
      <c r="A115" s="691"/>
      <c r="B115" s="471" t="s">
        <v>105</v>
      </c>
      <c r="C115" s="175"/>
      <c r="D115" s="82" t="s">
        <v>76</v>
      </c>
      <c r="E115" s="83"/>
      <c r="F115" s="273">
        <v>55.56</v>
      </c>
      <c r="G115" s="226">
        <v>1358</v>
      </c>
      <c r="H115" s="45">
        <f t="shared" si="78"/>
        <v>75450.48</v>
      </c>
      <c r="I115" s="484"/>
      <c r="J115" s="46">
        <v>16</v>
      </c>
      <c r="K115" s="44">
        <v>1440</v>
      </c>
      <c r="L115" s="47">
        <v>90</v>
      </c>
      <c r="M115" s="474">
        <v>16</v>
      </c>
      <c r="N115" s="44">
        <f t="shared" si="79"/>
        <v>1358.0000000000014</v>
      </c>
      <c r="O115" s="47">
        <f t="shared" si="80"/>
        <v>84.875000000000085</v>
      </c>
      <c r="P115" s="48">
        <f t="shared" si="75"/>
        <v>0</v>
      </c>
      <c r="Q115" s="49">
        <f t="shared" si="76"/>
        <v>-5.1249999999999147</v>
      </c>
      <c r="R115" s="475">
        <f t="shared" si="77"/>
        <v>0.94305555555555654</v>
      </c>
      <c r="S115" s="694"/>
      <c r="T115" s="223">
        <v>0.78819444444444431</v>
      </c>
      <c r="U115" s="223">
        <v>0.82986111111111094</v>
      </c>
      <c r="V115" s="224">
        <v>8</v>
      </c>
      <c r="W115" s="468">
        <f t="shared" si="73"/>
        <v>59.999999999999943</v>
      </c>
      <c r="X115" s="213"/>
      <c r="Y115" s="213"/>
      <c r="Z115" s="214"/>
      <c r="AA115" s="214"/>
      <c r="AB115" s="644"/>
      <c r="AC115" s="644"/>
      <c r="AD115" s="218"/>
      <c r="AE115" s="218"/>
      <c r="AF115" s="48">
        <f t="shared" si="61"/>
        <v>-81.999999999998636</v>
      </c>
      <c r="AG115" s="125">
        <f t="shared" si="62"/>
        <v>0.94305555555555654</v>
      </c>
      <c r="AH115" s="667"/>
    </row>
    <row r="116" spans="1:34" s="215" customFormat="1" ht="19.2" customHeight="1">
      <c r="A116" s="691"/>
      <c r="B116" s="471" t="s">
        <v>105</v>
      </c>
      <c r="C116" s="55"/>
      <c r="D116" s="82" t="s">
        <v>474</v>
      </c>
      <c r="E116" s="83"/>
      <c r="F116" s="273">
        <v>58.17</v>
      </c>
      <c r="G116" s="226">
        <v>2820</v>
      </c>
      <c r="H116" s="45">
        <f t="shared" si="78"/>
        <v>164039.4</v>
      </c>
      <c r="I116" s="484"/>
      <c r="J116" s="46">
        <v>15</v>
      </c>
      <c r="K116" s="44">
        <v>1440</v>
      </c>
      <c r="L116" s="47">
        <v>96</v>
      </c>
      <c r="M116" s="474">
        <v>15</v>
      </c>
      <c r="N116" s="44">
        <f t="shared" si="79"/>
        <v>1353.5999999999997</v>
      </c>
      <c r="O116" s="47">
        <f t="shared" si="80"/>
        <v>90.239999999999981</v>
      </c>
      <c r="P116" s="48">
        <f t="shared" si="75"/>
        <v>0</v>
      </c>
      <c r="Q116" s="49">
        <f t="shared" si="76"/>
        <v>-5.7600000000000193</v>
      </c>
      <c r="R116" s="475">
        <f t="shared" si="77"/>
        <v>0.93999999999999984</v>
      </c>
      <c r="S116" s="694"/>
      <c r="T116" s="223">
        <v>0.84444444444444422</v>
      </c>
      <c r="U116" s="223">
        <v>0.9312499999999998</v>
      </c>
      <c r="V116" s="224">
        <v>21</v>
      </c>
      <c r="W116" s="468">
        <f t="shared" si="73"/>
        <v>125.00000000000003</v>
      </c>
      <c r="X116" s="213">
        <v>0.8340277777777777</v>
      </c>
      <c r="Y116" s="213">
        <v>0.84305555555555556</v>
      </c>
      <c r="Z116" s="214"/>
      <c r="AA116" s="214"/>
      <c r="AB116" s="644"/>
      <c r="AC116" s="644"/>
      <c r="AD116" s="218"/>
      <c r="AE116" s="218"/>
      <c r="AF116" s="48">
        <f t="shared" si="61"/>
        <v>-86.400000000000318</v>
      </c>
      <c r="AG116" s="125">
        <f t="shared" si="62"/>
        <v>0.93999999999999972</v>
      </c>
      <c r="AH116" s="667"/>
    </row>
    <row r="117" spans="1:34" s="215" customFormat="1" ht="19.2" customHeight="1">
      <c r="A117" s="691"/>
      <c r="B117" s="471" t="s">
        <v>105</v>
      </c>
      <c r="C117" s="55"/>
      <c r="D117" s="176" t="s">
        <v>182</v>
      </c>
      <c r="E117" s="83"/>
      <c r="F117" s="273">
        <v>54.5</v>
      </c>
      <c r="G117" s="226">
        <v>1109</v>
      </c>
      <c r="H117" s="45">
        <f t="shared" si="78"/>
        <v>60440.5</v>
      </c>
      <c r="I117" s="484"/>
      <c r="J117" s="46">
        <v>21</v>
      </c>
      <c r="K117" s="44">
        <v>1440</v>
      </c>
      <c r="L117" s="47">
        <v>68.571428571428569</v>
      </c>
      <c r="M117" s="474">
        <v>21</v>
      </c>
      <c r="N117" s="44">
        <f t="shared" si="79"/>
        <v>1167.3684210526324</v>
      </c>
      <c r="O117" s="47">
        <f t="shared" si="80"/>
        <v>55.588972431077728</v>
      </c>
      <c r="P117" s="48">
        <f t="shared" si="75"/>
        <v>0</v>
      </c>
      <c r="Q117" s="49">
        <f t="shared" si="76"/>
        <v>-12.982456140350841</v>
      </c>
      <c r="R117" s="475">
        <f t="shared" si="77"/>
        <v>0.81067251461988354</v>
      </c>
      <c r="S117" s="694"/>
      <c r="T117" s="223">
        <v>0.94652777777777752</v>
      </c>
      <c r="U117" s="223">
        <v>0.98611111111111083</v>
      </c>
      <c r="V117" s="224">
        <v>22</v>
      </c>
      <c r="W117" s="468">
        <f t="shared" si="73"/>
        <v>56.999999999999957</v>
      </c>
      <c r="X117" s="213">
        <v>0.93541666666666667</v>
      </c>
      <c r="Y117" s="213">
        <v>0.94444444444444453</v>
      </c>
      <c r="Z117" s="214"/>
      <c r="AA117" s="214"/>
      <c r="AB117" s="644"/>
      <c r="AC117" s="644"/>
      <c r="AD117" s="218"/>
      <c r="AE117" s="218"/>
      <c r="AF117" s="48">
        <f t="shared" si="61"/>
        <v>-272.63157894736764</v>
      </c>
      <c r="AG117" s="125">
        <f t="shared" si="62"/>
        <v>0.81067251461988354</v>
      </c>
      <c r="AH117" s="667"/>
    </row>
    <row r="118" spans="1:34" s="215" customFormat="1" ht="19.2" customHeight="1">
      <c r="A118" s="691"/>
      <c r="B118" s="4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484"/>
      <c r="J118" s="46"/>
      <c r="K118" s="44"/>
      <c r="L118" s="47"/>
      <c r="M118" s="474"/>
      <c r="N118" s="44"/>
      <c r="O118" s="47"/>
      <c r="P118" s="48"/>
      <c r="Q118" s="49"/>
      <c r="R118" s="475"/>
      <c r="S118" s="694"/>
      <c r="T118" s="223"/>
      <c r="U118" s="223"/>
      <c r="V118" s="224"/>
      <c r="W118" s="468">
        <f t="shared" si="73"/>
        <v>0</v>
      </c>
      <c r="X118" s="213"/>
      <c r="Y118" s="213"/>
      <c r="Z118" s="214"/>
      <c r="AA118" s="214"/>
      <c r="AB118" s="644"/>
      <c r="AC118" s="644"/>
      <c r="AD118" s="218"/>
      <c r="AE118" s="218"/>
      <c r="AF118" s="48">
        <f t="shared" si="61"/>
        <v>0</v>
      </c>
      <c r="AG118" s="125" t="e">
        <f t="shared" si="62"/>
        <v>#DIV/0!</v>
      </c>
      <c r="AH118" s="667"/>
    </row>
    <row r="119" spans="1:34" s="215" customFormat="1" ht="19.2" customHeight="1">
      <c r="A119" s="691"/>
      <c r="B119" s="4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84"/>
      <c r="J119" s="46"/>
      <c r="K119" s="44"/>
      <c r="L119" s="47"/>
      <c r="M119" s="474"/>
      <c r="N119" s="44"/>
      <c r="O119" s="47"/>
      <c r="P119" s="48"/>
      <c r="Q119" s="49"/>
      <c r="R119" s="475"/>
      <c r="S119" s="694"/>
      <c r="T119" s="223"/>
      <c r="U119" s="223"/>
      <c r="V119" s="224"/>
      <c r="W119" s="468">
        <f t="shared" si="73"/>
        <v>0</v>
      </c>
      <c r="X119" s="213"/>
      <c r="Y119" s="213"/>
      <c r="Z119" s="214"/>
      <c r="AA119" s="214"/>
      <c r="AB119" s="644"/>
      <c r="AC119" s="644"/>
      <c r="AD119" s="218"/>
      <c r="AE119" s="218"/>
      <c r="AF119" s="48">
        <f t="shared" si="61"/>
        <v>0</v>
      </c>
      <c r="AG119" s="125" t="e">
        <f t="shared" si="62"/>
        <v>#DIV/0!</v>
      </c>
      <c r="AH119" s="667"/>
    </row>
    <row r="120" spans="1:34" s="215" customFormat="1" ht="19.2" customHeight="1">
      <c r="A120" s="691"/>
      <c r="B120" s="4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84"/>
      <c r="J120" s="178"/>
      <c r="K120" s="228"/>
      <c r="L120" s="47"/>
      <c r="M120" s="474"/>
      <c r="N120" s="179"/>
      <c r="O120" s="221"/>
      <c r="P120" s="165"/>
      <c r="Q120" s="49"/>
      <c r="R120" s="475"/>
      <c r="S120" s="694"/>
      <c r="T120" s="223"/>
      <c r="U120" s="223"/>
      <c r="V120" s="224"/>
      <c r="W120" s="468">
        <f t="shared" si="73"/>
        <v>0</v>
      </c>
      <c r="X120" s="213"/>
      <c r="Y120" s="213"/>
      <c r="Z120" s="214"/>
      <c r="AA120" s="214"/>
      <c r="AB120" s="644"/>
      <c r="AC120" s="644"/>
      <c r="AD120" s="218"/>
      <c r="AE120" s="218"/>
      <c r="AF120" s="48">
        <f t="shared" si="61"/>
        <v>0</v>
      </c>
      <c r="AG120" s="125" t="e">
        <f t="shared" si="62"/>
        <v>#DIV/0!</v>
      </c>
      <c r="AH120" s="667"/>
    </row>
    <row r="121" spans="1:34" ht="19.2" customHeight="1">
      <c r="A121" s="692"/>
      <c r="B121" s="121">
        <v>0</v>
      </c>
      <c r="C121" s="100" t="s">
        <v>534</v>
      </c>
      <c r="D121" s="229" t="s">
        <v>518</v>
      </c>
      <c r="E121" s="230"/>
      <c r="F121" s="282"/>
      <c r="G121" s="231"/>
      <c r="H121" s="232"/>
      <c r="I121" s="233"/>
      <c r="J121" s="199">
        <v>15.333333333333334</v>
      </c>
      <c r="K121" s="199">
        <v>1682</v>
      </c>
      <c r="L121" s="200">
        <v>118.09560809560809</v>
      </c>
      <c r="M121" s="199">
        <f t="shared" ref="M121:O121" si="81">AVERAGE(M109:M120)</f>
        <v>15.444444444444445</v>
      </c>
      <c r="N121" s="199">
        <f t="shared" si="81"/>
        <v>1588.983067993164</v>
      </c>
      <c r="O121" s="200">
        <f t="shared" si="81"/>
        <v>111.90474764839217</v>
      </c>
      <c r="P121" s="48">
        <f t="shared" ref="P121:P130" si="82">M121-J121</f>
        <v>0.11111111111111072</v>
      </c>
      <c r="Q121" s="49">
        <f t="shared" ref="Q121:Q130" si="83">O121-L121</f>
        <v>-6.1908604472159112</v>
      </c>
      <c r="R121" s="172">
        <f t="shared" ref="R121:R130" si="84">O121/L121</f>
        <v>0.94757755561744594</v>
      </c>
      <c r="S121" s="672"/>
      <c r="T121" s="50"/>
      <c r="U121" s="50"/>
      <c r="V121" s="44"/>
      <c r="W121" s="46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44"/>
      <c r="AC121" s="644"/>
      <c r="AD121" s="107">
        <f>SUM(AD109:AD120)</f>
        <v>0</v>
      </c>
      <c r="AE121" s="107">
        <f>SUM(AE109:AE120)</f>
        <v>0</v>
      </c>
      <c r="AF121" s="48">
        <f>N121-K121</f>
        <v>-93.016932006835987</v>
      </c>
      <c r="AG121" s="125">
        <f>N121/K121</f>
        <v>0.94469861355122708</v>
      </c>
      <c r="AH121" s="667"/>
    </row>
    <row r="122" spans="1:34" ht="19.2" customHeight="1">
      <c r="A122" s="695" t="s">
        <v>535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647</v>
      </c>
      <c r="H122" s="45">
        <f t="shared" ref="H122:H132" si="85">F122*G122</f>
        <v>41356.239999999998</v>
      </c>
      <c r="I122" s="471"/>
      <c r="J122" s="46">
        <v>19</v>
      </c>
      <c r="K122" s="44">
        <v>1440</v>
      </c>
      <c r="L122" s="47">
        <v>75.78947368421052</v>
      </c>
      <c r="M122" s="469">
        <v>19</v>
      </c>
      <c r="N122" s="174">
        <f t="shared" ref="N122:N130" si="86">G122/W122*60</f>
        <v>1293.9999999999977</v>
      </c>
      <c r="O122" s="234">
        <f t="shared" ref="O122:O130" si="87">N122/M122</f>
        <v>68.105263157894612</v>
      </c>
      <c r="P122" s="108">
        <f t="shared" si="82"/>
        <v>0</v>
      </c>
      <c r="Q122" s="182">
        <f t="shared" si="83"/>
        <v>-7.6842105263159084</v>
      </c>
      <c r="R122" s="109">
        <f t="shared" si="84"/>
        <v>0.89861111111110958</v>
      </c>
      <c r="S122" s="658">
        <f>R134</f>
        <v>0.89496178281382865</v>
      </c>
      <c r="T122" s="50">
        <v>0.5</v>
      </c>
      <c r="U122" s="50">
        <v>0.52083333333333337</v>
      </c>
      <c r="V122" s="224">
        <v>5</v>
      </c>
      <c r="W122" s="468">
        <f t="shared" si="73"/>
        <v>30.000000000000053</v>
      </c>
      <c r="X122" s="53"/>
      <c r="Y122" s="53"/>
      <c r="Z122" s="54"/>
      <c r="AA122" s="54"/>
      <c r="AB122" s="644"/>
      <c r="AC122" s="644"/>
      <c r="AD122" s="484"/>
      <c r="AE122" s="484"/>
      <c r="AF122" s="48">
        <f t="shared" si="61"/>
        <v>-146.00000000000227</v>
      </c>
      <c r="AG122" s="475">
        <f t="shared" si="62"/>
        <v>0.89861111111110958</v>
      </c>
      <c r="AH122" s="672">
        <f>AG134</f>
        <v>0.89626631129111189</v>
      </c>
    </row>
    <row r="123" spans="1:34" ht="19.2" customHeight="1">
      <c r="A123" s="695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1954</v>
      </c>
      <c r="H123" s="45">
        <f t="shared" si="85"/>
        <v>114641.18000000001</v>
      </c>
      <c r="I123" s="484"/>
      <c r="J123" s="46">
        <v>19</v>
      </c>
      <c r="K123" s="44">
        <v>1440</v>
      </c>
      <c r="L123" s="47">
        <v>75.78947368421052</v>
      </c>
      <c r="M123" s="474">
        <v>19</v>
      </c>
      <c r="N123" s="57">
        <f t="shared" si="86"/>
        <v>1347.5862068965516</v>
      </c>
      <c r="O123" s="86">
        <f t="shared" si="87"/>
        <v>70.925589836660606</v>
      </c>
      <c r="P123" s="54">
        <f t="shared" si="82"/>
        <v>0</v>
      </c>
      <c r="Q123" s="88">
        <f t="shared" si="83"/>
        <v>-4.8638838475499142</v>
      </c>
      <c r="R123" s="478">
        <f t="shared" si="84"/>
        <v>0.93582375478927193</v>
      </c>
      <c r="S123" s="658"/>
      <c r="T123" s="50">
        <v>0.53611111111111109</v>
      </c>
      <c r="U123" s="50">
        <v>0.59652777777777777</v>
      </c>
      <c r="V123" s="224">
        <v>22</v>
      </c>
      <c r="W123" s="468">
        <f t="shared" si="73"/>
        <v>87.000000000000014</v>
      </c>
      <c r="X123" s="53">
        <v>0.52500000000000002</v>
      </c>
      <c r="Y123" s="53">
        <v>0.53472222222222221</v>
      </c>
      <c r="Z123" s="54"/>
      <c r="AA123" s="54"/>
      <c r="AB123" s="644"/>
      <c r="AC123" s="644"/>
      <c r="AD123" s="484"/>
      <c r="AE123" s="484"/>
      <c r="AF123" s="48">
        <f t="shared" si="61"/>
        <v>-92.41379310344837</v>
      </c>
      <c r="AG123" s="475">
        <f t="shared" si="62"/>
        <v>0.93582375478927193</v>
      </c>
      <c r="AH123" s="658"/>
    </row>
    <row r="124" spans="1:34" ht="19.2" customHeight="1">
      <c r="A124" s="695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1987</v>
      </c>
      <c r="H124" s="45">
        <f t="shared" si="85"/>
        <v>118266.24000000001</v>
      </c>
      <c r="I124" s="235"/>
      <c r="J124" s="46">
        <v>21</v>
      </c>
      <c r="K124" s="44">
        <v>1385</v>
      </c>
      <c r="L124" s="47">
        <v>65.952380952380949</v>
      </c>
      <c r="M124" s="469">
        <v>21</v>
      </c>
      <c r="N124" s="174">
        <f t="shared" si="86"/>
        <v>1268.2978723404256</v>
      </c>
      <c r="O124" s="234">
        <f t="shared" si="87"/>
        <v>60.3951367781155</v>
      </c>
      <c r="P124" s="108">
        <f t="shared" si="82"/>
        <v>0</v>
      </c>
      <c r="Q124" s="182">
        <f t="shared" si="83"/>
        <v>-5.557244174265449</v>
      </c>
      <c r="R124" s="109">
        <f t="shared" si="84"/>
        <v>0.91573853598586685</v>
      </c>
      <c r="S124" s="696"/>
      <c r="T124" s="50">
        <v>0.60138888888888886</v>
      </c>
      <c r="U124" s="50">
        <v>0.66666666666666663</v>
      </c>
      <c r="V124" s="224">
        <v>7</v>
      </c>
      <c r="W124" s="468">
        <f t="shared" si="73"/>
        <v>93.999999999999986</v>
      </c>
      <c r="X124" s="188"/>
      <c r="Y124" s="188"/>
      <c r="Z124" s="54"/>
      <c r="AA124" s="54"/>
      <c r="AB124" s="644"/>
      <c r="AC124" s="644"/>
      <c r="AD124" s="484">
        <v>1</v>
      </c>
      <c r="AE124" s="484"/>
      <c r="AF124" s="108">
        <f t="shared" si="61"/>
        <v>-116.70212765957444</v>
      </c>
      <c r="AG124" s="109">
        <f t="shared" si="62"/>
        <v>0.91573853598586685</v>
      </c>
      <c r="AH124" s="658"/>
    </row>
    <row r="125" spans="1:34" ht="19.2" customHeight="1">
      <c r="A125" s="695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1474</v>
      </c>
      <c r="H125" s="45">
        <f t="shared" si="85"/>
        <v>83708.459999999992</v>
      </c>
      <c r="I125" s="471"/>
      <c r="J125" s="46">
        <v>18</v>
      </c>
      <c r="K125" s="44">
        <v>1636</v>
      </c>
      <c r="L125" s="47">
        <v>90.888888888888886</v>
      </c>
      <c r="M125" s="469">
        <v>18</v>
      </c>
      <c r="N125" s="174">
        <f t="shared" si="86"/>
        <v>1403.8095238095252</v>
      </c>
      <c r="O125" s="234">
        <f t="shared" si="87"/>
        <v>77.989417989418072</v>
      </c>
      <c r="P125" s="108">
        <f t="shared" si="82"/>
        <v>0</v>
      </c>
      <c r="Q125" s="182">
        <f t="shared" si="83"/>
        <v>-12.899470899470813</v>
      </c>
      <c r="R125" s="109">
        <f t="shared" si="84"/>
        <v>0.8580742810571671</v>
      </c>
      <c r="S125" s="696"/>
      <c r="T125" s="50">
        <v>0.70833333333333326</v>
      </c>
      <c r="U125" s="50">
        <v>0.75208333333333321</v>
      </c>
      <c r="V125" s="224">
        <v>7</v>
      </c>
      <c r="W125" s="468">
        <f t="shared" si="73"/>
        <v>62.999999999999936</v>
      </c>
      <c r="X125" s="64"/>
      <c r="Y125" s="64"/>
      <c r="Z125" s="54"/>
      <c r="AA125" s="54"/>
      <c r="AB125" s="644"/>
      <c r="AC125" s="644"/>
      <c r="AD125" s="484"/>
      <c r="AE125" s="484"/>
      <c r="AF125" s="48">
        <f t="shared" si="61"/>
        <v>-232.19047619047478</v>
      </c>
      <c r="AG125" s="475">
        <f t="shared" si="62"/>
        <v>0.85807428105716699</v>
      </c>
      <c r="AH125" s="659"/>
    </row>
    <row r="126" spans="1:34" ht="19.2" customHeight="1">
      <c r="A126" s="695"/>
      <c r="B126" s="130" t="s">
        <v>105</v>
      </c>
      <c r="C126" s="484"/>
      <c r="D126" s="321" t="s">
        <v>80</v>
      </c>
      <c r="E126" s="177"/>
      <c r="F126" s="273">
        <v>56.87</v>
      </c>
      <c r="G126" s="57">
        <v>1150</v>
      </c>
      <c r="H126" s="45">
        <f t="shared" si="85"/>
        <v>65400.5</v>
      </c>
      <c r="I126" s="484"/>
      <c r="J126" s="46">
        <v>18</v>
      </c>
      <c r="K126" s="44">
        <v>1636</v>
      </c>
      <c r="L126" s="47">
        <v>90.888888888888886</v>
      </c>
      <c r="M126" s="474">
        <v>18</v>
      </c>
      <c r="N126" s="57">
        <f t="shared" si="86"/>
        <v>1408.1632653061229</v>
      </c>
      <c r="O126" s="86">
        <f t="shared" si="87"/>
        <v>78.231292517006821</v>
      </c>
      <c r="P126" s="54">
        <f t="shared" si="82"/>
        <v>0</v>
      </c>
      <c r="Q126" s="88">
        <f t="shared" si="83"/>
        <v>-12.657596371882065</v>
      </c>
      <c r="R126" s="478">
        <f t="shared" si="84"/>
        <v>0.8607354922409064</v>
      </c>
      <c r="S126" s="696"/>
      <c r="T126" s="50">
        <v>0.75763888888888875</v>
      </c>
      <c r="U126" s="50">
        <v>0.79166666666666652</v>
      </c>
      <c r="V126" s="224">
        <v>8</v>
      </c>
      <c r="W126" s="468">
        <f t="shared" si="73"/>
        <v>48.999999999999986</v>
      </c>
      <c r="X126" s="64"/>
      <c r="Y126" s="64"/>
      <c r="Z126" s="54"/>
      <c r="AA126" s="54"/>
      <c r="AB126" s="644"/>
      <c r="AC126" s="644"/>
      <c r="AD126" s="484"/>
      <c r="AE126" s="484"/>
      <c r="AF126" s="108">
        <f t="shared" si="61"/>
        <v>-227.83673469387713</v>
      </c>
      <c r="AG126" s="109">
        <f t="shared" si="62"/>
        <v>0.8607354922409064</v>
      </c>
      <c r="AH126" s="659"/>
    </row>
    <row r="127" spans="1:34" ht="19.2" customHeight="1">
      <c r="A127" s="695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1420</v>
      </c>
      <c r="H127" s="45">
        <f t="shared" si="85"/>
        <v>67592</v>
      </c>
      <c r="I127" s="218"/>
      <c r="J127" s="46">
        <v>19</v>
      </c>
      <c r="K127" s="44">
        <v>1440</v>
      </c>
      <c r="L127" s="47">
        <v>75.78947368421052</v>
      </c>
      <c r="M127" s="469">
        <v>19</v>
      </c>
      <c r="N127" s="57">
        <f t="shared" si="86"/>
        <v>1331.2500000000016</v>
      </c>
      <c r="O127" s="86">
        <f t="shared" si="87"/>
        <v>70.065789473684291</v>
      </c>
      <c r="P127" s="54">
        <f t="shared" si="82"/>
        <v>0</v>
      </c>
      <c r="Q127" s="88">
        <f t="shared" si="83"/>
        <v>-5.7236842105262298</v>
      </c>
      <c r="R127" s="478">
        <f t="shared" si="84"/>
        <v>0.92447916666666785</v>
      </c>
      <c r="S127" s="696"/>
      <c r="T127" s="50">
        <v>0.80694444444444424</v>
      </c>
      <c r="U127" s="50">
        <v>0.85138888888888864</v>
      </c>
      <c r="V127" s="471">
        <v>22</v>
      </c>
      <c r="W127" s="468">
        <f t="shared" si="73"/>
        <v>63.999999999999929</v>
      </c>
      <c r="X127" s="64">
        <v>0.79583333333333339</v>
      </c>
      <c r="Y127" s="64">
        <v>0.80555555555555547</v>
      </c>
      <c r="Z127" s="54"/>
      <c r="AA127" s="54"/>
      <c r="AB127" s="644"/>
      <c r="AC127" s="644"/>
      <c r="AD127" s="484"/>
      <c r="AE127" s="484"/>
      <c r="AF127" s="108">
        <f t="shared" si="61"/>
        <v>-108.74999999999841</v>
      </c>
      <c r="AG127" s="109">
        <f t="shared" si="62"/>
        <v>0.92447916666666774</v>
      </c>
      <c r="AH127" s="659"/>
    </row>
    <row r="128" spans="1:34" ht="19.2" customHeight="1">
      <c r="A128" s="695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1256</v>
      </c>
      <c r="H128" s="45">
        <f t="shared" si="85"/>
        <v>63641.520000000004</v>
      </c>
      <c r="I128" s="48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1370.1818181818189</v>
      </c>
      <c r="O128" s="86">
        <f t="shared" si="87"/>
        <v>76.121212121212167</v>
      </c>
      <c r="P128" s="54">
        <f t="shared" si="82"/>
        <v>0</v>
      </c>
      <c r="Q128" s="88">
        <f t="shared" si="83"/>
        <v>-7.2121212121211613</v>
      </c>
      <c r="R128" s="478">
        <f t="shared" si="84"/>
        <v>0.91345454545454607</v>
      </c>
      <c r="S128" s="696"/>
      <c r="T128" s="50">
        <v>0.85624999999999973</v>
      </c>
      <c r="U128" s="50">
        <v>0.89444444444444415</v>
      </c>
      <c r="V128" s="471">
        <v>7</v>
      </c>
      <c r="W128" s="468">
        <f t="shared" si="73"/>
        <v>54.999999999999964</v>
      </c>
      <c r="X128" s="64"/>
      <c r="Y128" s="64"/>
      <c r="Z128" s="54"/>
      <c r="AA128" s="54"/>
      <c r="AB128" s="644"/>
      <c r="AC128" s="644"/>
      <c r="AD128" s="484"/>
      <c r="AE128" s="484"/>
      <c r="AF128" s="48">
        <f t="shared" si="61"/>
        <v>-129.81818181818107</v>
      </c>
      <c r="AG128" s="475">
        <f t="shared" si="62"/>
        <v>0.91345454545454596</v>
      </c>
      <c r="AH128" s="659"/>
    </row>
    <row r="129" spans="1:34" ht="19.2" customHeight="1">
      <c r="A129" s="695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964</v>
      </c>
      <c r="H129" s="45">
        <f t="shared" si="85"/>
        <v>56075.880000000005</v>
      </c>
      <c r="I129" s="48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1410.7317073170727</v>
      </c>
      <c r="O129" s="86">
        <f t="shared" si="87"/>
        <v>88.170731707317046</v>
      </c>
      <c r="P129" s="54">
        <f t="shared" si="82"/>
        <v>0</v>
      </c>
      <c r="Q129" s="88">
        <f t="shared" si="83"/>
        <v>-14.079268292682954</v>
      </c>
      <c r="R129" s="478">
        <f t="shared" si="84"/>
        <v>0.86230544457033786</v>
      </c>
      <c r="S129" s="696"/>
      <c r="T129" s="50">
        <v>0.90902777777777743</v>
      </c>
      <c r="U129" s="50">
        <v>0.93749999999999967</v>
      </c>
      <c r="V129" s="471">
        <v>21</v>
      </c>
      <c r="W129" s="468">
        <f t="shared" si="73"/>
        <v>41.000000000000014</v>
      </c>
      <c r="X129" s="64">
        <v>0.89861111111111114</v>
      </c>
      <c r="Y129" s="64">
        <v>0.90763888888888899</v>
      </c>
      <c r="Z129" s="54"/>
      <c r="AA129" s="54"/>
      <c r="AB129" s="644"/>
      <c r="AC129" s="644"/>
      <c r="AD129" s="484"/>
      <c r="AE129" s="484"/>
      <c r="AF129" s="108">
        <f t="shared" si="61"/>
        <v>-225.26829268292727</v>
      </c>
      <c r="AG129" s="109">
        <f t="shared" si="62"/>
        <v>0.86230544457033786</v>
      </c>
      <c r="AH129" s="659"/>
    </row>
    <row r="130" spans="1:34" ht="19.2" customHeight="1">
      <c r="A130" s="695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1138</v>
      </c>
      <c r="H130" s="45">
        <f t="shared" si="85"/>
        <v>65207.399999999994</v>
      </c>
      <c r="I130" s="484"/>
      <c r="J130" s="46">
        <v>19</v>
      </c>
      <c r="K130" s="44">
        <v>1440</v>
      </c>
      <c r="L130" s="47">
        <v>75.78947368421052</v>
      </c>
      <c r="M130" s="474">
        <v>19</v>
      </c>
      <c r="N130" s="57">
        <f t="shared" si="86"/>
        <v>1313.0769230769238</v>
      </c>
      <c r="O130" s="86">
        <f t="shared" si="87"/>
        <v>69.109311740890732</v>
      </c>
      <c r="P130" s="54">
        <f t="shared" si="82"/>
        <v>0</v>
      </c>
      <c r="Q130" s="88">
        <f t="shared" si="83"/>
        <v>-6.6801619433197885</v>
      </c>
      <c r="R130" s="478">
        <f t="shared" si="84"/>
        <v>0.91185897435897501</v>
      </c>
      <c r="S130" s="696"/>
      <c r="T130" s="50">
        <v>0.94166666666666632</v>
      </c>
      <c r="U130" s="50">
        <v>0.97777777777777741</v>
      </c>
      <c r="V130" s="471">
        <v>6</v>
      </c>
      <c r="W130" s="468">
        <f t="shared" si="73"/>
        <v>51.999999999999972</v>
      </c>
      <c r="X130" s="64"/>
      <c r="Y130" s="64"/>
      <c r="Z130" s="54"/>
      <c r="AA130" s="54"/>
      <c r="AB130" s="644"/>
      <c r="AC130" s="644"/>
      <c r="AD130" s="484"/>
      <c r="AE130" s="484"/>
      <c r="AF130" s="108">
        <f t="shared" si="61"/>
        <v>-126.92307692307622</v>
      </c>
      <c r="AG130" s="109">
        <f t="shared" si="62"/>
        <v>0.91185897435897489</v>
      </c>
      <c r="AH130" s="659"/>
    </row>
    <row r="131" spans="1:34" ht="19.2" customHeight="1">
      <c r="A131" s="695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78"/>
      <c r="S131" s="696"/>
      <c r="T131" s="50"/>
      <c r="U131" s="50"/>
      <c r="V131" s="471"/>
      <c r="W131" s="468">
        <f t="shared" si="73"/>
        <v>0</v>
      </c>
      <c r="X131" s="64"/>
      <c r="Y131" s="64"/>
      <c r="Z131" s="54"/>
      <c r="AA131" s="54"/>
      <c r="AB131" s="644"/>
      <c r="AC131" s="644"/>
      <c r="AD131" s="484"/>
      <c r="AE131" s="484"/>
      <c r="AF131" s="48">
        <f t="shared" si="61"/>
        <v>0</v>
      </c>
      <c r="AG131" s="475" t="e">
        <f t="shared" si="62"/>
        <v>#DIV/0!</v>
      </c>
      <c r="AH131" s="659"/>
    </row>
    <row r="132" spans="1:34" ht="19.2" customHeight="1">
      <c r="A132" s="695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84"/>
      <c r="J132" s="87"/>
      <c r="K132" s="57"/>
      <c r="L132" s="86"/>
      <c r="M132" s="474"/>
      <c r="N132" s="57"/>
      <c r="O132" s="86"/>
      <c r="P132" s="54"/>
      <c r="Q132" s="88"/>
      <c r="R132" s="478"/>
      <c r="S132" s="696"/>
      <c r="T132" s="50"/>
      <c r="U132" s="50"/>
      <c r="V132" s="471"/>
      <c r="W132" s="468">
        <f t="shared" si="73"/>
        <v>0</v>
      </c>
      <c r="X132" s="64"/>
      <c r="Y132" s="64"/>
      <c r="Z132" s="54"/>
      <c r="AA132" s="54"/>
      <c r="AB132" s="644"/>
      <c r="AC132" s="644"/>
      <c r="AD132" s="484"/>
      <c r="AE132" s="484"/>
      <c r="AF132" s="65"/>
      <c r="AG132" s="476"/>
      <c r="AH132" s="659"/>
    </row>
    <row r="133" spans="1:34" ht="19.2" customHeight="1">
      <c r="A133" s="695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84"/>
      <c r="J133" s="87"/>
      <c r="K133" s="57"/>
      <c r="L133" s="86"/>
      <c r="M133" s="474"/>
      <c r="N133" s="57"/>
      <c r="O133" s="86"/>
      <c r="P133" s="54"/>
      <c r="Q133" s="88"/>
      <c r="R133" s="478"/>
      <c r="S133" s="696"/>
      <c r="T133" s="50"/>
      <c r="U133" s="50"/>
      <c r="V133" s="471"/>
      <c r="W133" s="236">
        <f t="shared" si="73"/>
        <v>0</v>
      </c>
      <c r="X133" s="64"/>
      <c r="Y133" s="64"/>
      <c r="Z133" s="54"/>
      <c r="AA133" s="54"/>
      <c r="AB133" s="644"/>
      <c r="AC133" s="644"/>
      <c r="AD133" s="484"/>
      <c r="AE133" s="484"/>
      <c r="AF133" s="65"/>
      <c r="AG133" s="476"/>
      <c r="AH133" s="659"/>
    </row>
    <row r="134" spans="1:34" ht="19.2" customHeight="1">
      <c r="A134" s="695"/>
      <c r="B134" s="168">
        <v>0</v>
      </c>
      <c r="C134" s="100" t="s">
        <v>536</v>
      </c>
      <c r="D134" s="673" t="s">
        <v>518</v>
      </c>
      <c r="E134" s="673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1349.6774796587156</v>
      </c>
      <c r="O134" s="240">
        <f t="shared" si="88"/>
        <v>73.234860591355542</v>
      </c>
      <c r="P134" s="51">
        <f t="shared" ref="P134:P143" si="89">M134-J134</f>
        <v>0</v>
      </c>
      <c r="Q134" s="139">
        <f t="shared" ref="Q134:Q143" si="90">O134-L134</f>
        <v>-8.5952934975704807</v>
      </c>
      <c r="R134" s="241">
        <f t="shared" ref="R134:R143" si="91">O134/L134</f>
        <v>0.89496178281382865</v>
      </c>
      <c r="S134" s="658"/>
      <c r="T134" s="50"/>
      <c r="U134" s="50"/>
      <c r="V134" s="471"/>
      <c r="W134" s="471"/>
      <c r="X134" s="53"/>
      <c r="Y134" s="53"/>
      <c r="Z134" s="106">
        <f>SUM(Z122:Z133)</f>
        <v>0</v>
      </c>
      <c r="AA134" s="106">
        <f>SUM(AA122:AA133)</f>
        <v>0</v>
      </c>
      <c r="AB134" s="644"/>
      <c r="AC134" s="644"/>
      <c r="AD134" s="107">
        <f>SUM(AD122:AD133)</f>
        <v>1</v>
      </c>
      <c r="AE134" s="107">
        <f>SUM(AE122:AE133)</f>
        <v>0</v>
      </c>
      <c r="AF134" s="48">
        <f t="shared" si="61"/>
        <v>-156.21140923017333</v>
      </c>
      <c r="AG134" s="475">
        <f t="shared" si="62"/>
        <v>0.89626631129111189</v>
      </c>
      <c r="AH134" s="659"/>
    </row>
    <row r="135" spans="1:34" ht="19.2" customHeight="1">
      <c r="A135" s="697" t="s">
        <v>537</v>
      </c>
      <c r="B135" s="471" t="s">
        <v>105</v>
      </c>
      <c r="C135" s="484"/>
      <c r="D135" s="82" t="s">
        <v>115</v>
      </c>
      <c r="E135" s="83"/>
      <c r="F135" s="273">
        <v>54.09</v>
      </c>
      <c r="G135" s="57">
        <v>2151.2000000000003</v>
      </c>
      <c r="H135" s="242">
        <f t="shared" ref="H135:H146" si="92">F135*G135</f>
        <v>116358.40800000002</v>
      </c>
      <c r="I135" s="484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1373.1063829787224</v>
      </c>
      <c r="O135" s="115">
        <f t="shared" ref="O135:O143" si="94">N135/M135</f>
        <v>80.770963704630731</v>
      </c>
      <c r="P135" s="54">
        <f t="shared" si="89"/>
        <v>1</v>
      </c>
      <c r="Q135" s="88">
        <f t="shared" si="90"/>
        <v>-12.979036295369269</v>
      </c>
      <c r="R135" s="478">
        <f t="shared" si="91"/>
        <v>0.86155694618272782</v>
      </c>
      <c r="S135" s="694">
        <f>R147</f>
        <v>0.8774605390407656</v>
      </c>
      <c r="T135" s="243">
        <v>0.45833333333333331</v>
      </c>
      <c r="U135" s="50">
        <v>0.52361111111111114</v>
      </c>
      <c r="V135" s="142">
        <v>5</v>
      </c>
      <c r="W135" s="244">
        <f t="shared" ref="W135:W147" si="95">(U135-T135)*24*60</f>
        <v>94.000000000000071</v>
      </c>
      <c r="X135" s="53"/>
      <c r="Y135" s="53"/>
      <c r="Z135" s="54"/>
      <c r="AA135" s="54"/>
      <c r="AB135" s="644"/>
      <c r="AC135" s="644"/>
      <c r="AD135" s="484"/>
      <c r="AE135" s="484"/>
      <c r="AF135" s="116">
        <f t="shared" si="61"/>
        <v>-126.89361702127758</v>
      </c>
      <c r="AG135" s="120">
        <f t="shared" si="62"/>
        <v>0.91540425531914826</v>
      </c>
      <c r="AH135" s="667">
        <f>AG147</f>
        <v>0.89835075428962807</v>
      </c>
    </row>
    <row r="136" spans="1:34" ht="19.2" customHeight="1">
      <c r="A136" s="698"/>
      <c r="B136" s="471" t="s">
        <v>105</v>
      </c>
      <c r="C136" s="484"/>
      <c r="D136" s="82" t="s">
        <v>74</v>
      </c>
      <c r="E136" s="83"/>
      <c r="F136" s="273">
        <v>57.734999999999999</v>
      </c>
      <c r="G136" s="57">
        <v>1702</v>
      </c>
      <c r="H136" s="84">
        <f t="shared" si="92"/>
        <v>98264.97</v>
      </c>
      <c r="I136" s="484"/>
      <c r="J136" s="46">
        <v>16</v>
      </c>
      <c r="K136" s="57">
        <v>1565</v>
      </c>
      <c r="L136" s="86">
        <v>97.8125</v>
      </c>
      <c r="M136" s="474">
        <v>16</v>
      </c>
      <c r="N136" s="57">
        <f t="shared" si="93"/>
        <v>1326.2337662337654</v>
      </c>
      <c r="O136" s="86">
        <f t="shared" si="94"/>
        <v>82.88961038961034</v>
      </c>
      <c r="P136" s="54">
        <f t="shared" si="89"/>
        <v>0</v>
      </c>
      <c r="Q136" s="88">
        <f t="shared" si="90"/>
        <v>-14.92288961038966</v>
      </c>
      <c r="R136" s="478">
        <f t="shared" si="91"/>
        <v>0.84743371644330057</v>
      </c>
      <c r="S136" s="694"/>
      <c r="T136" s="243">
        <v>0.5395833333333333</v>
      </c>
      <c r="U136" s="50">
        <v>0.59305555555555556</v>
      </c>
      <c r="V136" s="142">
        <v>23</v>
      </c>
      <c r="W136" s="244">
        <f t="shared" si="95"/>
        <v>77.000000000000043</v>
      </c>
      <c r="X136" s="53">
        <v>0.52777777777777779</v>
      </c>
      <c r="Y136" s="53">
        <v>0.53819444444444442</v>
      </c>
      <c r="Z136" s="54"/>
      <c r="AA136" s="54"/>
      <c r="AB136" s="644"/>
      <c r="AC136" s="644"/>
      <c r="AD136" s="484"/>
      <c r="AE136" s="484"/>
      <c r="AF136" s="48">
        <f t="shared" si="61"/>
        <v>-238.76623376623456</v>
      </c>
      <c r="AG136" s="125">
        <f t="shared" si="62"/>
        <v>0.84743371644330057</v>
      </c>
      <c r="AH136" s="667"/>
    </row>
    <row r="137" spans="1:34" ht="19.2" customHeight="1">
      <c r="A137" s="698"/>
      <c r="B137" s="471" t="s">
        <v>105</v>
      </c>
      <c r="C137" s="484"/>
      <c r="D137" s="82" t="s">
        <v>146</v>
      </c>
      <c r="E137" s="83"/>
      <c r="F137" s="273">
        <v>50.67</v>
      </c>
      <c r="G137" s="206">
        <v>1275</v>
      </c>
      <c r="H137" s="84">
        <f t="shared" si="92"/>
        <v>64604.25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1342.1052631578957</v>
      </c>
      <c r="O137" s="86">
        <f t="shared" si="94"/>
        <v>74.561403508771988</v>
      </c>
      <c r="P137" s="54">
        <f t="shared" si="89"/>
        <v>0</v>
      </c>
      <c r="Q137" s="88">
        <f t="shared" si="90"/>
        <v>-8.7719298245613402</v>
      </c>
      <c r="R137" s="478">
        <f t="shared" si="91"/>
        <v>0.89473684210526394</v>
      </c>
      <c r="S137" s="694"/>
      <c r="T137" s="50">
        <v>0.59791666666666665</v>
      </c>
      <c r="U137" s="50">
        <v>0.63749999999999996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644"/>
      <c r="AC137" s="644"/>
      <c r="AD137" s="484">
        <v>1</v>
      </c>
      <c r="AE137" s="484"/>
      <c r="AF137" s="48">
        <f t="shared" si="61"/>
        <v>-157.89473684210429</v>
      </c>
      <c r="AG137" s="125">
        <f t="shared" si="62"/>
        <v>0.89473684210526383</v>
      </c>
      <c r="AH137" s="667"/>
    </row>
    <row r="138" spans="1:34" ht="19.2" customHeight="1">
      <c r="A138" s="698"/>
      <c r="B138" s="471" t="s">
        <v>105</v>
      </c>
      <c r="C138" s="220"/>
      <c r="D138" s="82" t="s">
        <v>83</v>
      </c>
      <c r="E138" s="83"/>
      <c r="F138" s="273">
        <v>50.98</v>
      </c>
      <c r="G138" s="57">
        <v>1537</v>
      </c>
      <c r="H138" s="84">
        <f t="shared" si="92"/>
        <v>78356.259999999995</v>
      </c>
      <c r="I138" s="484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1317.42857142857</v>
      </c>
      <c r="O138" s="86">
        <f t="shared" si="94"/>
        <v>65.871428571428496</v>
      </c>
      <c r="P138" s="54">
        <f t="shared" si="89"/>
        <v>0</v>
      </c>
      <c r="Q138" s="88">
        <f t="shared" si="90"/>
        <v>-6.1285714285715045</v>
      </c>
      <c r="R138" s="483">
        <f t="shared" si="91"/>
        <v>0.91488095238095135</v>
      </c>
      <c r="S138" s="694"/>
      <c r="T138" s="50">
        <v>0.70833333333333337</v>
      </c>
      <c r="U138" s="50">
        <v>0.75694444444444453</v>
      </c>
      <c r="V138" s="246">
        <v>5</v>
      </c>
      <c r="W138" s="244">
        <f t="shared" si="95"/>
        <v>70.000000000000071</v>
      </c>
      <c r="X138" s="53"/>
      <c r="Y138" s="53"/>
      <c r="Z138" s="54"/>
      <c r="AA138" s="54"/>
      <c r="AB138" s="644"/>
      <c r="AC138" s="644"/>
      <c r="AD138" s="484"/>
      <c r="AE138" s="484"/>
      <c r="AF138" s="48">
        <f t="shared" si="61"/>
        <v>-122.57142857143003</v>
      </c>
      <c r="AG138" s="125">
        <f t="shared" si="62"/>
        <v>0.91488095238095135</v>
      </c>
      <c r="AH138" s="667"/>
    </row>
    <row r="139" spans="1:34" ht="19.2" customHeight="1">
      <c r="A139" s="698"/>
      <c r="B139" s="471" t="s">
        <v>105</v>
      </c>
      <c r="C139" s="481"/>
      <c r="D139" s="42" t="s">
        <v>82</v>
      </c>
      <c r="E139" s="43"/>
      <c r="F139" s="273">
        <v>50.67</v>
      </c>
      <c r="G139" s="57">
        <v>953</v>
      </c>
      <c r="H139" s="84">
        <f t="shared" si="92"/>
        <v>48288.51</v>
      </c>
      <c r="I139" s="484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1361.4285714285709</v>
      </c>
      <c r="O139" s="86">
        <f t="shared" si="94"/>
        <v>80.084033613445342</v>
      </c>
      <c r="P139" s="54">
        <f t="shared" si="89"/>
        <v>0</v>
      </c>
      <c r="Q139" s="88">
        <f t="shared" si="90"/>
        <v>-8.1512605042017157</v>
      </c>
      <c r="R139" s="478">
        <f t="shared" si="91"/>
        <v>0.90761904761904721</v>
      </c>
      <c r="S139" s="694"/>
      <c r="T139" s="50">
        <v>0.76180555555555562</v>
      </c>
      <c r="U139" s="50">
        <v>0.7909722222222223</v>
      </c>
      <c r="V139" s="247">
        <v>7</v>
      </c>
      <c r="W139" s="244">
        <f t="shared" si="95"/>
        <v>42.000000000000014</v>
      </c>
      <c r="X139" s="53"/>
      <c r="Y139" s="53"/>
      <c r="Z139" s="54"/>
      <c r="AA139" s="54"/>
      <c r="AB139" s="644"/>
      <c r="AC139" s="644"/>
      <c r="AD139" s="484"/>
      <c r="AE139" s="484"/>
      <c r="AF139" s="48">
        <f t="shared" si="61"/>
        <v>-138.57142857142912</v>
      </c>
      <c r="AG139" s="125">
        <f t="shared" si="62"/>
        <v>0.90761904761904721</v>
      </c>
      <c r="AH139" s="667"/>
    </row>
    <row r="140" spans="1:34" ht="19.2" customHeight="1">
      <c r="A140" s="699"/>
      <c r="B140" s="471" t="s">
        <v>105</v>
      </c>
      <c r="C140" s="481"/>
      <c r="D140" s="248" t="s">
        <v>84</v>
      </c>
      <c r="E140" s="83"/>
      <c r="F140" s="273">
        <v>50.92</v>
      </c>
      <c r="G140" s="57">
        <v>1801</v>
      </c>
      <c r="H140" s="84">
        <f t="shared" si="92"/>
        <v>91706.92</v>
      </c>
      <c r="I140" s="484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1286.4285714285709</v>
      </c>
      <c r="O140" s="86">
        <f t="shared" si="94"/>
        <v>67.706766917293209</v>
      </c>
      <c r="P140" s="54">
        <f t="shared" si="89"/>
        <v>0</v>
      </c>
      <c r="Q140" s="88">
        <f t="shared" si="90"/>
        <v>-8.0827067669173118</v>
      </c>
      <c r="R140" s="478">
        <f t="shared" si="91"/>
        <v>0.89335317460317432</v>
      </c>
      <c r="S140" s="701"/>
      <c r="T140" s="63">
        <v>0.79583333333333339</v>
      </c>
      <c r="U140" s="249">
        <v>0.85416666666666674</v>
      </c>
      <c r="V140" s="250">
        <v>7</v>
      </c>
      <c r="W140" s="244">
        <f t="shared" si="95"/>
        <v>84.000000000000028</v>
      </c>
      <c r="X140" s="53"/>
      <c r="Y140" s="53"/>
      <c r="Z140" s="54"/>
      <c r="AA140" s="54"/>
      <c r="AB140" s="644"/>
      <c r="AC140" s="644"/>
      <c r="AD140" s="484"/>
      <c r="AE140" s="484"/>
      <c r="AF140" s="48">
        <f t="shared" si="61"/>
        <v>-153.57142857142912</v>
      </c>
      <c r="AG140" s="125">
        <f t="shared" si="62"/>
        <v>0.8933531746031742</v>
      </c>
      <c r="AH140" s="667"/>
    </row>
    <row r="141" spans="1:34" ht="19.2" customHeight="1">
      <c r="A141" s="699"/>
      <c r="B141" s="471" t="s">
        <v>105</v>
      </c>
      <c r="C141" s="481"/>
      <c r="D141" s="42" t="s">
        <v>85</v>
      </c>
      <c r="E141" s="251"/>
      <c r="F141" s="273">
        <v>50.67</v>
      </c>
      <c r="G141" s="57">
        <v>815</v>
      </c>
      <c r="H141" s="84">
        <f t="shared" si="92"/>
        <v>41296.050000000003</v>
      </c>
      <c r="I141" s="484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1321.6216216216205</v>
      </c>
      <c r="O141" s="86">
        <f t="shared" si="94"/>
        <v>77.742448330683558</v>
      </c>
      <c r="P141" s="54">
        <f t="shared" si="89"/>
        <v>0</v>
      </c>
      <c r="Q141" s="88">
        <f t="shared" si="90"/>
        <v>-6.9634340222576157</v>
      </c>
      <c r="R141" s="478">
        <f t="shared" si="91"/>
        <v>0.91779279279279202</v>
      </c>
      <c r="S141" s="701"/>
      <c r="T141" s="63">
        <v>0.87013888888888902</v>
      </c>
      <c r="U141" s="249">
        <v>0.89583333333333348</v>
      </c>
      <c r="V141" s="55">
        <v>23</v>
      </c>
      <c r="W141" s="244">
        <f t="shared" si="95"/>
        <v>37.000000000000028</v>
      </c>
      <c r="X141" s="53">
        <v>0.85833333333333339</v>
      </c>
      <c r="Y141" s="53">
        <v>0.86875000000000002</v>
      </c>
      <c r="Z141" s="54"/>
      <c r="AA141" s="54"/>
      <c r="AB141" s="644"/>
      <c r="AC141" s="644"/>
      <c r="AD141" s="484"/>
      <c r="AE141" s="484"/>
      <c r="AF141" s="48">
        <f t="shared" si="61"/>
        <v>-118.37837837837947</v>
      </c>
      <c r="AG141" s="125">
        <f t="shared" si="62"/>
        <v>0.91779279279279202</v>
      </c>
      <c r="AH141" s="667"/>
    </row>
    <row r="142" spans="1:34" ht="19.2" customHeight="1">
      <c r="A142" s="699"/>
      <c r="B142" s="471" t="s">
        <v>105</v>
      </c>
      <c r="C142" s="481"/>
      <c r="D142" s="42" t="s">
        <v>86</v>
      </c>
      <c r="E142" s="251"/>
      <c r="F142" s="273">
        <v>50.49</v>
      </c>
      <c r="G142" s="57">
        <v>1224</v>
      </c>
      <c r="H142" s="84">
        <f t="shared" si="92"/>
        <v>61799.76</v>
      </c>
      <c r="I142" s="484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1288.4210526315799</v>
      </c>
      <c r="O142" s="86">
        <f t="shared" si="94"/>
        <v>85.894736842105331</v>
      </c>
      <c r="P142" s="54">
        <f t="shared" si="89"/>
        <v>1</v>
      </c>
      <c r="Q142" s="88">
        <f t="shared" si="90"/>
        <v>-16.96240601503753</v>
      </c>
      <c r="R142" s="478">
        <f t="shared" si="91"/>
        <v>0.83508771929824621</v>
      </c>
      <c r="S142" s="701"/>
      <c r="T142" s="63">
        <v>0.90000000000000013</v>
      </c>
      <c r="U142" s="249">
        <v>0.93958333333333344</v>
      </c>
      <c r="V142" s="55">
        <v>6</v>
      </c>
      <c r="W142" s="244">
        <f t="shared" si="95"/>
        <v>56.999999999999957</v>
      </c>
      <c r="X142" s="53"/>
      <c r="Y142" s="53"/>
      <c r="Z142" s="54"/>
      <c r="AA142" s="54"/>
      <c r="AB142" s="644"/>
      <c r="AC142" s="644"/>
      <c r="AD142" s="484"/>
      <c r="AE142" s="484"/>
      <c r="AF142" s="48">
        <f t="shared" si="61"/>
        <v>-151.57894736842013</v>
      </c>
      <c r="AG142" s="125">
        <f t="shared" si="62"/>
        <v>0.89473684210526383</v>
      </c>
      <c r="AH142" s="667"/>
    </row>
    <row r="143" spans="1:34" ht="19.2" customHeight="1">
      <c r="A143" s="699"/>
      <c r="B143" s="471" t="s">
        <v>105</v>
      </c>
      <c r="C143" s="252"/>
      <c r="D143" s="82" t="s">
        <v>166</v>
      </c>
      <c r="E143" s="83"/>
      <c r="F143" s="273">
        <v>56.43</v>
      </c>
      <c r="G143" s="57">
        <v>1083</v>
      </c>
      <c r="H143" s="84">
        <f t="shared" si="92"/>
        <v>61113.69</v>
      </c>
      <c r="I143" s="484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1353.7500000000005</v>
      </c>
      <c r="O143" s="86">
        <f t="shared" si="94"/>
        <v>79.632352941176492</v>
      </c>
      <c r="P143" s="54">
        <f t="shared" si="89"/>
        <v>1</v>
      </c>
      <c r="Q143" s="88">
        <f t="shared" si="90"/>
        <v>-14.117647058823508</v>
      </c>
      <c r="R143" s="478">
        <f t="shared" si="91"/>
        <v>0.84941176470588253</v>
      </c>
      <c r="S143" s="701"/>
      <c r="T143" s="63">
        <v>0.94444444444444453</v>
      </c>
      <c r="U143" s="249">
        <v>0.97777777777777786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644"/>
      <c r="AC143" s="644"/>
      <c r="AD143" s="484"/>
      <c r="AE143" s="484"/>
      <c r="AF143" s="48">
        <f t="shared" si="61"/>
        <v>-146.24999999999955</v>
      </c>
      <c r="AG143" s="125">
        <f t="shared" si="62"/>
        <v>0.9025000000000003</v>
      </c>
      <c r="AH143" s="667"/>
    </row>
    <row r="144" spans="1:34" ht="19.2" customHeight="1">
      <c r="A144" s="699"/>
      <c r="B144" s="471">
        <v>0</v>
      </c>
      <c r="C144" s="481"/>
      <c r="D144" s="42"/>
      <c r="E144" s="251"/>
      <c r="F144" s="273" t="s">
        <v>106</v>
      </c>
      <c r="G144" s="57"/>
      <c r="H144" s="84">
        <f t="shared" si="92"/>
        <v>0</v>
      </c>
      <c r="I144" s="484"/>
      <c r="J144" s="87"/>
      <c r="K144" s="57"/>
      <c r="L144" s="86"/>
      <c r="M144" s="474"/>
      <c r="N144" s="57"/>
      <c r="O144" s="86"/>
      <c r="P144" s="54"/>
      <c r="Q144" s="88"/>
      <c r="R144" s="478"/>
      <c r="S144" s="701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644"/>
      <c r="AC144" s="644"/>
      <c r="AD144" s="484"/>
      <c r="AE144" s="484"/>
      <c r="AF144" s="48">
        <f t="shared" si="61"/>
        <v>0</v>
      </c>
      <c r="AG144" s="125" t="e">
        <f t="shared" si="62"/>
        <v>#DIV/0!</v>
      </c>
      <c r="AH144" s="667"/>
    </row>
    <row r="145" spans="1:34" ht="19.2" customHeight="1">
      <c r="A145" s="699"/>
      <c r="B145" s="471">
        <v>0</v>
      </c>
      <c r="C145" s="481"/>
      <c r="D145" s="42"/>
      <c r="E145" s="251"/>
      <c r="F145" s="273" t="s">
        <v>106</v>
      </c>
      <c r="G145" s="57"/>
      <c r="H145" s="84"/>
      <c r="I145" s="484"/>
      <c r="J145" s="87"/>
      <c r="K145" s="57"/>
      <c r="L145" s="86"/>
      <c r="M145" s="474"/>
      <c r="N145" s="57"/>
      <c r="O145" s="86"/>
      <c r="P145" s="54"/>
      <c r="Q145" s="88"/>
      <c r="R145" s="478"/>
      <c r="S145" s="701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644"/>
      <c r="AC145" s="644"/>
      <c r="AD145" s="484"/>
      <c r="AE145" s="484"/>
      <c r="AF145" s="48">
        <f t="shared" si="61"/>
        <v>0</v>
      </c>
      <c r="AG145" s="125" t="e">
        <f t="shared" si="62"/>
        <v>#DIV/0!</v>
      </c>
      <c r="AH145" s="667"/>
    </row>
    <row r="146" spans="1:34" ht="19.2" customHeight="1">
      <c r="A146" s="699"/>
      <c r="B146" s="47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84"/>
      <c r="J146" s="87"/>
      <c r="K146" s="57"/>
      <c r="L146" s="86"/>
      <c r="M146" s="474"/>
      <c r="N146" s="57"/>
      <c r="O146" s="86"/>
      <c r="P146" s="54"/>
      <c r="Q146" s="88"/>
      <c r="R146" s="478"/>
      <c r="S146" s="701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644"/>
      <c r="AC146" s="644"/>
      <c r="AD146" s="484"/>
      <c r="AE146" s="484"/>
      <c r="AF146" s="54"/>
      <c r="AG146" s="478"/>
      <c r="AH146" s="667"/>
    </row>
    <row r="147" spans="1:34" ht="19.2" customHeight="1">
      <c r="A147" s="700"/>
      <c r="B147" s="254">
        <v>0</v>
      </c>
      <c r="C147" s="100" t="s">
        <v>538</v>
      </c>
      <c r="D147" s="673" t="s">
        <v>518</v>
      </c>
      <c r="E147" s="673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1330.0582001010328</v>
      </c>
      <c r="O147" s="240">
        <f t="shared" si="96"/>
        <v>77.239304979905057</v>
      </c>
      <c r="P147" s="51">
        <f t="shared" ref="P147:P155" si="97">M147-J147</f>
        <v>0.33333333333333215</v>
      </c>
      <c r="Q147" s="139">
        <f t="shared" ref="Q147:Q155" si="98">O147-L147</f>
        <v>-10.786653502903278</v>
      </c>
      <c r="R147" s="255">
        <f t="shared" ref="R147:R155" si="99">O147/L147</f>
        <v>0.8774605390407656</v>
      </c>
      <c r="S147" s="702"/>
      <c r="T147" s="63"/>
      <c r="U147" s="63"/>
      <c r="V147" s="55"/>
      <c r="W147" s="46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44"/>
      <c r="AC147" s="644"/>
      <c r="AD147" s="107">
        <f>SUM(AD135:AD146)</f>
        <v>1</v>
      </c>
      <c r="AE147" s="107">
        <f>SUM(AE135:AE146)</f>
        <v>0</v>
      </c>
      <c r="AF147" s="201">
        <f t="shared" si="61"/>
        <v>-150.4973554545229</v>
      </c>
      <c r="AG147" s="256">
        <f t="shared" si="62"/>
        <v>0.89835075428962807</v>
      </c>
      <c r="AH147" s="667"/>
    </row>
    <row r="148" spans="1:34" ht="19.2" customHeight="1">
      <c r="A148" s="704" t="s">
        <v>539</v>
      </c>
      <c r="B148" s="484" t="s">
        <v>103</v>
      </c>
      <c r="C148" s="121"/>
      <c r="D148" s="173" t="s">
        <v>114</v>
      </c>
      <c r="E148" s="43"/>
      <c r="F148" s="280">
        <v>36.92</v>
      </c>
      <c r="G148" s="57">
        <v>1983.1</v>
      </c>
      <c r="H148" s="84">
        <f t="shared" ref="H148:H172" si="100">F148*G148</f>
        <v>73216.051999999996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1545.2727272727279</v>
      </c>
      <c r="O148" s="47">
        <f t="shared" ref="O148:O155" si="102">N148/M148</f>
        <v>128.77272727272734</v>
      </c>
      <c r="P148" s="48">
        <f t="shared" si="97"/>
        <v>0</v>
      </c>
      <c r="Q148" s="49">
        <f t="shared" si="98"/>
        <v>-37.89393939393932</v>
      </c>
      <c r="R148" s="475">
        <f t="shared" si="99"/>
        <v>0.77263636363636412</v>
      </c>
      <c r="S148" s="705">
        <f>R160</f>
        <v>0.82411099106519159</v>
      </c>
      <c r="T148" s="243">
        <v>0.45833333333333331</v>
      </c>
      <c r="U148" s="50">
        <v>0.51180555555555551</v>
      </c>
      <c r="V148" s="471">
        <v>5</v>
      </c>
      <c r="W148" s="468">
        <f>(U148-T148)*24*60</f>
        <v>76.999999999999972</v>
      </c>
      <c r="X148" s="53"/>
      <c r="Y148" s="53"/>
      <c r="Z148" s="54"/>
      <c r="AA148" s="54"/>
      <c r="AB148" s="644"/>
      <c r="AC148" s="644"/>
      <c r="AD148" s="484"/>
      <c r="AE148" s="484"/>
      <c r="AF148" s="48">
        <f t="shared" si="61"/>
        <v>-454.72727272727207</v>
      </c>
      <c r="AG148" s="125">
        <f t="shared" si="62"/>
        <v>0.77263636363636401</v>
      </c>
      <c r="AH148" s="667">
        <f>AG160</f>
        <v>0.82849197847242761</v>
      </c>
    </row>
    <row r="149" spans="1:34" ht="19.2" customHeight="1">
      <c r="A149" s="704"/>
      <c r="B149" s="484" t="s">
        <v>103</v>
      </c>
      <c r="C149" s="218"/>
      <c r="D149" s="248" t="s">
        <v>159</v>
      </c>
      <c r="E149" s="60"/>
      <c r="F149" s="280">
        <v>26.5</v>
      </c>
      <c r="G149" s="57">
        <v>875.69999999999993</v>
      </c>
      <c r="H149" s="84">
        <f t="shared" si="100"/>
        <v>23206.05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1501.1999999999982</v>
      </c>
      <c r="O149" s="47">
        <f t="shared" si="102"/>
        <v>125.09999999999985</v>
      </c>
      <c r="P149" s="48">
        <f t="shared" si="97"/>
        <v>0</v>
      </c>
      <c r="Q149" s="49">
        <f t="shared" si="98"/>
        <v>-41.566666666666805</v>
      </c>
      <c r="R149" s="475">
        <f t="shared" si="99"/>
        <v>0.75059999999999916</v>
      </c>
      <c r="S149" s="706"/>
      <c r="T149" s="243">
        <v>0.51597222222222217</v>
      </c>
      <c r="U149" s="50">
        <v>0.54027777777777775</v>
      </c>
      <c r="V149" s="471">
        <v>6</v>
      </c>
      <c r="W149" s="468">
        <f t="shared" ref="W149:W159" si="103">(U149-T149)*24*60</f>
        <v>35.000000000000036</v>
      </c>
      <c r="X149" s="53"/>
      <c r="Y149" s="53"/>
      <c r="Z149" s="54"/>
      <c r="AA149" s="54"/>
      <c r="AB149" s="644"/>
      <c r="AC149" s="644"/>
      <c r="AD149" s="484"/>
      <c r="AE149" s="484"/>
      <c r="AF149" s="48">
        <f t="shared" si="61"/>
        <v>-498.80000000000177</v>
      </c>
      <c r="AG149" s="125">
        <f t="shared" si="62"/>
        <v>0.75059999999999916</v>
      </c>
      <c r="AH149" s="708"/>
    </row>
    <row r="150" spans="1:34" ht="19.2" customHeight="1">
      <c r="A150" s="704"/>
      <c r="B150" s="484" t="s">
        <v>103</v>
      </c>
      <c r="C150" s="218"/>
      <c r="D150" s="176" t="s">
        <v>165</v>
      </c>
      <c r="E150" s="60"/>
      <c r="F150" s="280">
        <v>55.51</v>
      </c>
      <c r="G150" s="57">
        <v>158</v>
      </c>
      <c r="H150" s="84">
        <f t="shared" si="100"/>
        <v>8770.58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75">
        <f t="shared" si="99"/>
        <v>0.79000000000000281</v>
      </c>
      <c r="S150" s="706"/>
      <c r="T150" s="243">
        <v>0.70833333333333337</v>
      </c>
      <c r="U150" s="50">
        <v>0.71388888888888891</v>
      </c>
      <c r="V150" s="471">
        <v>5</v>
      </c>
      <c r="W150" s="468">
        <f t="shared" si="103"/>
        <v>7.9999999999999716</v>
      </c>
      <c r="X150" s="213"/>
      <c r="Y150" s="213"/>
      <c r="Z150" s="214"/>
      <c r="AA150" s="214"/>
      <c r="AB150" s="644"/>
      <c r="AC150" s="644"/>
      <c r="AD150" s="484"/>
      <c r="AE150" s="484"/>
      <c r="AF150" s="48">
        <f t="shared" si="61"/>
        <v>-314.99999999999568</v>
      </c>
      <c r="AG150" s="125">
        <f t="shared" si="62"/>
        <v>0.79000000000000292</v>
      </c>
      <c r="AH150" s="708"/>
    </row>
    <row r="151" spans="1:34" s="215" customFormat="1" ht="19.2" customHeight="1">
      <c r="A151" s="704"/>
      <c r="B151" s="484" t="s">
        <v>104</v>
      </c>
      <c r="C151" s="218"/>
      <c r="D151" s="59" t="s">
        <v>155</v>
      </c>
      <c r="E151" s="60"/>
      <c r="F151" s="280">
        <v>28.57</v>
      </c>
      <c r="G151" s="57">
        <v>1431</v>
      </c>
      <c r="H151" s="84">
        <f t="shared" si="100"/>
        <v>40883.67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1384.8387096774206</v>
      </c>
      <c r="O151" s="47">
        <f t="shared" si="102"/>
        <v>115.40322580645172</v>
      </c>
      <c r="P151" s="48">
        <f t="shared" si="97"/>
        <v>0</v>
      </c>
      <c r="Q151" s="49">
        <f t="shared" si="98"/>
        <v>-9.5967741935482849</v>
      </c>
      <c r="R151" s="475">
        <f t="shared" si="99"/>
        <v>0.92322580645161367</v>
      </c>
      <c r="S151" s="706"/>
      <c r="T151" s="243">
        <v>0.71736111111111112</v>
      </c>
      <c r="U151" s="50">
        <v>0.76041666666666663</v>
      </c>
      <c r="V151" s="471">
        <v>5</v>
      </c>
      <c r="W151" s="468">
        <f t="shared" si="103"/>
        <v>61.999999999999943</v>
      </c>
      <c r="X151" s="213"/>
      <c r="Y151" s="213"/>
      <c r="Z151" s="214"/>
      <c r="AA151" s="214"/>
      <c r="AB151" s="644"/>
      <c r="AC151" s="644"/>
      <c r="AD151" s="218"/>
      <c r="AE151" s="218"/>
      <c r="AF151" s="48">
        <f t="shared" si="61"/>
        <v>-115.16129032257936</v>
      </c>
      <c r="AG151" s="125">
        <f t="shared" si="62"/>
        <v>0.92322580645161378</v>
      </c>
      <c r="AH151" s="708"/>
    </row>
    <row r="152" spans="1:34" s="215" customFormat="1" ht="19.2" customHeight="1">
      <c r="A152" s="704"/>
      <c r="B152" s="484" t="s">
        <v>104</v>
      </c>
      <c r="C152" s="218"/>
      <c r="D152" s="59" t="s">
        <v>179</v>
      </c>
      <c r="E152" s="60"/>
      <c r="F152" s="280">
        <v>18.920000000000002</v>
      </c>
      <c r="G152" s="57">
        <v>429</v>
      </c>
      <c r="H152" s="84">
        <f t="shared" si="100"/>
        <v>8116.68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1838.5714285714353</v>
      </c>
      <c r="O152" s="47">
        <f t="shared" si="102"/>
        <v>367.71428571428703</v>
      </c>
      <c r="P152" s="48">
        <f t="shared" si="97"/>
        <v>0</v>
      </c>
      <c r="Q152" s="49">
        <f t="shared" si="98"/>
        <v>-72.28571428571297</v>
      </c>
      <c r="R152" s="475">
        <f t="shared" si="99"/>
        <v>0.83571428571428874</v>
      </c>
      <c r="S152" s="706"/>
      <c r="T152" s="258">
        <v>0.76388888888888884</v>
      </c>
      <c r="U152" s="63">
        <v>0.77361111111111103</v>
      </c>
      <c r="V152" s="472">
        <v>5</v>
      </c>
      <c r="W152" s="468">
        <f t="shared" si="103"/>
        <v>13.99999999999995</v>
      </c>
      <c r="X152" s="216"/>
      <c r="Y152" s="216"/>
      <c r="Z152" s="214"/>
      <c r="AA152" s="214"/>
      <c r="AB152" s="644"/>
      <c r="AC152" s="644"/>
      <c r="AD152" s="218"/>
      <c r="AE152" s="218"/>
      <c r="AF152" s="48">
        <f t="shared" si="61"/>
        <v>-361.42857142856474</v>
      </c>
      <c r="AG152" s="125">
        <f t="shared" si="62"/>
        <v>0.83571428571428874</v>
      </c>
      <c r="AH152" s="708"/>
    </row>
    <row r="153" spans="1:34" s="215" customFormat="1" ht="19.2" customHeight="1">
      <c r="A153" s="704"/>
      <c r="B153" s="484" t="s">
        <v>104</v>
      </c>
      <c r="C153" s="218"/>
      <c r="D153" s="248" t="s">
        <v>180</v>
      </c>
      <c r="E153" s="60"/>
      <c r="F153" s="280">
        <v>17.71</v>
      </c>
      <c r="G153" s="57">
        <v>269</v>
      </c>
      <c r="H153" s="84">
        <f t="shared" si="100"/>
        <v>4763.99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1793.3333333333399</v>
      </c>
      <c r="O153" s="47">
        <f t="shared" si="102"/>
        <v>358.66666666666799</v>
      </c>
      <c r="P153" s="48">
        <f t="shared" si="97"/>
        <v>0</v>
      </c>
      <c r="Q153" s="49">
        <f t="shared" si="98"/>
        <v>-81.333333333332007</v>
      </c>
      <c r="R153" s="475">
        <f t="shared" si="99"/>
        <v>0.81515151515151818</v>
      </c>
      <c r="S153" s="706"/>
      <c r="T153" s="258">
        <v>0.77708333333333324</v>
      </c>
      <c r="U153" s="63">
        <v>0.78333333333333321</v>
      </c>
      <c r="V153" s="472">
        <v>5</v>
      </c>
      <c r="W153" s="468">
        <f t="shared" si="103"/>
        <v>8.999999999999968</v>
      </c>
      <c r="X153" s="216"/>
      <c r="Y153" s="216"/>
      <c r="Z153" s="214"/>
      <c r="AA153" s="214"/>
      <c r="AB153" s="644"/>
      <c r="AC153" s="644"/>
      <c r="AD153" s="218"/>
      <c r="AE153" s="218"/>
      <c r="AF153" s="48">
        <f t="shared" si="61"/>
        <v>-406.66666666666015</v>
      </c>
      <c r="AG153" s="125">
        <f t="shared" si="62"/>
        <v>0.81515151515151807</v>
      </c>
      <c r="AH153" s="708"/>
    </row>
    <row r="154" spans="1:34" s="215" customFormat="1" ht="19.2" customHeight="1">
      <c r="A154" s="704"/>
      <c r="B154" s="484" t="s">
        <v>105</v>
      </c>
      <c r="C154" s="218"/>
      <c r="D154" s="248" t="s">
        <v>184</v>
      </c>
      <c r="E154" s="60"/>
      <c r="F154" s="280">
        <v>54.09</v>
      </c>
      <c r="G154" s="57">
        <v>1463</v>
      </c>
      <c r="H154" s="84">
        <f t="shared" si="100"/>
        <v>79133.67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1310.1492537313416</v>
      </c>
      <c r="O154" s="47">
        <f t="shared" si="102"/>
        <v>68.955223880596918</v>
      </c>
      <c r="P154" s="48">
        <f t="shared" si="97"/>
        <v>0</v>
      </c>
      <c r="Q154" s="49">
        <f t="shared" si="98"/>
        <v>-6.8342498036136021</v>
      </c>
      <c r="R154" s="475">
        <f t="shared" si="99"/>
        <v>0.90982587064676501</v>
      </c>
      <c r="S154" s="706"/>
      <c r="T154" s="258">
        <v>0.7979166666666665</v>
      </c>
      <c r="U154" s="63">
        <v>0.84444444444444433</v>
      </c>
      <c r="V154" s="472">
        <v>21</v>
      </c>
      <c r="W154" s="468">
        <f t="shared" si="103"/>
        <v>67.000000000000085</v>
      </c>
      <c r="X154" s="216">
        <v>0.78749999999999998</v>
      </c>
      <c r="Y154" s="216">
        <v>0.79652777777777783</v>
      </c>
      <c r="Z154" s="214"/>
      <c r="AA154" s="214"/>
      <c r="AB154" s="644"/>
      <c r="AC154" s="644"/>
      <c r="AD154" s="218">
        <v>1</v>
      </c>
      <c r="AE154" s="218"/>
      <c r="AF154" s="48">
        <f t="shared" si="61"/>
        <v>-129.85074626865844</v>
      </c>
      <c r="AG154" s="125">
        <f t="shared" si="62"/>
        <v>0.90982587064676501</v>
      </c>
      <c r="AH154" s="708"/>
    </row>
    <row r="155" spans="1:34" s="215" customFormat="1" ht="19.2" customHeight="1">
      <c r="A155" s="704"/>
      <c r="B155" s="484" t="s">
        <v>105</v>
      </c>
      <c r="C155" s="218"/>
      <c r="D155" s="248" t="s">
        <v>186</v>
      </c>
      <c r="E155" s="60"/>
      <c r="F155" s="280">
        <v>57.3</v>
      </c>
      <c r="G155" s="57">
        <v>1018</v>
      </c>
      <c r="H155" s="84">
        <f t="shared" si="100"/>
        <v>58331.399999999994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1272.5000000000005</v>
      </c>
      <c r="O155" s="47">
        <f t="shared" si="102"/>
        <v>74.852941176470608</v>
      </c>
      <c r="P155" s="48">
        <f t="shared" si="97"/>
        <v>0</v>
      </c>
      <c r="Q155" s="49">
        <f t="shared" si="98"/>
        <v>-9.8529411764705657</v>
      </c>
      <c r="R155" s="475">
        <f t="shared" si="99"/>
        <v>0.8836805555555558</v>
      </c>
      <c r="S155" s="706"/>
      <c r="T155" s="258">
        <v>0.84791666666666654</v>
      </c>
      <c r="U155" s="63">
        <v>0.88124999999999987</v>
      </c>
      <c r="V155" s="472">
        <v>5</v>
      </c>
      <c r="W155" s="468">
        <f t="shared" si="103"/>
        <v>47.999999999999986</v>
      </c>
      <c r="X155" s="216"/>
      <c r="Y155" s="216"/>
      <c r="Z155" s="214"/>
      <c r="AA155" s="214"/>
      <c r="AB155" s="644"/>
      <c r="AC155" s="644"/>
      <c r="AD155" s="218"/>
      <c r="AE155" s="218"/>
      <c r="AF155" s="48">
        <f t="shared" si="61"/>
        <v>-167.49999999999955</v>
      </c>
      <c r="AG155" s="125">
        <f t="shared" si="62"/>
        <v>0.88368055555555591</v>
      </c>
      <c r="AH155" s="708"/>
    </row>
    <row r="156" spans="1:34" s="215" customFormat="1" ht="19.2" customHeight="1">
      <c r="A156" s="704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475"/>
      <c r="S156" s="706"/>
      <c r="T156" s="258" t="s">
        <v>15</v>
      </c>
      <c r="U156" s="63" t="s">
        <v>15</v>
      </c>
      <c r="V156" s="472"/>
      <c r="W156" s="262" t="e">
        <f t="shared" si="103"/>
        <v>#VALUE!</v>
      </c>
      <c r="X156" s="216"/>
      <c r="Y156" s="216"/>
      <c r="Z156" s="214"/>
      <c r="AA156" s="214"/>
      <c r="AB156" s="644"/>
      <c r="AC156" s="644"/>
      <c r="AD156" s="218"/>
      <c r="AE156" s="218"/>
      <c r="AF156" s="261"/>
      <c r="AG156" s="129"/>
      <c r="AH156" s="708"/>
    </row>
    <row r="157" spans="1:34" s="215" customFormat="1" ht="19.2" customHeight="1">
      <c r="A157" s="704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706"/>
      <c r="T157" s="258"/>
      <c r="U157" s="63"/>
      <c r="V157" s="472"/>
      <c r="W157" s="262">
        <f t="shared" si="103"/>
        <v>0</v>
      </c>
      <c r="X157" s="216"/>
      <c r="Y157" s="216"/>
      <c r="Z157" s="214"/>
      <c r="AA157" s="214"/>
      <c r="AB157" s="644"/>
      <c r="AC157" s="644"/>
      <c r="AD157" s="218"/>
      <c r="AE157" s="218"/>
      <c r="AF157" s="261"/>
      <c r="AG157" s="129"/>
      <c r="AH157" s="708"/>
    </row>
    <row r="158" spans="1:34" s="215" customFormat="1" ht="19.2" customHeight="1">
      <c r="A158" s="704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706"/>
      <c r="T158" s="258"/>
      <c r="U158" s="63"/>
      <c r="V158" s="472"/>
      <c r="W158" s="262">
        <f t="shared" si="103"/>
        <v>0</v>
      </c>
      <c r="X158" s="216"/>
      <c r="Y158" s="216"/>
      <c r="Z158" s="214"/>
      <c r="AA158" s="214"/>
      <c r="AB158" s="644"/>
      <c r="AC158" s="644"/>
      <c r="AD158" s="218"/>
      <c r="AE158" s="218"/>
      <c r="AF158" s="261"/>
      <c r="AG158" s="129"/>
      <c r="AH158" s="708"/>
    </row>
    <row r="159" spans="1:34" s="215" customFormat="1" ht="19.2" customHeight="1">
      <c r="A159" s="704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74"/>
      <c r="N159" s="179"/>
      <c r="O159" s="221"/>
      <c r="P159" s="260"/>
      <c r="Q159" s="74"/>
      <c r="R159" s="129"/>
      <c r="S159" s="706"/>
      <c r="T159" s="258"/>
      <c r="U159" s="63"/>
      <c r="V159" s="472"/>
      <c r="W159" s="263">
        <f t="shared" si="103"/>
        <v>0</v>
      </c>
      <c r="X159" s="216"/>
      <c r="Y159" s="216"/>
      <c r="Z159" s="214"/>
      <c r="AA159" s="214"/>
      <c r="AB159" s="644"/>
      <c r="AC159" s="644"/>
      <c r="AD159" s="218"/>
      <c r="AE159" s="218"/>
      <c r="AF159" s="261"/>
      <c r="AG159" s="129"/>
      <c r="AH159" s="708"/>
    </row>
    <row r="160" spans="1:34" ht="19.2" customHeight="1">
      <c r="A160" s="704"/>
      <c r="B160" s="264">
        <v>0</v>
      </c>
      <c r="C160" s="265" t="s">
        <v>540</v>
      </c>
      <c r="D160" s="703" t="s">
        <v>518</v>
      </c>
      <c r="E160" s="664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1478.8581815732832</v>
      </c>
      <c r="O160" s="267">
        <f t="shared" si="104"/>
        <v>167.2768838146502</v>
      </c>
      <c r="P160" s="65">
        <f t="shared" ref="P160:P166" si="105">M160-J160</f>
        <v>0</v>
      </c>
      <c r="Q160" s="74">
        <f t="shared" ref="Q160:Q166" si="106">O160-L160</f>
        <v>-35.701702356660434</v>
      </c>
      <c r="R160" s="268">
        <f>O160/L160</f>
        <v>0.82411099106519159</v>
      </c>
      <c r="S160" s="706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644"/>
      <c r="AC160" s="644"/>
      <c r="AD160" s="79">
        <f>SUM(AD148:AD159)</f>
        <v>1</v>
      </c>
      <c r="AE160" s="79">
        <f>SUM(AE148:AE159)</f>
        <v>0</v>
      </c>
      <c r="AF160" s="65">
        <f t="shared" si="61"/>
        <v>-306.14181842671678</v>
      </c>
      <c r="AG160" s="129">
        <f t="shared" si="62"/>
        <v>0.82849197847242761</v>
      </c>
      <c r="AH160" s="708"/>
    </row>
    <row r="161" spans="1:36" ht="19.2" customHeight="1">
      <c r="A161" s="666" t="s">
        <v>541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2907.59</v>
      </c>
      <c r="H161" s="84">
        <f t="shared" ref="H161:H170" si="107">F161*G161</f>
        <v>87605.686700000006</v>
      </c>
      <c r="I161" s="48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1186.7714285714285</v>
      </c>
      <c r="O161" s="86">
        <f t="shared" ref="O161:O166" si="109">N161/M161</f>
        <v>65.93174603174603</v>
      </c>
      <c r="P161" s="54">
        <f t="shared" si="105"/>
        <v>0</v>
      </c>
      <c r="Q161" s="88">
        <f t="shared" si="106"/>
        <v>-0.73492063492064119</v>
      </c>
      <c r="R161" s="478">
        <f t="shared" ref="R161:R166" si="110">O161/L161</f>
        <v>0.98897619047619034</v>
      </c>
      <c r="S161" s="667">
        <f>R173</f>
        <v>0.91319674272334939</v>
      </c>
      <c r="T161" s="89">
        <v>0.16666666666666666</v>
      </c>
      <c r="U161" s="89">
        <v>0.26874999999999999</v>
      </c>
      <c r="V161" s="484">
        <v>5</v>
      </c>
      <c r="W161" s="90">
        <f t="shared" ref="W161:W172" si="111">(U161-T161)*24*60</f>
        <v>147</v>
      </c>
      <c r="X161" s="96"/>
      <c r="Y161" s="96"/>
      <c r="Z161" s="54"/>
      <c r="AA161" s="54"/>
      <c r="AB161" s="644"/>
      <c r="AC161" s="644"/>
      <c r="AD161" s="484"/>
      <c r="AE161" s="484"/>
      <c r="AF161" s="54">
        <f t="shared" si="61"/>
        <v>-13.228571428571513</v>
      </c>
      <c r="AG161" s="478">
        <f t="shared" si="62"/>
        <v>0.98897619047619045</v>
      </c>
      <c r="AH161" s="667">
        <f>AG173</f>
        <v>0.92189181545131604</v>
      </c>
    </row>
    <row r="162" spans="1:36" ht="19.2" customHeight="1">
      <c r="A162" s="66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3339</v>
      </c>
      <c r="H162" s="84">
        <f t="shared" si="107"/>
        <v>114293.96999999999</v>
      </c>
      <c r="I162" s="48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2154.1935483870971</v>
      </c>
      <c r="O162" s="86">
        <f t="shared" si="109"/>
        <v>165.7071960297767</v>
      </c>
      <c r="P162" s="54">
        <f t="shared" si="105"/>
        <v>0</v>
      </c>
      <c r="Q162" s="88">
        <f t="shared" si="106"/>
        <v>-7.3697270471463696</v>
      </c>
      <c r="R162" s="478">
        <f t="shared" si="110"/>
        <v>0.95741935483870988</v>
      </c>
      <c r="S162" s="667"/>
      <c r="T162" s="89">
        <v>0.28333333333333333</v>
      </c>
      <c r="U162" s="89">
        <v>0.34791666666666665</v>
      </c>
      <c r="V162" s="484">
        <v>21</v>
      </c>
      <c r="W162" s="90">
        <f t="shared" si="111"/>
        <v>92.999999999999986</v>
      </c>
      <c r="X162" s="96">
        <v>0.27291666666666664</v>
      </c>
      <c r="Y162" s="96">
        <v>0.28194444444444444</v>
      </c>
      <c r="Z162" s="54"/>
      <c r="AA162" s="54"/>
      <c r="AB162" s="644"/>
      <c r="AC162" s="644"/>
      <c r="AD162" s="484"/>
      <c r="AE162" s="484"/>
      <c r="AF162" s="54">
        <f t="shared" si="61"/>
        <v>-95.806451612902947</v>
      </c>
      <c r="AG162" s="478">
        <f t="shared" si="62"/>
        <v>0.95741935483870977</v>
      </c>
      <c r="AH162" s="667"/>
    </row>
    <row r="163" spans="1:36" ht="19.2" customHeight="1">
      <c r="A163" s="66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3868.2</v>
      </c>
      <c r="H163" s="84">
        <f t="shared" si="107"/>
        <v>138597.606</v>
      </c>
      <c r="I163" s="48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2169.0841121495323</v>
      </c>
      <c r="O163" s="86">
        <f t="shared" si="109"/>
        <v>197.18946474086658</v>
      </c>
      <c r="P163" s="54">
        <f t="shared" si="105"/>
        <v>0</v>
      </c>
      <c r="Q163" s="88">
        <f t="shared" si="106"/>
        <v>-7.3559898045879493</v>
      </c>
      <c r="R163" s="478">
        <f t="shared" si="110"/>
        <v>0.96403738317757004</v>
      </c>
      <c r="S163" s="667"/>
      <c r="T163" s="89">
        <v>0.35277777777777775</v>
      </c>
      <c r="U163" s="89">
        <v>0.42708333333333331</v>
      </c>
      <c r="V163" s="484">
        <v>7</v>
      </c>
      <c r="W163" s="90">
        <f t="shared" si="111"/>
        <v>107.00000000000001</v>
      </c>
      <c r="X163" s="96"/>
      <c r="Y163" s="96"/>
      <c r="Z163" s="54"/>
      <c r="AA163" s="54"/>
      <c r="AB163" s="644"/>
      <c r="AC163" s="644"/>
      <c r="AD163" s="484"/>
      <c r="AE163" s="484"/>
      <c r="AF163" s="54">
        <f t="shared" si="61"/>
        <v>-80.915887850467698</v>
      </c>
      <c r="AG163" s="478">
        <f t="shared" si="62"/>
        <v>0.96403738317756993</v>
      </c>
      <c r="AH163" s="667"/>
    </row>
    <row r="164" spans="1:36" ht="19.2" customHeight="1">
      <c r="A164" s="66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2624.6499999999996</v>
      </c>
      <c r="H164" s="84">
        <f t="shared" si="107"/>
        <v>95563.506499999974</v>
      </c>
      <c r="I164" s="48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2386.045454545454</v>
      </c>
      <c r="O164" s="86">
        <f t="shared" si="109"/>
        <v>238.60454545454542</v>
      </c>
      <c r="P164" s="54">
        <f t="shared" si="105"/>
        <v>0</v>
      </c>
      <c r="Q164" s="88">
        <f t="shared" si="106"/>
        <v>-38.295454545454561</v>
      </c>
      <c r="R164" s="478">
        <f t="shared" si="110"/>
        <v>0.86169933353031936</v>
      </c>
      <c r="S164" s="667"/>
      <c r="T164" s="89">
        <v>0.43124999999999997</v>
      </c>
      <c r="U164" s="89">
        <v>0.4770833333333333</v>
      </c>
      <c r="V164" s="484">
        <v>6</v>
      </c>
      <c r="W164" s="90">
        <f t="shared" si="111"/>
        <v>66</v>
      </c>
      <c r="X164" s="96"/>
      <c r="Y164" s="96"/>
      <c r="Z164" s="54"/>
      <c r="AA164" s="54"/>
      <c r="AB164" s="644"/>
      <c r="AC164" s="644"/>
      <c r="AD164" s="484"/>
      <c r="AE164" s="484"/>
      <c r="AF164" s="54">
        <f>N164-K164</f>
        <v>-382.95454545454595</v>
      </c>
      <c r="AG164" s="478">
        <f>N164/K164</f>
        <v>0.86169933353031924</v>
      </c>
      <c r="AH164" s="667"/>
    </row>
    <row r="165" spans="1:36" ht="19.2" customHeight="1">
      <c r="A165" s="66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4874.3500000000004</v>
      </c>
      <c r="H165" s="84">
        <f t="shared" si="107"/>
        <v>177475.08350000001</v>
      </c>
      <c r="I165" s="48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2397.2213114754095</v>
      </c>
      <c r="O165" s="86">
        <f t="shared" si="109"/>
        <v>239.72213114754095</v>
      </c>
      <c r="P165" s="54">
        <f t="shared" si="105"/>
        <v>0</v>
      </c>
      <c r="Q165" s="88">
        <f t="shared" si="106"/>
        <v>-37.177868852459028</v>
      </c>
      <c r="R165" s="478">
        <f t="shared" si="110"/>
        <v>0.86573539598245208</v>
      </c>
      <c r="S165" s="667"/>
      <c r="T165" s="89">
        <v>0.51736111111111105</v>
      </c>
      <c r="U165" s="89">
        <v>0.6020833333333333</v>
      </c>
      <c r="V165" s="484">
        <v>5</v>
      </c>
      <c r="W165" s="90">
        <f t="shared" si="111"/>
        <v>122.00000000000004</v>
      </c>
      <c r="X165" s="96"/>
      <c r="Y165" s="96"/>
      <c r="Z165" s="54"/>
      <c r="AA165" s="54"/>
      <c r="AB165" s="644"/>
      <c r="AC165" s="644"/>
      <c r="AD165" s="484"/>
      <c r="AE165" s="484"/>
      <c r="AF165" s="54">
        <f>N165-K165</f>
        <v>-371.77868852459051</v>
      </c>
      <c r="AG165" s="478">
        <f>N165/K165</f>
        <v>0.86573539598245197</v>
      </c>
      <c r="AH165" s="667"/>
    </row>
    <row r="166" spans="1:36" ht="19.2" customHeight="1">
      <c r="A166" s="66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1075.4100000000001</v>
      </c>
      <c r="H166" s="84">
        <f t="shared" si="107"/>
        <v>32402.103300000002</v>
      </c>
      <c r="I166" s="484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1173.1745454545462</v>
      </c>
      <c r="O166" s="86">
        <f t="shared" si="109"/>
        <v>65.176363636363675</v>
      </c>
      <c r="P166" s="54">
        <f t="shared" si="105"/>
        <v>0</v>
      </c>
      <c r="Q166" s="88">
        <f t="shared" si="106"/>
        <v>-1.4903030303029965</v>
      </c>
      <c r="R166" s="478">
        <f t="shared" si="110"/>
        <v>0.97764545454545504</v>
      </c>
      <c r="S166" s="667"/>
      <c r="T166" s="89">
        <v>0.61805555555555558</v>
      </c>
      <c r="U166" s="89">
        <v>0.65625</v>
      </c>
      <c r="V166" s="484">
        <v>23</v>
      </c>
      <c r="W166" s="90">
        <f t="shared" si="111"/>
        <v>54.999999999999964</v>
      </c>
      <c r="X166" s="96">
        <v>0.60625000000000007</v>
      </c>
      <c r="Y166" s="96">
        <v>0.61597222222222225</v>
      </c>
      <c r="Z166" s="54"/>
      <c r="AA166" s="54"/>
      <c r="AB166" s="644"/>
      <c r="AC166" s="644"/>
      <c r="AD166" s="484">
        <v>1</v>
      </c>
      <c r="AE166" s="484"/>
      <c r="AF166" s="54">
        <f>N166-K166</f>
        <v>-26.825454545453795</v>
      </c>
      <c r="AG166" s="478">
        <f>N166/K166</f>
        <v>0.97764545454545515</v>
      </c>
      <c r="AH166" s="667"/>
    </row>
    <row r="167" spans="1:36" ht="19.2" customHeight="1">
      <c r="A167" s="66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84"/>
      <c r="J167" s="87"/>
      <c r="K167" s="57"/>
      <c r="L167" s="86"/>
      <c r="M167" s="87"/>
      <c r="N167" s="57"/>
      <c r="O167" s="86"/>
      <c r="P167" s="54"/>
      <c r="Q167" s="88"/>
      <c r="R167" s="478"/>
      <c r="S167" s="667"/>
      <c r="T167" s="89"/>
      <c r="U167" s="89"/>
      <c r="V167" s="484" t="s">
        <v>15</v>
      </c>
      <c r="W167" s="90">
        <f t="shared" si="111"/>
        <v>0</v>
      </c>
      <c r="X167" s="96"/>
      <c r="Y167" s="96"/>
      <c r="Z167" s="54"/>
      <c r="AA167" s="54"/>
      <c r="AB167" s="644"/>
      <c r="AC167" s="644"/>
      <c r="AD167" s="484"/>
      <c r="AE167" s="484"/>
      <c r="AF167" s="54">
        <f t="shared" si="61"/>
        <v>0</v>
      </c>
      <c r="AG167" s="478" t="e">
        <f t="shared" si="62"/>
        <v>#DIV/0!</v>
      </c>
      <c r="AH167" s="667"/>
    </row>
    <row r="168" spans="1:36" ht="19.2" customHeight="1">
      <c r="A168" s="66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84"/>
      <c r="J168" s="87"/>
      <c r="K168" s="57"/>
      <c r="L168" s="86"/>
      <c r="M168" s="87"/>
      <c r="N168" s="57"/>
      <c r="O168" s="86"/>
      <c r="P168" s="54"/>
      <c r="Q168" s="88"/>
      <c r="R168" s="478"/>
      <c r="S168" s="667"/>
      <c r="T168" s="89"/>
      <c r="U168" s="89"/>
      <c r="V168" s="484"/>
      <c r="W168" s="90">
        <f t="shared" si="111"/>
        <v>0</v>
      </c>
      <c r="X168" s="96"/>
      <c r="Y168" s="96"/>
      <c r="Z168" s="54"/>
      <c r="AA168" s="54"/>
      <c r="AB168" s="644"/>
      <c r="AC168" s="644"/>
      <c r="AD168" s="484"/>
      <c r="AE168" s="484"/>
      <c r="AF168" s="54">
        <f t="shared" si="61"/>
        <v>0</v>
      </c>
      <c r="AG168" s="478" t="e">
        <f t="shared" si="62"/>
        <v>#DIV/0!</v>
      </c>
      <c r="AH168" s="667"/>
    </row>
    <row r="169" spans="1:36" ht="19.2" customHeight="1">
      <c r="A169" s="66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84"/>
      <c r="J169" s="87"/>
      <c r="K169" s="57"/>
      <c r="L169" s="86"/>
      <c r="M169" s="87"/>
      <c r="N169" s="57"/>
      <c r="O169" s="86"/>
      <c r="P169" s="54"/>
      <c r="Q169" s="88"/>
      <c r="R169" s="478"/>
      <c r="S169" s="667"/>
      <c r="T169" s="89"/>
      <c r="U169" s="89"/>
      <c r="V169" s="484"/>
      <c r="W169" s="90">
        <f t="shared" si="111"/>
        <v>0</v>
      </c>
      <c r="X169" s="96"/>
      <c r="Y169" s="96"/>
      <c r="Z169" s="54"/>
      <c r="AA169" s="54"/>
      <c r="AB169" s="644"/>
      <c r="AC169" s="644"/>
      <c r="AD169" s="484"/>
      <c r="AE169" s="484"/>
      <c r="AF169" s="54">
        <f t="shared" si="61"/>
        <v>0</v>
      </c>
      <c r="AG169" s="478" t="e">
        <f t="shared" si="62"/>
        <v>#DIV/0!</v>
      </c>
      <c r="AH169" s="667"/>
    </row>
    <row r="170" spans="1:36" ht="19.2" customHeight="1">
      <c r="A170" s="66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84"/>
      <c r="J170" s="87"/>
      <c r="K170" s="57"/>
      <c r="L170" s="86"/>
      <c r="M170" s="87"/>
      <c r="N170" s="57"/>
      <c r="O170" s="86"/>
      <c r="P170" s="54"/>
      <c r="Q170" s="88"/>
      <c r="R170" s="478"/>
      <c r="S170" s="667"/>
      <c r="T170" s="89"/>
      <c r="U170" s="89"/>
      <c r="V170" s="484"/>
      <c r="W170" s="90">
        <f t="shared" si="111"/>
        <v>0</v>
      </c>
      <c r="X170" s="96"/>
      <c r="Y170" s="96"/>
      <c r="Z170" s="54"/>
      <c r="AA170" s="54"/>
      <c r="AB170" s="644"/>
      <c r="AC170" s="644"/>
      <c r="AD170" s="484"/>
      <c r="AE170" s="484"/>
      <c r="AF170" s="54">
        <f t="shared" si="61"/>
        <v>0</v>
      </c>
      <c r="AG170" s="478" t="e">
        <f t="shared" si="62"/>
        <v>#DIV/0!</v>
      </c>
      <c r="AH170" s="667"/>
    </row>
    <row r="171" spans="1:36" ht="19.2" customHeight="1">
      <c r="A171" s="66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84"/>
      <c r="J171" s="87"/>
      <c r="K171" s="57"/>
      <c r="L171" s="86"/>
      <c r="M171" s="87"/>
      <c r="N171" s="57"/>
      <c r="O171" s="86"/>
      <c r="P171" s="54"/>
      <c r="Q171" s="88"/>
      <c r="R171" s="478"/>
      <c r="S171" s="667"/>
      <c r="T171" s="89"/>
      <c r="U171" s="89"/>
      <c r="V171" s="484"/>
      <c r="W171" s="90">
        <f t="shared" si="111"/>
        <v>0</v>
      </c>
      <c r="X171" s="96"/>
      <c r="Y171" s="96"/>
      <c r="Z171" s="54"/>
      <c r="AA171" s="54"/>
      <c r="AB171" s="644"/>
      <c r="AC171" s="644"/>
      <c r="AD171" s="484"/>
      <c r="AE171" s="484"/>
      <c r="AF171" s="54"/>
      <c r="AG171" s="478"/>
      <c r="AH171" s="667"/>
    </row>
    <row r="172" spans="1:36" ht="19.2" customHeight="1">
      <c r="A172" s="66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84"/>
      <c r="J172" s="87"/>
      <c r="K172" s="57"/>
      <c r="L172" s="86"/>
      <c r="M172" s="87"/>
      <c r="N172" s="57"/>
      <c r="O172" s="86"/>
      <c r="P172" s="54"/>
      <c r="Q172" s="88"/>
      <c r="R172" s="478"/>
      <c r="S172" s="667"/>
      <c r="T172" s="89"/>
      <c r="U172" s="89"/>
      <c r="V172" s="484"/>
      <c r="W172" s="90">
        <f t="shared" si="111"/>
        <v>0</v>
      </c>
      <c r="X172" s="96"/>
      <c r="Y172" s="96"/>
      <c r="Z172" s="54"/>
      <c r="AA172" s="54"/>
      <c r="AB172" s="644"/>
      <c r="AC172" s="644"/>
      <c r="AD172" s="484"/>
      <c r="AE172" s="484"/>
      <c r="AF172" s="54"/>
      <c r="AG172" s="478"/>
      <c r="AH172" s="667"/>
    </row>
    <row r="173" spans="1:36" ht="19.2" customHeight="1">
      <c r="A173" s="666"/>
      <c r="B173" s="121">
        <v>0</v>
      </c>
      <c r="C173" s="100" t="s">
        <v>542</v>
      </c>
      <c r="D173" s="673" t="s">
        <v>518</v>
      </c>
      <c r="E173" s="673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1911.0817334305782</v>
      </c>
      <c r="O173" s="104">
        <f t="shared" si="112"/>
        <v>162.05524117347321</v>
      </c>
      <c r="P173" s="54">
        <f>M173-J173</f>
        <v>0</v>
      </c>
      <c r="Q173" s="88">
        <f>O173-L173</f>
        <v>-15.404043985811938</v>
      </c>
      <c r="R173" s="105">
        <f>O173/L173</f>
        <v>0.91319674272334939</v>
      </c>
      <c r="S173" s="66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07"/>
      <c r="AC173" s="707"/>
      <c r="AD173" s="107">
        <f>SUM(AD161:AD172)</f>
        <v>1</v>
      </c>
      <c r="AE173" s="107">
        <f>SUM(AE161:AE172)</f>
        <v>0</v>
      </c>
      <c r="AF173" s="54">
        <f t="shared" si="61"/>
        <v>-161.9182665694218</v>
      </c>
      <c r="AG173" s="478">
        <f t="shared" si="62"/>
        <v>0.92189181545131604</v>
      </c>
      <c r="AH173" s="66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543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544</v>
      </c>
    </row>
    <row r="186" spans="23:36">
      <c r="W186" s="33"/>
      <c r="AJ186" s="272" t="s">
        <v>545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8" priority="4" operator="greaterThan">
      <formula>0</formula>
    </cfRule>
  </conditionalFormatting>
  <conditionalFormatting sqref="Q5:Q173">
    <cfRule type="cellIs" dxfId="27" priority="7" operator="lessThan">
      <formula>0</formula>
    </cfRule>
  </conditionalFormatting>
  <conditionalFormatting sqref="R5:R173">
    <cfRule type="cellIs" dxfId="26" priority="5" operator="greaterThan">
      <formula>1</formula>
    </cfRule>
    <cfRule type="cellIs" dxfId="25" priority="6" operator="lessThan">
      <formula>0.8</formula>
    </cfRule>
  </conditionalFormatting>
  <conditionalFormatting sqref="S5:S11">
    <cfRule type="cellIs" dxfId="24" priority="20" operator="lessThan">
      <formula>0.8</formula>
    </cfRule>
  </conditionalFormatting>
  <conditionalFormatting sqref="S21:S29 AH21:AH29">
    <cfRule type="cellIs" dxfId="23" priority="13" operator="lessThan">
      <formula>0.8</formula>
    </cfRule>
  </conditionalFormatting>
  <conditionalFormatting sqref="S43:S72">
    <cfRule type="cellIs" dxfId="22" priority="10" operator="lessThan">
      <formula>0.8</formula>
    </cfRule>
  </conditionalFormatting>
  <conditionalFormatting sqref="S82:S91 AH82:AH91">
    <cfRule type="cellIs" dxfId="21" priority="12" operator="lessThan">
      <formula>0.8</formula>
    </cfRule>
  </conditionalFormatting>
  <conditionalFormatting sqref="S95:S104">
    <cfRule type="cellIs" dxfId="20" priority="8" operator="lessThan">
      <formula>0.8</formula>
    </cfRule>
  </conditionalFormatting>
  <conditionalFormatting sqref="S108:S109">
    <cfRule type="cellIs" dxfId="19" priority="9" operator="lessThan">
      <formula>0.8</formula>
    </cfRule>
  </conditionalFormatting>
  <conditionalFormatting sqref="S122:S135 AH135">
    <cfRule type="cellIs" dxfId="18" priority="21" operator="lessThan">
      <formula>0.8</formula>
    </cfRule>
  </conditionalFormatting>
  <conditionalFormatting sqref="S137 AH137">
    <cfRule type="cellIs" dxfId="17" priority="17" operator="lessThan">
      <formula>0.8</formula>
    </cfRule>
  </conditionalFormatting>
  <conditionalFormatting sqref="S139:S146 AH139:AH146">
    <cfRule type="cellIs" dxfId="16" priority="11" operator="lessThan">
      <formula>0.8</formula>
    </cfRule>
  </conditionalFormatting>
  <conditionalFormatting sqref="S148:S150">
    <cfRule type="cellIs" dxfId="15" priority="14" operator="lessThan">
      <formula>0.8</formula>
    </cfRule>
  </conditionalFormatting>
  <conditionalFormatting sqref="S161">
    <cfRule type="cellIs" dxfId="14" priority="25" operator="lessThan">
      <formula>0.8</formula>
    </cfRule>
  </conditionalFormatting>
  <conditionalFormatting sqref="AF5:AF173">
    <cfRule type="cellIs" dxfId="13" priority="3" operator="lessThan">
      <formula>0</formula>
    </cfRule>
  </conditionalFormatting>
  <conditionalFormatting sqref="AG5:AG173">
    <cfRule type="cellIs" dxfId="12" priority="1" operator="greaterThan">
      <formula>1</formula>
    </cfRule>
    <cfRule type="cellIs" dxfId="11" priority="2" operator="lessThan">
      <formula>0.8</formula>
    </cfRule>
  </conditionalFormatting>
  <conditionalFormatting sqref="AH5:AH9 S17:S18 AH17:AH18 AH57 AH95">
    <cfRule type="cellIs" dxfId="10" priority="26" operator="lessThan">
      <formula>0.8</formula>
    </cfRule>
  </conditionalFormatting>
  <conditionalFormatting sqref="AH31 S31:S32">
    <cfRule type="cellIs" dxfId="9" priority="22" operator="lessThan">
      <formula>0.8</formula>
    </cfRule>
  </conditionalFormatting>
  <conditionalFormatting sqref="AH70:AH72">
    <cfRule type="cellIs" dxfId="8" priority="19" operator="lessThan">
      <formula>0.8</formula>
    </cfRule>
  </conditionalFormatting>
  <conditionalFormatting sqref="AH97:AH98">
    <cfRule type="cellIs" dxfId="7" priority="18" operator="lessThan">
      <formula>0.8</formula>
    </cfRule>
  </conditionalFormatting>
  <conditionalFormatting sqref="AH100:AH107">
    <cfRule type="cellIs" dxfId="6" priority="16" operator="lessThan">
      <formula>0.8</formula>
    </cfRule>
  </conditionalFormatting>
  <conditionalFormatting sqref="AH109">
    <cfRule type="cellIs" dxfId="5" priority="24" operator="lessThan">
      <formula>0.8</formula>
    </cfRule>
  </conditionalFormatting>
  <conditionalFormatting sqref="AH148">
    <cfRule type="cellIs" dxfId="4" priority="23" operator="lessThan">
      <formula>0.8</formula>
    </cfRule>
  </conditionalFormatting>
  <conditionalFormatting sqref="AH150">
    <cfRule type="cellIs" dxfId="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38F64-C10F-4CA6-917E-072F5EED82EF}"/>
</file>

<file path=customXml/itemProps2.xml><?xml version="1.0" encoding="utf-8"?>
<ds:datastoreItem xmlns:ds="http://schemas.openxmlformats.org/officeDocument/2006/customXml" ds:itemID="{E476F3F4-51F0-4B23-AA61-0B1D07461433}"/>
</file>

<file path=customXml/itemProps3.xml><?xml version="1.0" encoding="utf-8"?>
<ds:datastoreItem xmlns:ds="http://schemas.openxmlformats.org/officeDocument/2006/customXml" ds:itemID="{84C001AE-BD31-43B8-AA2D-A94ADB584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0801</vt:lpstr>
      <vt:lpstr>晉欣18度C0801</vt:lpstr>
      <vt:lpstr>晉欣4度C0801</vt:lpstr>
      <vt:lpstr>0802</vt:lpstr>
      <vt:lpstr>晉欣18度C0802</vt:lpstr>
      <vt:lpstr>晉欣4度C0802</vt:lpstr>
      <vt:lpstr>0803</vt:lpstr>
      <vt:lpstr>晉欣18度C0803</vt:lpstr>
      <vt:lpstr>晉欣4度C0803</vt:lpstr>
      <vt:lpstr>0804</vt:lpstr>
      <vt:lpstr>晉欣18度C0804</vt:lpstr>
      <vt:lpstr>晉欣4度C0804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superuser</cp:lastModifiedBy>
  <dcterms:created xsi:type="dcterms:W3CDTF">2026-02-11T07:15:57Z</dcterms:created>
  <dcterms:modified xsi:type="dcterms:W3CDTF">2026-08-05T02:03:11Z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